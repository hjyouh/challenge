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5월" sheetId="1" r:id="rId5"/>
    <sheet state="visible" name="264월" sheetId="2" r:id="rId6"/>
    <sheet state="visible" name="263월" sheetId="3" r:id="rId7"/>
    <sheet state="visible" name="262월" sheetId="4" r:id="rId8"/>
    <sheet state="visible" name="261월" sheetId="5" r:id="rId9"/>
    <sheet state="visible" name="12월" sheetId="6" r:id="rId10"/>
    <sheet state="visible" name="11월" sheetId="7" r:id="rId11"/>
    <sheet state="visible" name="3월" sheetId="8" r:id="rId12"/>
    <sheet state="visible" name="4월" sheetId="9" r:id="rId13"/>
    <sheet state="visible" name="5월" sheetId="10" r:id="rId14"/>
    <sheet state="visible" name="6월" sheetId="11" r:id="rId15"/>
    <sheet state="visible" name="7월" sheetId="12" r:id="rId16"/>
    <sheet state="hidden" name="시트122" sheetId="13" r:id="rId17"/>
    <sheet state="visible" name="8월" sheetId="14" r:id="rId18"/>
    <sheet state="visible" name="9월" sheetId="15" r:id="rId19"/>
    <sheet state="visible" name="10월" sheetId="16" r:id="rId2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8">
      <text>
        <t xml:space="preserve">지블리</t>
      </text>
    </comment>
  </commentList>
</comments>
</file>

<file path=xl/sharedStrings.xml><?xml version="1.0" encoding="utf-8"?>
<sst xmlns="http://schemas.openxmlformats.org/spreadsheetml/2006/main" count="11148" uniqueCount="604">
  <si>
    <t>해시태그: #디인챌_0000</t>
  </si>
  <si>
    <t>자동연산
(아래는 수정 불가)</t>
  </si>
  <si>
    <t>05.02 (토)</t>
  </si>
  <si>
    <t>05.05 (화)</t>
  </si>
  <si>
    <t>05.09 (토)</t>
  </si>
  <si>
    <t>05.12(화)</t>
  </si>
  <si>
    <t>05.16 (토)</t>
  </si>
  <si>
    <t>05.19(화)</t>
  </si>
  <si>
    <t>05.23(토)</t>
  </si>
  <si>
    <t>05.26(화)</t>
  </si>
  <si>
    <t>05.30(토)</t>
  </si>
  <si>
    <t>#디인챌_0501</t>
  </si>
  <si>
    <t>#디인챌_0504</t>
  </si>
  <si>
    <t>#디인챌_0508</t>
  </si>
  <si>
    <t>#디인챌_0511</t>
  </si>
  <si>
    <t>#디인챌_0515</t>
  </si>
  <si>
    <t>#디인챌_0518</t>
  </si>
  <si>
    <t>#디인챌_0522</t>
  </si>
  <si>
    <t>#디인챌_0525</t>
  </si>
  <si>
    <t>#디인챌_0529</t>
  </si>
  <si>
    <t>멤버</t>
  </si>
  <si>
    <t>닉네임</t>
  </si>
  <si>
    <t>인스타그램 아이디(링크)</t>
  </si>
  <si>
    <t>참여 수</t>
  </si>
  <si>
    <t>참여율</t>
  </si>
  <si>
    <t>완료</t>
  </si>
  <si>
    <t>명언요정</t>
  </si>
  <si>
    <t>songjieun_psr</t>
  </si>
  <si>
    <t>이성민</t>
  </si>
  <si>
    <t>high_haeyo</t>
  </si>
  <si>
    <t>달나라동숙이네</t>
  </si>
  <si>
    <t>dalnaradongsookine</t>
  </si>
  <si>
    <t>루나집</t>
  </si>
  <si>
    <t>luna_zip</t>
  </si>
  <si>
    <t>애셋맘</t>
  </si>
  <si>
    <t xml:space="preserve">jypark_mom </t>
  </si>
  <si>
    <t>다율맘</t>
  </si>
  <si>
    <t>i_love__yul</t>
  </si>
  <si>
    <t>샤인썬</t>
  </si>
  <si>
    <t>shine_sun_young</t>
  </si>
  <si>
    <t>임다빈</t>
  </si>
  <si>
    <t>dabeen191114</t>
  </si>
  <si>
    <t>유희경</t>
  </si>
  <si>
    <t xml:space="preserve">kano.e12 </t>
  </si>
  <si>
    <t>스콜라</t>
  </si>
  <si>
    <t>atomy_schola</t>
  </si>
  <si>
    <t>84악동둘</t>
  </si>
  <si>
    <t>eunjeong0954</t>
  </si>
  <si>
    <t>신디CL</t>
  </si>
  <si>
    <t>cindylee08</t>
  </si>
  <si>
    <t>북유럽맘 미니린</t>
  </si>
  <si>
    <t>minirin_noha</t>
  </si>
  <si>
    <t xml:space="preserve">안드레아정 </t>
  </si>
  <si>
    <t>72lovewon0</t>
  </si>
  <si>
    <t>루비</t>
  </si>
  <si>
    <t>silver.lael</t>
  </si>
  <si>
    <t xml:space="preserve">더드림153 </t>
  </si>
  <si>
    <t xml:space="preserve">the_dream153 </t>
  </si>
  <si>
    <t>이미소</t>
  </si>
  <si>
    <t>smilemiso_19</t>
  </si>
  <si>
    <t>러블리쭈</t>
  </si>
  <si>
    <t>luv_lyju</t>
  </si>
  <si>
    <t>지브로</t>
  </si>
  <si>
    <t>jimyung14</t>
  </si>
  <si>
    <t>루시아</t>
  </si>
  <si>
    <t>lucia430miracle</t>
  </si>
  <si>
    <t>트루북스</t>
  </si>
  <si>
    <t>true_.books</t>
  </si>
  <si>
    <t>물가나무</t>
  </si>
  <si>
    <t>kim_soosu</t>
  </si>
  <si>
    <t>beauty_haeyo</t>
  </si>
  <si>
    <t>jypark_mom 3</t>
  </si>
  <si>
    <t>i.love_yul</t>
  </si>
  <si>
    <t>kano.e12</t>
  </si>
  <si>
    <t>콩콩</t>
  </si>
  <si>
    <t>dan.delion89</t>
  </si>
  <si>
    <t>그릿케이</t>
  </si>
  <si>
    <t>happy_gritk</t>
  </si>
  <si>
    <t>비움</t>
  </si>
  <si>
    <t>doctorbium</t>
  </si>
  <si>
    <t>선택</t>
  </si>
  <si>
    <t>하준</t>
  </si>
  <si>
    <t>ha__ju0_0n</t>
  </si>
  <si>
    <t>니케양</t>
  </si>
  <si>
    <t>nikke_1023</t>
  </si>
  <si>
    <t>썬블리</t>
  </si>
  <si>
    <t>ssunbly8318</t>
  </si>
  <si>
    <t>모니끄</t>
  </si>
  <si>
    <t>monique_illust</t>
  </si>
  <si>
    <t>캐모마일</t>
  </si>
  <si>
    <t>hatsalgadeuk</t>
  </si>
  <si>
    <t>미쉘</t>
  </si>
  <si>
    <t>bienpop</t>
  </si>
  <si>
    <t>정예원</t>
  </si>
  <si>
    <t>_yewon_0727</t>
  </si>
  <si>
    <t>안개 플라워</t>
  </si>
  <si>
    <t>he._.aart</t>
  </si>
  <si>
    <t>예은맘</t>
  </si>
  <si>
    <t>lee.sm1</t>
  </si>
  <si>
    <t>북대양</t>
  </si>
  <si>
    <t>book_daeyang</t>
  </si>
  <si>
    <t xml:space="preserve">배은주(구글) </t>
  </si>
  <si>
    <t xml:space="preserve">busybee_inner_peace </t>
  </si>
  <si>
    <t>Hoon</t>
  </si>
  <si>
    <t>n1403504</t>
  </si>
  <si>
    <t>메디원메디컬센터</t>
  </si>
  <si>
    <t>medione_medical</t>
  </si>
  <si>
    <t>윤아</t>
  </si>
  <si>
    <t>grace.yunaa</t>
  </si>
  <si>
    <t>나무노트</t>
  </si>
  <si>
    <t>namunote.kr_</t>
  </si>
  <si>
    <t>이지아</t>
  </si>
  <si>
    <t>_jia_0221</t>
  </si>
  <si>
    <t>장미라</t>
  </si>
  <si>
    <t>makeanote_thanks</t>
  </si>
  <si>
    <t>waytogo798</t>
  </si>
  <si>
    <t>hom.melier</t>
  </si>
  <si>
    <t>5번중 5번참여</t>
  </si>
  <si>
    <t xml:space="preserve">          러블리지원. </t>
  </si>
  <si>
    <t>i.lovely_jiwon</t>
  </si>
  <si>
    <t xml:space="preserve">  라은</t>
  </si>
  <si>
    <t xml:space="preserve">raeun_days_kr </t>
  </si>
  <si>
    <t xml:space="preserve">아다나ㅡ아름다운나날 </t>
  </si>
  <si>
    <t>family20255789</t>
  </si>
  <si>
    <t>(임연화)서지윤</t>
  </si>
  <si>
    <t>ji_yoon2017</t>
  </si>
  <si>
    <t>프시케라니</t>
  </si>
  <si>
    <t>hr_psyche</t>
  </si>
  <si>
    <t>지나샘</t>
  </si>
  <si>
    <t>jnk1003</t>
  </si>
  <si>
    <t>김꾸주니</t>
  </si>
  <si>
    <t>@kkujunu.fit</t>
  </si>
  <si>
    <t>유형재(빼박)</t>
  </si>
  <si>
    <t>hjyouhinsta</t>
  </si>
  <si>
    <t>루미유진</t>
  </si>
  <si>
    <t xml:space="preserve">@lumi.yujin </t>
  </si>
  <si>
    <t>방아꽃</t>
  </si>
  <si>
    <t>bangakkot</t>
  </si>
  <si>
    <t>우주의중심</t>
  </si>
  <si>
    <t xml:space="preserve">uju_center </t>
  </si>
  <si>
    <t>지윤나연맘</t>
  </si>
  <si>
    <t>_jymom_</t>
  </si>
  <si>
    <t>조경애</t>
  </si>
  <si>
    <t>ummachallenge</t>
  </si>
  <si>
    <t xml:space="preserve">정원여신 </t>
  </si>
  <si>
    <t>lilac.godness</t>
  </si>
  <si>
    <t>스쿨</t>
  </si>
  <si>
    <t>school_9477</t>
  </si>
  <si>
    <t>레몬</t>
  </si>
  <si>
    <t>seonhee.hwang</t>
  </si>
  <si>
    <t>한작가</t>
  </si>
  <si>
    <t>porori84</t>
  </si>
  <si>
    <t>유앤북</t>
  </si>
  <si>
    <t>_you_and_book_</t>
  </si>
  <si>
    <t>엘리쌤</t>
  </si>
  <si>
    <t>elissam_spes</t>
  </si>
  <si>
    <t>박서연</t>
  </si>
  <si>
    <t>sy_angel1004</t>
  </si>
  <si>
    <t>진아</t>
  </si>
  <si>
    <t xml:space="preserve">sfamilydream </t>
  </si>
  <si>
    <t xml:space="preserve">친절한열정쌤 </t>
  </si>
  <si>
    <t>shins_expand</t>
  </si>
  <si>
    <t>마샤</t>
  </si>
  <si>
    <t>marcia_zhouying</t>
  </si>
  <si>
    <t>김미혜작가</t>
  </si>
  <si>
    <t>agaphao</t>
  </si>
  <si>
    <t>이석경</t>
  </si>
  <si>
    <t>@100_chunsa</t>
  </si>
  <si>
    <t>원더맘영이</t>
  </si>
  <si>
    <t>wondermom.young</t>
  </si>
  <si>
    <t>김석원</t>
  </si>
  <si>
    <t>gimseogweon979</t>
  </si>
  <si>
    <t>동네외삼촌</t>
  </si>
  <si>
    <t>gimseokwon123</t>
  </si>
  <si>
    <t>이호수</t>
  </si>
  <si>
    <t>hosu-131111</t>
  </si>
  <si>
    <t>꿈이룸</t>
  </si>
  <si>
    <t>dream2012501</t>
  </si>
  <si>
    <t>뷰티샘</t>
  </si>
  <si>
    <t>bokbuinmanse</t>
  </si>
  <si>
    <t>해피리치천사</t>
  </si>
  <si>
    <t>miso.7873</t>
  </si>
  <si>
    <t>스타샤인</t>
  </si>
  <si>
    <t>star__shine24</t>
  </si>
  <si>
    <t>해나</t>
  </si>
  <si>
    <t>hannahcrea</t>
  </si>
  <si>
    <t>아다나</t>
  </si>
  <si>
    <t>yhdhpk@hanmail.net</t>
  </si>
  <si>
    <t>04.04 (토)</t>
  </si>
  <si>
    <t>04.07 (화)</t>
  </si>
  <si>
    <t>04.11 (토)</t>
  </si>
  <si>
    <t>04.14 (화)</t>
  </si>
  <si>
    <t>04.18 (토)</t>
  </si>
  <si>
    <t>04.21 (화)</t>
  </si>
  <si>
    <t>04.25 (토)</t>
  </si>
  <si>
    <t>04.28 (화)</t>
  </si>
  <si>
    <t>#디인챌_0403</t>
  </si>
  <si>
    <t>#디인챌_0406</t>
  </si>
  <si>
    <t>#디인챌_0410</t>
  </si>
  <si>
    <t>#디인챌_0413</t>
  </si>
  <si>
    <t>#디인챌_0417</t>
  </si>
  <si>
    <t>#디인챌_0420</t>
  </si>
  <si>
    <t>#디인챌_0424</t>
  </si>
  <si>
    <t>#디인챌_0427</t>
  </si>
  <si>
    <t>8번중 8번참여</t>
  </si>
  <si>
    <t>혀니</t>
  </si>
  <si>
    <t>helllo_strongbaby</t>
  </si>
  <si>
    <t>03.03 (화)</t>
  </si>
  <si>
    <t>03.07 (토)</t>
  </si>
  <si>
    <t>03.10 (화)</t>
  </si>
  <si>
    <t>03.14 (토)</t>
  </si>
  <si>
    <t>03.17 (화)</t>
  </si>
  <si>
    <t>03.21 (토)</t>
  </si>
  <si>
    <t>03.24 (화)</t>
  </si>
  <si>
    <t>03.28 (토)</t>
  </si>
  <si>
    <t>03.30 (월)</t>
  </si>
  <si>
    <t>#디인챌_0302</t>
  </si>
  <si>
    <t>#디인챌_0306</t>
  </si>
  <si>
    <t>#디인챌_0309</t>
  </si>
  <si>
    <t>#디인챌_0213</t>
  </si>
  <si>
    <t>#디인챌_0316</t>
  </si>
  <si>
    <t>#디인챌_0220</t>
  </si>
  <si>
    <t>#디인챌_0323</t>
  </si>
  <si>
    <t>#디인챌_0327</t>
  </si>
  <si>
    <t>#디인챌_0330</t>
  </si>
  <si>
    <t>high_haeyoz</t>
  </si>
  <si>
    <t>9번중 9번참여</t>
  </si>
  <si>
    <t>02.03 (화)</t>
  </si>
  <si>
    <t>02.07 (토)</t>
  </si>
  <si>
    <t>02.10 (화)</t>
  </si>
  <si>
    <t>02.14 (토)</t>
  </si>
  <si>
    <t>02.17 (화)</t>
  </si>
  <si>
    <t>02.21 (토)</t>
  </si>
  <si>
    <t>02.24 (화)</t>
  </si>
  <si>
    <t>02.28 (토)</t>
  </si>
  <si>
    <t>#디인챌_0202</t>
  </si>
  <si>
    <t>#디인챌_0206</t>
  </si>
  <si>
    <t>#디인챌_0209</t>
  </si>
  <si>
    <t>#디인챌_0216</t>
  </si>
  <si>
    <t>#디인챌_0223</t>
  </si>
  <si>
    <t>#디인챌_0227</t>
  </si>
  <si>
    <t>7번중 7번참여</t>
  </si>
  <si>
    <t>01.03 (토)</t>
  </si>
  <si>
    <t>01.06 (화)</t>
  </si>
  <si>
    <t>01.10 (토)</t>
  </si>
  <si>
    <t>01.13 (화)</t>
  </si>
  <si>
    <t>01.17 (토)</t>
  </si>
  <si>
    <t>01.20 (화)</t>
  </si>
  <si>
    <t>01.24 (토)</t>
  </si>
  <si>
    <t>01.27 (화)</t>
  </si>
  <si>
    <t>01.31 (토)</t>
  </si>
  <si>
    <t>#디인챌_0102</t>
  </si>
  <si>
    <t>#디인챌_0105</t>
  </si>
  <si>
    <t>#디인챌_0109</t>
  </si>
  <si>
    <t>#디인챌_0116</t>
  </si>
  <si>
    <t>#디인챌_0119</t>
  </si>
  <si>
    <t>#디인챌_0123</t>
  </si>
  <si>
    <t>#디인챌_0126</t>
  </si>
  <si>
    <t>#디인챌_0130</t>
  </si>
  <si>
    <t>jnk1003 (72번으로)</t>
  </si>
  <si>
    <t>ji_yoon2017 (69번으로)</t>
  </si>
  <si>
    <r>
      <rPr>
        <rFont val="Malgun Gothic"/>
        <color rgb="FF1155CC"/>
        <sz val="11.0"/>
        <u/>
      </rPr>
      <t>hom.melier</t>
    </r>
    <r>
      <rPr>
        <rFont val="Malgun Gothic"/>
        <color rgb="FF000000"/>
        <sz val="11.0"/>
      </rPr>
      <t>(65번으로)</t>
    </r>
  </si>
  <si>
    <t>family20255789 (68번으로)</t>
  </si>
  <si>
    <t>12.02 (화)</t>
  </si>
  <si>
    <t>12.06 (토)</t>
  </si>
  <si>
    <t>12.09 (화)</t>
  </si>
  <si>
    <t>12.13 (토)</t>
  </si>
  <si>
    <t>12.16 (화)</t>
  </si>
  <si>
    <t>12.20 (토)</t>
  </si>
  <si>
    <t>12.23 (화)</t>
  </si>
  <si>
    <t>12.27 (토)</t>
  </si>
  <si>
    <t>12.30 (화)</t>
  </si>
  <si>
    <t>#디인챌_1201</t>
  </si>
  <si>
    <t>#디인챌_1205</t>
  </si>
  <si>
    <t>#디인챌_1208</t>
  </si>
  <si>
    <t>#디인챌_1212</t>
  </si>
  <si>
    <t>#디인챌_1215</t>
  </si>
  <si>
    <t>#디인챌_1219</t>
  </si>
  <si>
    <t>#디인챌_1222</t>
  </si>
  <si>
    <t>#디인챌_1226</t>
  </si>
  <si>
    <t>#디인챌_1229</t>
  </si>
  <si>
    <t>동연출판사</t>
  </si>
  <si>
    <t>dongyeon_press</t>
  </si>
  <si>
    <t>러블리지원</t>
  </si>
  <si>
    <t>라은</t>
  </si>
  <si>
    <t>11.01 (토)</t>
  </si>
  <si>
    <t>11.04 (화)</t>
  </si>
  <si>
    <t>11.08 (토)</t>
  </si>
  <si>
    <t>11.11 (화)</t>
  </si>
  <si>
    <t>11.15 (토)</t>
  </si>
  <si>
    <t>11.18 (화)</t>
  </si>
  <si>
    <t>11.22 (토)</t>
  </si>
  <si>
    <t>11.25 (화)</t>
  </si>
  <si>
    <t>11.29 (토)</t>
  </si>
  <si>
    <t>#디인챌_1031</t>
  </si>
  <si>
    <t>#디인챌_1103</t>
  </si>
  <si>
    <t>#디인챌_1107</t>
  </si>
  <si>
    <t>#디인챌_1110</t>
  </si>
  <si>
    <t>#디인챌_1114</t>
  </si>
  <si>
    <t>#디인챌_1117</t>
  </si>
  <si>
    <t>#디인챌_1121</t>
  </si>
  <si>
    <t>#디인챌_1124</t>
  </si>
  <si>
    <t>#디인챌_1128</t>
  </si>
  <si>
    <r>
      <rPr>
        <rFont val="-apple-system, BlinkMacSystemFont, &quot;Segoe UI&quot;, Roboto, Helvetica, Arial, sans-serif"/>
        <color rgb="FF000000"/>
        <sz val="11.0"/>
        <u/>
      </rPr>
      <t>hannah_calli_</t>
    </r>
  </si>
  <si>
    <t>03.01 (토)</t>
  </si>
  <si>
    <t>03.04 (화)</t>
  </si>
  <si>
    <t>03.08 (토)</t>
  </si>
  <si>
    <t>03.11 (화)</t>
  </si>
  <si>
    <t>03.15 (토)</t>
  </si>
  <si>
    <t>03.18 (화)</t>
  </si>
  <si>
    <t>03.22 (토)</t>
  </si>
  <si>
    <t>03.25 (화)</t>
  </si>
  <si>
    <t>03.29 (토)</t>
  </si>
  <si>
    <t>패널티/경고</t>
  </si>
  <si>
    <t>#러블리_0228</t>
  </si>
  <si>
    <t>#러블리_0303</t>
  </si>
  <si>
    <t>#러블리_0307</t>
  </si>
  <si>
    <t>#러블리_0310</t>
  </si>
  <si>
    <t>#러블리_0314</t>
  </si>
  <si>
    <t>#러블리_0317</t>
  </si>
  <si>
    <t>#러블리_0321</t>
  </si>
  <si>
    <t>#러블리_0324</t>
  </si>
  <si>
    <t>#러블리_0328</t>
  </si>
  <si>
    <t>인스타그램 아이디</t>
  </si>
  <si>
    <t>염양</t>
  </si>
  <si>
    <t>go_with_god</t>
  </si>
  <si>
    <t>한세나</t>
  </si>
  <si>
    <t>funky_sena</t>
  </si>
  <si>
    <t>mato_otok</t>
  </si>
  <si>
    <t>폴링업</t>
  </si>
  <si>
    <t>book_fallingup</t>
  </si>
  <si>
    <t>깜찍</t>
  </si>
  <si>
    <t xml:space="preserve">ggamzzic_cute </t>
  </si>
  <si>
    <t>가을웅덩이</t>
  </si>
  <si>
    <t>gaeulung</t>
  </si>
  <si>
    <t>도다네</t>
  </si>
  <si>
    <t>ttonghee</t>
  </si>
  <si>
    <t>do_ravie</t>
  </si>
  <si>
    <t>kkuma.marketer</t>
  </si>
  <si>
    <t>좋은나무</t>
  </si>
  <si>
    <t>goodtree_kr</t>
  </si>
  <si>
    <t>김준</t>
  </si>
  <si>
    <t>cyberria75</t>
  </si>
  <si>
    <t>김미혜</t>
  </si>
  <si>
    <t>amazing_mihye</t>
  </si>
  <si>
    <t xml:space="preserve">김미영 </t>
  </si>
  <si>
    <t>miyeong549</t>
  </si>
  <si>
    <t>임혜경</t>
  </si>
  <si>
    <t>im_hyegyeong</t>
  </si>
  <si>
    <t>이쁜영이</t>
  </si>
  <si>
    <t>1_1_4rang</t>
  </si>
  <si>
    <t>금잔디</t>
  </si>
  <si>
    <t xml:space="preserve">jelly_ibebe </t>
  </si>
  <si>
    <t>유야</t>
  </si>
  <si>
    <t>jeynbook</t>
  </si>
  <si>
    <t xml:space="preserve">박정숙 긍정쌤 </t>
  </si>
  <si>
    <t xml:space="preserve">warm_story_ai </t>
  </si>
  <si>
    <t>늘푸른오키</t>
  </si>
  <si>
    <t xml:space="preserve">evergreen_oki </t>
  </si>
  <si>
    <t>운교언니</t>
  </si>
  <si>
    <t>ungyo_unnie</t>
  </si>
  <si>
    <t>silby</t>
  </si>
  <si>
    <t>silby4545</t>
  </si>
  <si>
    <t>나컨세</t>
  </si>
  <si>
    <t>naconse_life</t>
  </si>
  <si>
    <t>써브4현옥</t>
  </si>
  <si>
    <t>leejinkyo88_2</t>
  </si>
  <si>
    <t>이하은</t>
  </si>
  <si>
    <t>haeun_solsolsol_</t>
  </si>
  <si>
    <t xml:space="preserve">윤아 </t>
  </si>
  <si>
    <t xml:space="preserve">방아꽃 </t>
  </si>
  <si>
    <t>방아꽃부계</t>
  </si>
  <si>
    <t>꿈정원사 디나쌤</t>
  </si>
  <si>
    <t>dina_aihub</t>
  </si>
  <si>
    <t>들꽃 장정숙</t>
  </si>
  <si>
    <t xml:space="preserve">jangjeongsuk990 </t>
  </si>
  <si>
    <t>포베</t>
  </si>
  <si>
    <t>_olivepobe_</t>
  </si>
  <si>
    <t>세라톡톡</t>
  </si>
  <si>
    <t>saratalktalk34</t>
  </si>
  <si>
    <t>핑크공작새</t>
  </si>
  <si>
    <t>pinggong_drawing</t>
  </si>
  <si>
    <t>도로시78</t>
  </si>
  <si>
    <t>kyoung_hui</t>
  </si>
  <si>
    <t>유진(시소우삼남매맘)</t>
  </si>
  <si>
    <t>sisowoo_love</t>
  </si>
  <si>
    <t>리부트란</t>
  </si>
  <si>
    <t>reboot_hyeran</t>
  </si>
  <si>
    <t>쏭블리쌤</t>
  </si>
  <si>
    <t>ssongvely79</t>
  </si>
  <si>
    <t>angelar</t>
  </si>
  <si>
    <t>angelar_ann</t>
  </si>
  <si>
    <t>왓싸비</t>
  </si>
  <si>
    <t>what_sobby</t>
  </si>
  <si>
    <t xml:space="preserve">jimyung14 </t>
  </si>
  <si>
    <t xml:space="preserve">지율맘  </t>
  </si>
  <si>
    <t>lhk0920__0</t>
  </si>
  <si>
    <t>kimseokwon123</t>
  </si>
  <si>
    <t>gimsegweon979</t>
  </si>
  <si>
    <t>3월</t>
  </si>
  <si>
    <t>04.01 (화)</t>
  </si>
  <si>
    <t>04.05 (토)</t>
  </si>
  <si>
    <t>04.08 (화)</t>
  </si>
  <si>
    <t>04.12 (토)</t>
  </si>
  <si>
    <t>04.15 (화)</t>
  </si>
  <si>
    <t>04.19 (토)</t>
  </si>
  <si>
    <t>04.22 (화)</t>
  </si>
  <si>
    <t>04.26 (토)</t>
  </si>
  <si>
    <t>04.29 (화)</t>
  </si>
  <si>
    <t>#러블리_0331</t>
  </si>
  <si>
    <t>#러블리_0404</t>
  </si>
  <si>
    <t>#러블리_0407</t>
  </si>
  <si>
    <t>#러블리_0411</t>
  </si>
  <si>
    <t>#러블리_0414</t>
  </si>
  <si>
    <t>#러블리_0418</t>
  </si>
  <si>
    <t>#러블리_0421</t>
  </si>
  <si>
    <t>#러블리_0425</t>
  </si>
  <si>
    <t>#러블리_0428</t>
  </si>
  <si>
    <t>펑키세나</t>
  </si>
  <si>
    <t>맛톡</t>
  </si>
  <si>
    <t>도다네부계</t>
  </si>
  <si>
    <t>송영화(쏭블리쌤)</t>
  </si>
  <si>
    <t>나부</t>
  </si>
  <si>
    <t>loveholic_you_</t>
  </si>
  <si>
    <t>9번 중 9번 참여</t>
  </si>
  <si>
    <t>지율맘</t>
  </si>
  <si>
    <t xml:space="preserve">lhk0920__0 </t>
  </si>
  <si>
    <t>경미</t>
  </si>
  <si>
    <t>valueplus2</t>
  </si>
  <si>
    <t>lumi.yujin</t>
  </si>
  <si>
    <t>서율</t>
  </si>
  <si>
    <t>blanc2mom</t>
  </si>
  <si>
    <t>싱가폴</t>
  </si>
  <si>
    <t>seoulbrother.sg</t>
  </si>
  <si>
    <t>해피리치천사사</t>
  </si>
  <si>
    <t xml:space="preserve"> </t>
  </si>
  <si>
    <t>05.03 (토)</t>
  </si>
  <si>
    <t>05.06 (화)</t>
  </si>
  <si>
    <t>05.10 (토)</t>
  </si>
  <si>
    <t>05.13 (화)</t>
  </si>
  <si>
    <t>05.17 (토)</t>
  </si>
  <si>
    <t>05.20 (화)</t>
  </si>
  <si>
    <t>05.24 (토)</t>
  </si>
  <si>
    <t>05.27 (화)</t>
  </si>
  <si>
    <t>05.31 (토)</t>
  </si>
  <si>
    <t>#디인챌_0502</t>
  </si>
  <si>
    <t>#디인챌_0505</t>
  </si>
  <si>
    <t>#디인챌_0509</t>
  </si>
  <si>
    <t>#디인챌_0512</t>
  </si>
  <si>
    <t>#디인챌_0516</t>
  </si>
  <si>
    <t>#디인챌_0519</t>
  </si>
  <si>
    <t>#디인챌_0523</t>
  </si>
  <si>
    <t>#디인챌_0526</t>
  </si>
  <si>
    <t>#디인챌_0530</t>
  </si>
  <si>
    <t>9번중 9번 참여</t>
  </si>
  <si>
    <t>스토리마마</t>
  </si>
  <si>
    <t>셀레나</t>
  </si>
  <si>
    <t xml:space="preserve">queenlike_me </t>
  </si>
  <si>
    <t>9번 중 7번 참여</t>
  </si>
  <si>
    <t xml:space="preserve">들꽃 </t>
  </si>
  <si>
    <t>규리드림</t>
  </si>
  <si>
    <t>kyuri.dream</t>
  </si>
  <si>
    <t>혜니</t>
  </si>
  <si>
    <t>pinkly.travel</t>
  </si>
  <si>
    <t xml:space="preserve">아모르샘 </t>
  </si>
  <si>
    <t xml:space="preserve">amorssam </t>
  </si>
  <si>
    <t>3번 중 3번 참여</t>
  </si>
  <si>
    <t>1번 중 1번 참여</t>
  </si>
  <si>
    <t>06.03 (화)</t>
  </si>
  <si>
    <t>06.07 (토)</t>
  </si>
  <si>
    <t>06.10 (화)</t>
  </si>
  <si>
    <t>06.14 (토)</t>
  </si>
  <si>
    <t>06.17 (화)</t>
  </si>
  <si>
    <t>06.21 (토)</t>
  </si>
  <si>
    <t>06.24 (화)</t>
  </si>
  <si>
    <t>06.28 (토)</t>
  </si>
  <si>
    <t>#디인챌_0602</t>
  </si>
  <si>
    <t>#디인챌_0606</t>
  </si>
  <si>
    <t>#디인챌_0609</t>
  </si>
  <si>
    <t>#디인챌_0613</t>
  </si>
  <si>
    <t>#디인챌_0616</t>
  </si>
  <si>
    <t>#디인챌_0620</t>
  </si>
  <si>
    <t>#디인챌_0623</t>
  </si>
  <si>
    <t>#디인챌_0627</t>
  </si>
  <si>
    <t>hyuncoach_labz</t>
  </si>
  <si>
    <t>8번중 8번 참여</t>
  </si>
  <si>
    <t>5번중 3번 참여</t>
  </si>
  <si>
    <t>디디</t>
  </si>
  <si>
    <t>didi_company_books</t>
  </si>
  <si>
    <t>작은행동</t>
  </si>
  <si>
    <t>littleactioncontent</t>
  </si>
  <si>
    <t>차영지</t>
  </si>
  <si>
    <t>youngjicha</t>
  </si>
  <si>
    <t>현</t>
  </si>
  <si>
    <t>07.01 (화)</t>
  </si>
  <si>
    <t>07.05 (토)</t>
  </si>
  <si>
    <t>07.08 (화)</t>
  </si>
  <si>
    <t>07.12 (토)</t>
  </si>
  <si>
    <t>07.15 (화)</t>
  </si>
  <si>
    <t>07.19 (토)</t>
  </si>
  <si>
    <t>07.22 (화)</t>
  </si>
  <si>
    <t>07.26 (토)</t>
  </si>
  <si>
    <t>07.29 (화)</t>
  </si>
  <si>
    <t>#디인챌_0630</t>
  </si>
  <si>
    <t>#디인챌_0704</t>
  </si>
  <si>
    <t>#디인챌_0707</t>
  </si>
  <si>
    <t>#디인챌_0711</t>
  </si>
  <si>
    <t>#디인챌_0714</t>
  </si>
  <si>
    <t>#디인챌_0718</t>
  </si>
  <si>
    <t>#디인챌_0721</t>
  </si>
  <si>
    <t>#디인챌_0725</t>
  </si>
  <si>
    <t>#디인챌_0728</t>
  </si>
  <si>
    <t>하단에 추가 시트 생성 하지 말기^^</t>
  </si>
  <si>
    <t xml:space="preserve">뷰티샘 </t>
  </si>
  <si>
    <t xml:space="preserve">bokbuinmanse </t>
  </si>
  <si>
    <t>동연출판사(책과삶)</t>
  </si>
  <si>
    <t>booksnlife25</t>
  </si>
  <si>
    <t>08.02 (토)</t>
  </si>
  <si>
    <t>08.05 (화)</t>
  </si>
  <si>
    <t>08.09 (토)</t>
  </si>
  <si>
    <t>08.12 (화)</t>
  </si>
  <si>
    <t>08.16 (토)</t>
  </si>
  <si>
    <t>08.19 (화)</t>
  </si>
  <si>
    <t>08.23 (토)</t>
  </si>
  <si>
    <t>08.26 (화)</t>
  </si>
  <si>
    <t>08.30 (토)</t>
  </si>
  <si>
    <t>#디인챌_0801</t>
  </si>
  <si>
    <t>#디인챌_0804</t>
  </si>
  <si>
    <t>#디인챌_0808</t>
  </si>
  <si>
    <t>#디인챌_0811</t>
  </si>
  <si>
    <t>#디인챌_0815</t>
  </si>
  <si>
    <t>#디인챌_0818</t>
  </si>
  <si>
    <t>#디인챌_0822</t>
  </si>
  <si>
    <t>#디인챌_0825</t>
  </si>
  <si>
    <t>#디인챌_0829</t>
  </si>
  <si>
    <t>김수수</t>
  </si>
  <si>
    <t>wort.tree</t>
  </si>
  <si>
    <t>국제진로전문가</t>
  </si>
  <si>
    <t>머즈랩</t>
  </si>
  <si>
    <t>designer_muzz_</t>
  </si>
  <si>
    <t>책과삶</t>
  </si>
  <si>
    <t>까매오걸</t>
  </si>
  <si>
    <t>kameogirl</t>
  </si>
  <si>
    <r>
      <rPr>
        <rFont val="-apple-system, BlinkMacSystemFont, &quot;Segoe UI&quot;, Roboto, Helvetica, Arial, sans-serif"/>
        <color rgb="FF1155CC"/>
        <sz val="11.0"/>
        <u/>
      </rPr>
      <t>hannah_calli_</t>
    </r>
  </si>
  <si>
    <t>위즈</t>
  </si>
  <si>
    <t>eunsoon.hong</t>
  </si>
  <si>
    <t>93번으로 번호 이동!</t>
  </si>
  <si>
    <t>85번으로 번호 이동!</t>
  </si>
  <si>
    <t>71번으로 번호 이동!</t>
  </si>
  <si>
    <t>33번으로 번호 이동!</t>
  </si>
  <si>
    <t>1번중 1번 참여</t>
  </si>
  <si>
    <t>42번으로 번호 이동!</t>
  </si>
  <si>
    <t>아다나&gt;9월 시트 64번</t>
  </si>
  <si>
    <t>@family20255789</t>
  </si>
  <si>
    <t>100_chunsa</t>
  </si>
  <si>
    <t>지블리</t>
  </si>
  <si>
    <t xml:space="preserve">@gibael </t>
  </si>
  <si>
    <t>09.02 (화)</t>
  </si>
  <si>
    <t>09.06 (토)</t>
  </si>
  <si>
    <t>09.09 (화)</t>
  </si>
  <si>
    <t>09.13 (토)</t>
  </si>
  <si>
    <t>09.16 (화)</t>
  </si>
  <si>
    <t>09.20 (토)</t>
  </si>
  <si>
    <t>09.23 (화)</t>
  </si>
  <si>
    <t>09.27 (토)</t>
  </si>
  <si>
    <t>09.30 (화)</t>
  </si>
  <si>
    <t>#디인챌_0901</t>
  </si>
  <si>
    <t>#디인챌_0905</t>
  </si>
  <si>
    <t>#디인챌_0908</t>
  </si>
  <si>
    <t>#디인챌_0912</t>
  </si>
  <si>
    <t>#디인챌_0915</t>
  </si>
  <si>
    <t>#디인챌_0919</t>
  </si>
  <si>
    <t>#디인챌_0922</t>
  </si>
  <si>
    <t>#디인챌_0926</t>
  </si>
  <si>
    <t>#디인챌_0929</t>
  </si>
  <si>
    <t xml:space="preserve">지블리 </t>
  </si>
  <si>
    <t>@amazing_mihye</t>
  </si>
  <si>
    <t>@hom.melier</t>
  </si>
  <si>
    <t>머즈</t>
  </si>
  <si>
    <t>designer_muzz</t>
  </si>
  <si>
    <r>
      <rPr>
        <rFont val="-apple-system, BlinkMacSystemFont, &quot;Segoe UI&quot;, Roboto, Helvetica, Arial, sans-serif"/>
        <color rgb="FF1155CC"/>
        <sz val="11.0"/>
        <u/>
      </rPr>
      <t>hannah_calli_</t>
    </r>
  </si>
  <si>
    <t>프시케라니&gt;&gt;48번으로</t>
  </si>
  <si>
    <t>캐모마일&gt;&gt;33번으로</t>
  </si>
  <si>
    <t>이석경&gt;&gt;74번으로</t>
  </si>
  <si>
    <t>차영지&gt;&gt;90번으로</t>
  </si>
  <si>
    <t>10.04 (토)</t>
  </si>
  <si>
    <t>10.07 (화)</t>
  </si>
  <si>
    <t>10.11 (토)</t>
  </si>
  <si>
    <t>10.14 (화)</t>
  </si>
  <si>
    <t>10.18 (토)</t>
  </si>
  <si>
    <t>10.21 (화)</t>
  </si>
  <si>
    <t>10.25 (토)</t>
  </si>
  <si>
    <t>10.28 (화)</t>
  </si>
  <si>
    <t>#디인챌_1003</t>
  </si>
  <si>
    <t>#디인챌_1006</t>
  </si>
  <si>
    <t>#디인챌_1010</t>
  </si>
  <si>
    <t>#디인챌_1013</t>
  </si>
  <si>
    <t>#디인챌_1017</t>
  </si>
  <si>
    <t>#디인챌_1020</t>
  </si>
  <si>
    <t>#디인챌_1024</t>
  </si>
  <si>
    <t>#디인챌_1027</t>
  </si>
  <si>
    <t>쏭블리</t>
  </si>
  <si>
    <t xml:space="preserve">ssongvely79 </t>
  </si>
  <si>
    <r>
      <rPr>
        <rFont val="-apple-system, BlinkMacSystemFont, &quot;Segoe UI&quot;, Roboto, Helvetica, Arial, sans-serif"/>
        <color rgb="FF000000"/>
        <sz val="11.0"/>
        <u/>
      </rPr>
      <t>hannah_calli_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</si>
</sst>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2">
    <font>
      <sz val="10.0"/>
      <color rgb="FF000000"/>
      <name val="Arial"/>
      <scheme val="minor"/>
    </font>
    <font>
      <color theme="1"/>
      <name val="Arial"/>
    </font>
    <font>
      <b/>
      <sz val="12.0"/>
      <color rgb="FFFFFFFF"/>
      <name val="Malgun Gothic"/>
    </font>
    <font>
      <b/>
      <sz val="11.0"/>
      <color rgb="FFFFFFFF"/>
      <name val="Malgun Gothic"/>
    </font>
    <font>
      <b/>
      <sz val="11.0"/>
      <color theme="1"/>
      <name val="Malgun Gothic"/>
    </font>
    <font>
      <b/>
      <color theme="1"/>
      <name val="Arial"/>
    </font>
    <font>
      <sz val="11.0"/>
      <color theme="1"/>
      <name val="Malgun Gothic"/>
    </font>
    <font>
      <u/>
      <sz val="11.0"/>
      <color rgb="FF1155CC"/>
      <name val="Malgun Gothic"/>
    </font>
    <font>
      <b/>
      <color theme="1"/>
      <name val="Malgun Gothic"/>
    </font>
    <font>
      <u/>
      <sz val="11.0"/>
      <color rgb="FF1155CC"/>
      <name val="Malgun Gothic"/>
    </font>
    <font>
      <sz val="11.0"/>
      <color theme="1"/>
      <name val="Arial"/>
    </font>
    <font>
      <u/>
      <sz val="11.0"/>
      <color rgb="FF1155CC"/>
      <name val="Arial"/>
    </font>
    <font>
      <u/>
      <sz val="11.0"/>
      <color rgb="FF1155CC"/>
      <name val="Malgun Gothic"/>
    </font>
    <font>
      <u/>
      <sz val="11.0"/>
      <color rgb="FF1155CC"/>
      <name val="Malgun Gothic"/>
    </font>
    <font>
      <u/>
      <color rgb="FF1155CC"/>
      <name val="Arial"/>
    </font>
    <font>
      <sz val="11.0"/>
      <color rgb="FF0000FF"/>
      <name val="Malgun Gothic"/>
    </font>
    <font>
      <color rgb="FF0000FF"/>
      <name val="Arial"/>
    </font>
    <font>
      <u/>
      <sz val="11.0"/>
      <color theme="1"/>
      <name val="Malgun Gothic"/>
    </font>
    <font>
      <color theme="1"/>
      <name val="Malgun Gothic"/>
    </font>
    <font>
      <u/>
      <sz val="11.0"/>
      <color rgb="FF000000"/>
      <name val="Malgun Gothic"/>
    </font>
    <font>
      <b/>
      <color theme="0"/>
      <name val="Malgun Gothic"/>
    </font>
    <font>
      <b/>
      <sz val="11.0"/>
      <color theme="0"/>
      <name val="Malgun Gothic"/>
    </font>
    <font>
      <sz val="11.0"/>
      <color rgb="FF000000"/>
      <name val="Malgun Gothic"/>
    </font>
    <font>
      <u/>
      <sz val="11.0"/>
      <color rgb="FF000000"/>
      <name val="Arial"/>
    </font>
    <font>
      <color rgb="FF000000"/>
      <name val="Arial"/>
    </font>
    <font>
      <u/>
      <sz val="11.0"/>
      <color rgb="FF000000"/>
      <name val="Malgun Gothic"/>
    </font>
    <font>
      <sz val="11.0"/>
      <color rgb="FF000000"/>
      <name val="Arial"/>
    </font>
    <font>
      <u/>
      <sz val="11.0"/>
      <color rgb="FF000000"/>
      <name val="Malgun Gothic"/>
    </font>
    <font>
      <u/>
      <color rgb="FF0000FF"/>
      <name val="Arial"/>
    </font>
    <font>
      <u/>
      <sz val="11.0"/>
      <color rgb="FF0000FF"/>
      <name val="Malgun Gothic"/>
    </font>
    <font>
      <color rgb="FF0000FF"/>
      <name val="Arial"/>
      <scheme val="minor"/>
    </font>
    <font>
      <u/>
      <sz val="11.0"/>
      <color rgb="FF000000"/>
      <name val="Malgun Gothic"/>
    </font>
    <font>
      <u/>
      <sz val="11.0"/>
      <color rgb="FF000000"/>
      <name val="Malgun Gothic"/>
    </font>
    <font>
      <sz val="10.0"/>
      <color theme="1"/>
      <name val="Malgun Gothic"/>
    </font>
    <font>
      <strike/>
      <sz val="11.0"/>
      <color theme="1"/>
      <name val="Malgun Gothic"/>
    </font>
    <font>
      <u/>
      <sz val="11.0"/>
      <color rgb="FF000000"/>
      <name val="Arial"/>
    </font>
    <font>
      <color theme="1"/>
      <name val="Arial"/>
      <scheme val="minor"/>
    </font>
    <font>
      <u/>
      <color rgb="FF000000"/>
      <name val="Arial"/>
    </font>
    <font>
      <u/>
      <sz val="11.0"/>
      <color rgb="FF000000"/>
      <name val="Malgun Gothic"/>
    </font>
    <font>
      <sz val="11.0"/>
      <color rgb="FF000000"/>
      <name val="Arial"/>
      <scheme val="minor"/>
    </font>
    <font>
      <u/>
      <sz val="11.0"/>
      <color rgb="FF0000FF"/>
      <name val="Malgun Gothic"/>
    </font>
    <font>
      <color rgb="FFB7B7B7"/>
      <name val="Arial"/>
    </font>
    <font>
      <u/>
      <sz val="11.0"/>
      <color rgb="FF000000"/>
    </font>
    <font>
      <b/>
      <sz val="11.0"/>
      <color rgb="FF000000"/>
      <name val="Malgun Gothic"/>
    </font>
    <font>
      <u/>
      <sz val="11.0"/>
      <color rgb="FF000000"/>
      <name val="Malgun Gothic"/>
    </font>
    <font>
      <sz val="11.0"/>
      <color rgb="FFEFEFEF"/>
      <name val="Malgun Gothic"/>
    </font>
    <font>
      <b/>
      <u/>
      <sz val="11.0"/>
      <color rgb="FF000000"/>
      <name val="Malgun Gothic"/>
    </font>
    <font>
      <u/>
      <sz val="11.0"/>
      <color rgb="FF0000FF"/>
      <name val="Malgun Gothic"/>
    </font>
    <font>
      <color theme="0"/>
      <name val="Malgun Gothic"/>
    </font>
    <font>
      <color theme="0"/>
      <name val="Arial"/>
    </font>
    <font>
      <u/>
      <sz val="11.0"/>
      <color rgb="FF0000FF"/>
      <name val="Malgun Gothic"/>
    </font>
    <font>
      <color rgb="FFFFFFFF"/>
      <name val="Arial"/>
    </font>
    <font>
      <u/>
      <sz val="11.0"/>
      <color rgb="FF1155CC"/>
      <name val="Malgun Gothic"/>
    </font>
    <font>
      <u/>
      <sz val="11.0"/>
      <color rgb="FF0000FF"/>
      <name val="Malgun Gothic"/>
    </font>
    <font>
      <u/>
      <sz val="11.0"/>
      <color rgb="FF0000FF"/>
      <name val="Malgun Gothic"/>
    </font>
    <font>
      <color theme="0"/>
      <name val="Arial"/>
      <scheme val="minor"/>
    </font>
    <font>
      <u/>
      <color rgb="FF0000FF"/>
      <name val="Malgun Gothic"/>
    </font>
    <font>
      <u/>
      <color rgb="FF0000FF"/>
      <name val="Arial"/>
    </font>
    <font>
      <b/>
      <color rgb="FFFFFFFF"/>
      <name val="Malgun Gothic"/>
    </font>
    <font>
      <u/>
      <sz val="11.0"/>
      <color rgb="FF0000FF"/>
      <name val="Arial"/>
    </font>
    <font>
      <u/>
      <sz val="11.0"/>
      <color rgb="FF0000FF"/>
      <name val="Malgun Gothic"/>
    </font>
    <font>
      <u/>
      <sz val="11.0"/>
      <color rgb="FF0000FF"/>
    </font>
    <font>
      <b/>
      <sz val="12.0"/>
      <color rgb="FFFFFFFF"/>
      <name val="Arial"/>
    </font>
    <font>
      <u/>
      <color rgb="FF0000FF"/>
    </font>
    <font>
      <u/>
      <sz val="11.0"/>
      <color rgb="FF0000FF"/>
      <name val="Arial"/>
    </font>
    <font>
      <u/>
      <color rgb="FF1155CC"/>
      <name val="Arial"/>
    </font>
    <font>
      <u/>
      <color rgb="FF1155CC"/>
      <name val="Malgun Gothic"/>
    </font>
    <font>
      <u/>
      <sz val="11.0"/>
      <color rgb="FF1155CC"/>
      <name val="Malgun Gothic"/>
    </font>
    <font>
      <u/>
      <sz val="11.0"/>
      <color rgb="FF0000FF"/>
    </font>
    <font>
      <color rgb="FF4A86E8"/>
      <name val="Malgun Gothic"/>
    </font>
    <font>
      <color rgb="FF0B5394"/>
      <name val="Arial"/>
    </font>
    <font>
      <u/>
      <sz val="11.0"/>
      <color rgb="FF000000"/>
      <name val="Malgun Gothic"/>
    </font>
  </fonts>
  <fills count="18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EA4335"/>
        <bgColor rgb="FFEA4335"/>
      </patternFill>
    </fill>
    <fill>
      <patternFill patternType="solid">
        <fgColor rgb="FFFFFF00"/>
        <bgColor rgb="FFFFFF00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4285F4"/>
        <bgColor rgb="FF4285F4"/>
      </patternFill>
    </fill>
    <fill>
      <patternFill patternType="solid">
        <fgColor rgb="FFE7F9EF"/>
        <bgColor rgb="FFE7F9EF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rgb="FF00FFFF"/>
        <bgColor rgb="FF00FFFF"/>
      </patternFill>
    </fill>
    <fill>
      <patternFill patternType="solid">
        <fgColor theme="6"/>
        <bgColor theme="6"/>
      </patternFill>
    </fill>
    <fill>
      <patternFill patternType="solid">
        <fgColor rgb="FFD9E1F2"/>
        <bgColor rgb="FFD9E1F2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</fills>
  <borders count="5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horizontal="center" vertical="bottom"/>
    </xf>
    <xf borderId="0" fillId="3" fontId="3" numFmtId="0" xfId="0" applyAlignment="1" applyFill="1" applyFont="1">
      <alignment horizontal="center" vertical="bottom"/>
    </xf>
    <xf borderId="0" fillId="4" fontId="1" numFmtId="0" xfId="0" applyAlignment="1" applyFill="1" applyFont="1">
      <alignment vertical="bottom"/>
    </xf>
    <xf borderId="0" fillId="4" fontId="4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1" fillId="4" fontId="1" numFmtId="0" xfId="0" applyAlignment="1" applyBorder="1" applyFont="1">
      <alignment vertical="bottom"/>
    </xf>
    <xf borderId="1" fillId="4" fontId="4" numFmtId="0" xfId="0" applyAlignment="1" applyBorder="1" applyFont="1">
      <alignment horizontal="center" vertical="bottom"/>
    </xf>
    <xf borderId="0" fillId="3" fontId="1" numFmtId="0" xfId="0" applyAlignment="1" applyFont="1">
      <alignment vertical="bottom"/>
    </xf>
    <xf borderId="1" fillId="5" fontId="1" numFmtId="0" xfId="0" applyAlignment="1" applyBorder="1" applyFill="1" applyFont="1">
      <alignment vertical="bottom"/>
    </xf>
    <xf borderId="1" fillId="5" fontId="4" numFmtId="0" xfId="0" applyAlignment="1" applyBorder="1" applyFont="1">
      <alignment horizontal="center" vertical="bottom"/>
    </xf>
    <xf borderId="0" fillId="5" fontId="4" numFmtId="0" xfId="0" applyAlignment="1" applyFont="1">
      <alignment horizontal="center" vertical="bottom"/>
    </xf>
    <xf borderId="0" fillId="5" fontId="1" numFmtId="0" xfId="0" applyAlignment="1" applyFont="1">
      <alignment vertical="bottom"/>
    </xf>
    <xf borderId="0" fillId="6" fontId="1" numFmtId="0" xfId="0" applyAlignment="1" applyFill="1" applyFont="1">
      <alignment vertical="bottom"/>
    </xf>
    <xf borderId="2" fillId="7" fontId="3" numFmtId="0" xfId="0" applyAlignment="1" applyBorder="1" applyFill="1" applyFont="1">
      <alignment horizontal="center" vertical="bottom"/>
    </xf>
    <xf borderId="3" fillId="7" fontId="3" numFmtId="0" xfId="0" applyAlignment="1" applyBorder="1" applyFont="1">
      <alignment horizontal="center" vertical="bottom"/>
    </xf>
    <xf borderId="0" fillId="7" fontId="3" numFmtId="0" xfId="0" applyAlignment="1" applyFont="1">
      <alignment horizontal="center" vertical="bottom"/>
    </xf>
    <xf borderId="1" fillId="0" fontId="1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6" fontId="1" numFmtId="0" xfId="0" applyAlignment="1" applyFont="1">
      <alignment vertical="bottom"/>
    </xf>
    <xf borderId="2" fillId="6" fontId="6" numFmtId="0" xfId="0" applyAlignment="1" applyBorder="1" applyFont="1">
      <alignment horizontal="center" vertical="bottom"/>
    </xf>
    <xf borderId="3" fillId="6" fontId="6" numFmtId="0" xfId="0" applyAlignment="1" applyBorder="1" applyFont="1">
      <alignment horizontal="center" vertical="bottom"/>
    </xf>
    <xf borderId="3" fillId="6" fontId="7" numFmtId="0" xfId="0" applyAlignment="1" applyBorder="1" applyFont="1">
      <alignment horizontal="center" vertical="bottom"/>
    </xf>
    <xf borderId="4" fillId="6" fontId="8" numFmtId="0" xfId="0" applyAlignment="1" applyBorder="1" applyFont="1">
      <alignment horizontal="center" vertical="bottom"/>
    </xf>
    <xf borderId="3" fillId="6" fontId="4" numFmtId="9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8" fontId="1" numFmtId="0" xfId="0" applyAlignment="1" applyFill="1" applyFont="1">
      <alignment vertical="bottom"/>
    </xf>
    <xf borderId="2" fillId="8" fontId="6" numFmtId="0" xfId="0" applyAlignment="1" applyBorder="1" applyFont="1">
      <alignment horizontal="center" vertical="bottom"/>
    </xf>
    <xf borderId="3" fillId="8" fontId="6" numFmtId="0" xfId="0" applyAlignment="1" applyBorder="1" applyFont="1">
      <alignment horizontal="center" vertical="bottom"/>
    </xf>
    <xf borderId="3" fillId="8" fontId="6" numFmtId="0" xfId="0" applyAlignment="1" applyBorder="1" applyFont="1">
      <alignment horizontal="center" vertical="bottom"/>
    </xf>
    <xf borderId="4" fillId="8" fontId="8" numFmtId="0" xfId="0" applyAlignment="1" applyBorder="1" applyFont="1">
      <alignment horizontal="center" vertical="bottom"/>
    </xf>
    <xf borderId="3" fillId="8" fontId="4" numFmtId="9" xfId="0" applyAlignment="1" applyBorder="1" applyFont="1" applyNumberFormat="1">
      <alignment horizontal="center" vertical="bottom"/>
    </xf>
    <xf borderId="4" fillId="6" fontId="1" numFmtId="0" xfId="0" applyAlignment="1" applyBorder="1" applyFont="1">
      <alignment vertical="bottom"/>
    </xf>
    <xf borderId="3" fillId="6" fontId="1" numFmtId="9" xfId="0" applyAlignment="1" applyBorder="1" applyFont="1" applyNumberFormat="1">
      <alignment vertical="bottom"/>
    </xf>
    <xf borderId="0" fillId="0" fontId="1" numFmtId="0" xfId="0" applyAlignment="1" applyFont="1">
      <alignment vertical="bottom"/>
    </xf>
    <xf borderId="4" fillId="8" fontId="1" numFmtId="0" xfId="0" applyAlignment="1" applyBorder="1" applyFont="1">
      <alignment vertical="bottom"/>
    </xf>
    <xf borderId="3" fillId="8" fontId="1" numFmtId="9" xfId="0" applyAlignment="1" applyBorder="1" applyFont="1" applyNumberFormat="1">
      <alignment vertical="bottom"/>
    </xf>
    <xf borderId="3" fillId="8" fontId="1" numFmtId="9" xfId="0" applyAlignment="1" applyBorder="1" applyFont="1" applyNumberFormat="1">
      <alignment horizontal="right" vertical="bottom"/>
    </xf>
    <xf borderId="1" fillId="0" fontId="1" numFmtId="0" xfId="0" applyAlignment="1" applyBorder="1" applyFont="1">
      <alignment vertical="bottom"/>
    </xf>
    <xf borderId="3" fillId="6" fontId="6" numFmtId="0" xfId="0" applyAlignment="1" applyBorder="1" applyFont="1">
      <alignment horizontal="center" vertical="bottom"/>
    </xf>
    <xf borderId="3" fillId="8" fontId="9" numFmtId="0" xfId="0" applyAlignment="1" applyBorder="1" applyFont="1">
      <alignment horizontal="center" vertical="bottom"/>
    </xf>
    <xf borderId="4" fillId="6" fontId="10" numFmtId="0" xfId="0" applyAlignment="1" applyBorder="1" applyFont="1">
      <alignment horizontal="center" vertical="bottom"/>
    </xf>
    <xf borderId="4" fillId="6" fontId="11" numFmtId="0" xfId="0" applyAlignment="1" applyBorder="1" applyFont="1">
      <alignment horizontal="center" vertical="bottom"/>
    </xf>
    <xf borderId="3" fillId="8" fontId="1" numFmtId="0" xfId="0" applyAlignment="1" applyBorder="1" applyFont="1">
      <alignment horizontal="center" vertical="bottom"/>
    </xf>
    <xf borderId="3" fillId="6" fontId="12" numFmtId="0" xfId="0" applyAlignment="1" applyBorder="1" applyFont="1">
      <alignment horizontal="center" vertical="bottom"/>
    </xf>
    <xf borderId="3" fillId="8" fontId="13" numFmtId="0" xfId="0" applyAlignment="1" applyBorder="1" applyFont="1">
      <alignment horizontal="center" vertical="bottom"/>
    </xf>
    <xf borderId="4" fillId="8" fontId="10" numFmtId="0" xfId="0" applyAlignment="1" applyBorder="1" applyFont="1">
      <alignment horizontal="center" vertical="bottom"/>
    </xf>
    <xf borderId="4" fillId="6" fontId="6" numFmtId="0" xfId="0" applyAlignment="1" applyBorder="1" applyFont="1">
      <alignment horizontal="center" vertical="bottom"/>
    </xf>
    <xf borderId="4" fillId="8" fontId="6" numFmtId="0" xfId="0" applyAlignment="1" applyBorder="1" applyFont="1">
      <alignment horizontal="center" vertical="bottom"/>
    </xf>
    <xf borderId="1" fillId="8" fontId="14" numFmtId="0" xfId="0" applyAlignment="1" applyBorder="1" applyFont="1">
      <alignment horizontal="center" vertical="bottom"/>
    </xf>
    <xf borderId="4" fillId="6" fontId="6" numFmtId="0" xfId="0" applyAlignment="1" applyBorder="1" applyFont="1">
      <alignment horizontal="center" vertical="bottom"/>
    </xf>
    <xf borderId="3" fillId="6" fontId="1" numFmtId="9" xfId="0" applyAlignment="1" applyBorder="1" applyFont="1" applyNumberFormat="1">
      <alignment horizontal="right" vertical="bottom"/>
    </xf>
    <xf borderId="0" fillId="8" fontId="6" numFmtId="0" xfId="0" applyAlignment="1" applyFont="1">
      <alignment horizontal="center" vertical="bottom"/>
    </xf>
    <xf borderId="2" fillId="8" fontId="15" numFmtId="0" xfId="0" applyAlignment="1" applyBorder="1" applyFont="1">
      <alignment horizontal="center" vertical="bottom"/>
    </xf>
    <xf borderId="0" fillId="8" fontId="16" numFmtId="0" xfId="0" applyAlignment="1" applyFont="1">
      <alignment vertical="bottom"/>
    </xf>
    <xf borderId="3" fillId="8" fontId="15" numFmtId="0" xfId="0" applyAlignment="1" applyBorder="1" applyFont="1">
      <alignment horizontal="center" vertical="bottom"/>
    </xf>
    <xf borderId="0" fillId="6" fontId="1" numFmtId="0" xfId="0" applyAlignment="1" applyFont="1">
      <alignment vertical="bottom"/>
    </xf>
    <xf borderId="3" fillId="8" fontId="17" numFmtId="0" xfId="0" applyAlignment="1" applyBorder="1" applyFont="1">
      <alignment horizontal="center" vertical="bottom"/>
    </xf>
    <xf borderId="4" fillId="8" fontId="6" numFmtId="0" xfId="0" applyAlignment="1" applyBorder="1" applyFont="1">
      <alignment horizontal="center" vertical="bottom"/>
    </xf>
    <xf borderId="3" fillId="8" fontId="1" numFmtId="0" xfId="0" applyAlignment="1" applyBorder="1" applyFont="1">
      <alignment vertical="bottom"/>
    </xf>
    <xf borderId="3" fillId="6" fontId="1" numFmtId="0" xfId="0" applyAlignment="1" applyBorder="1" applyFont="1">
      <alignment vertical="bottom"/>
    </xf>
    <xf borderId="4" fillId="6" fontId="10" numFmtId="0" xfId="0" applyAlignment="1" applyBorder="1" applyFont="1">
      <alignment horizontal="center" vertical="bottom"/>
    </xf>
    <xf borderId="3" fillId="8" fontId="1" numFmtId="0" xfId="0" applyAlignment="1" applyBorder="1" applyFont="1">
      <alignment vertical="bottom"/>
    </xf>
    <xf borderId="3" fillId="6" fontId="1" numFmtId="0" xfId="0" applyAlignment="1" applyBorder="1" applyFont="1">
      <alignment vertical="bottom"/>
    </xf>
    <xf borderId="4" fillId="8" fontId="1" numFmtId="0" xfId="0" applyAlignment="1" applyBorder="1" applyFont="1">
      <alignment vertical="bottom"/>
    </xf>
    <xf borderId="4" fillId="6" fontId="1" numFmtId="0" xfId="0" applyAlignment="1" applyBorder="1" applyFont="1">
      <alignment vertical="bottom"/>
    </xf>
    <xf borderId="2" fillId="6" fontId="6" numFmtId="0" xfId="0" applyAlignment="1" applyBorder="1" applyFont="1">
      <alignment horizontal="center" vertical="bottom"/>
    </xf>
    <xf borderId="4" fillId="6" fontId="1" numFmtId="0" xfId="0" applyAlignment="1" applyBorder="1" applyFont="1">
      <alignment vertical="bottom"/>
    </xf>
    <xf borderId="4" fillId="3" fontId="1" numFmtId="0" xfId="0" applyAlignment="1" applyBorder="1" applyFont="1">
      <alignment vertical="bottom"/>
    </xf>
    <xf borderId="3" fillId="3" fontId="1" numFmtId="9" xfId="0" applyAlignment="1" applyBorder="1" applyFont="1" applyNumberFormat="1">
      <alignment vertical="bottom"/>
    </xf>
    <xf borderId="1" fillId="0" fontId="1" numFmtId="0" xfId="0" applyAlignment="1" applyBorder="1" applyFont="1">
      <alignment vertical="bottom"/>
    </xf>
    <xf borderId="0" fillId="0" fontId="4" numFmtId="0" xfId="0" applyAlignment="1" applyFont="1">
      <alignment horizontal="center" vertical="bottom"/>
    </xf>
    <xf borderId="0" fillId="2" fontId="2" numFmtId="0" xfId="0" applyAlignment="1" applyFont="1">
      <alignment horizontal="center" readingOrder="0" vertical="center"/>
    </xf>
    <xf borderId="0" fillId="4" fontId="4" numFmtId="0" xfId="0" applyAlignment="1" applyFont="1">
      <alignment horizontal="center" readingOrder="0" vertical="bottom"/>
    </xf>
    <xf borderId="0" fillId="0" fontId="18" numFmtId="0" xfId="0" applyAlignment="1" applyFont="1">
      <alignment horizontal="center" vertical="bottom"/>
    </xf>
    <xf borderId="1" fillId="4" fontId="4" numFmtId="0" xfId="0" applyAlignment="1" applyBorder="1" applyFont="1">
      <alignment horizontal="center" readingOrder="0" vertical="bottom"/>
    </xf>
    <xf borderId="0" fillId="5" fontId="4" numFmtId="0" xfId="0" applyAlignment="1" applyFont="1">
      <alignment horizontal="center" readingOrder="0" vertical="bottom"/>
    </xf>
    <xf borderId="0" fillId="9" fontId="3" numFmtId="0" xfId="0" applyAlignment="1" applyFill="1" applyFont="1">
      <alignment horizontal="center" vertical="bottom"/>
    </xf>
    <xf borderId="2" fillId="10" fontId="3" numFmtId="0" xfId="0" applyAlignment="1" applyBorder="1" applyFill="1" applyFont="1">
      <alignment horizontal="center" vertical="bottom"/>
    </xf>
    <xf borderId="3" fillId="10" fontId="3" numFmtId="0" xfId="0" applyAlignment="1" applyBorder="1" applyFont="1">
      <alignment horizontal="center" vertical="bottom"/>
    </xf>
    <xf borderId="0" fillId="10" fontId="3" numFmtId="0" xfId="0" applyAlignment="1" applyFont="1">
      <alignment horizontal="center" vertical="bottom"/>
    </xf>
    <xf borderId="1" fillId="10" fontId="5" numFmtId="0" xfId="0" applyAlignment="1" applyBorder="1" applyFont="1">
      <alignment readingOrder="0" vertical="bottom"/>
    </xf>
    <xf borderId="0" fillId="10" fontId="5" numFmtId="0" xfId="0" applyAlignment="1" applyFont="1">
      <alignment readingOrder="0" vertical="bottom"/>
    </xf>
    <xf borderId="0" fillId="6" fontId="6" numFmtId="0" xfId="0" applyAlignment="1" applyFont="1">
      <alignment horizontal="center" vertical="bottom"/>
    </xf>
    <xf borderId="3" fillId="6" fontId="19" numFmtId="0" xfId="0" applyAlignment="1" applyBorder="1" applyFont="1">
      <alignment horizontal="center" vertical="bottom"/>
    </xf>
    <xf borderId="4" fillId="11" fontId="20" numFmtId="0" xfId="0" applyAlignment="1" applyBorder="1" applyFill="1" applyFont="1">
      <alignment horizontal="center"/>
    </xf>
    <xf borderId="3" fillId="11" fontId="21" numFmtId="9" xfId="0" applyAlignment="1" applyBorder="1" applyFont="1" applyNumberFormat="1">
      <alignment horizontal="center" readingOrder="0" shrinkToFit="0" wrapText="0"/>
    </xf>
    <xf borderId="1" fillId="0" fontId="1" numFmtId="0" xfId="0" applyAlignment="1" applyBorder="1" applyFont="1">
      <alignment readingOrder="0" vertical="bottom"/>
    </xf>
    <xf borderId="0" fillId="0" fontId="1" numFmtId="0" xfId="0" applyAlignment="1" applyFont="1">
      <alignment readingOrder="0" vertical="bottom"/>
    </xf>
    <xf borderId="0" fillId="8" fontId="6" numFmtId="0" xfId="0" applyAlignment="1" applyFont="1">
      <alignment horizontal="center" vertical="bottom"/>
    </xf>
    <xf borderId="3" fillId="8" fontId="6" numFmtId="0" xfId="0" applyAlignment="1" applyBorder="1" applyFont="1">
      <alignment horizontal="center" vertical="bottom"/>
    </xf>
    <xf borderId="3" fillId="8" fontId="6" numFmtId="0" xfId="0" applyAlignment="1" applyBorder="1" applyFont="1">
      <alignment horizontal="center" readingOrder="0" vertical="bottom"/>
    </xf>
    <xf borderId="3" fillId="6" fontId="6" numFmtId="0" xfId="0" applyAlignment="1" applyBorder="1" applyFont="1">
      <alignment horizontal="center" readingOrder="0" vertical="bottom"/>
    </xf>
    <xf borderId="3" fillId="6" fontId="6" numFmtId="0" xfId="0" applyAlignment="1" applyBorder="1" applyFont="1">
      <alignment horizontal="center" readingOrder="0" vertical="bottom"/>
    </xf>
    <xf borderId="3" fillId="8" fontId="22" numFmtId="0" xfId="0" applyAlignment="1" applyBorder="1" applyFont="1">
      <alignment horizontal="center" vertical="bottom"/>
    </xf>
    <xf borderId="4" fillId="8" fontId="10" numFmtId="0" xfId="0" applyAlignment="1" applyBorder="1" applyFont="1">
      <alignment horizontal="center" vertical="bottom"/>
    </xf>
    <xf borderId="4" fillId="8" fontId="23" numFmtId="0" xfId="0" applyAlignment="1" applyBorder="1" applyFont="1">
      <alignment horizontal="center" vertical="bottom"/>
    </xf>
    <xf borderId="3" fillId="6" fontId="22" numFmtId="0" xfId="0" applyAlignment="1" applyBorder="1" applyFont="1">
      <alignment horizontal="center" vertical="bottom"/>
    </xf>
    <xf borderId="3" fillId="8" fontId="6" numFmtId="0" xfId="0" applyAlignment="1" applyBorder="1" applyFont="1">
      <alignment horizontal="center" readingOrder="0" vertical="bottom"/>
    </xf>
    <xf borderId="3" fillId="8" fontId="22" numFmtId="0" xfId="0" applyAlignment="1" applyBorder="1" applyFont="1">
      <alignment horizontal="center" readingOrder="0" vertical="bottom"/>
    </xf>
    <xf borderId="3" fillId="6" fontId="1" numFmtId="0" xfId="0" applyAlignment="1" applyBorder="1" applyFont="1">
      <alignment horizontal="center" readingOrder="0" vertical="bottom"/>
    </xf>
    <xf borderId="3" fillId="6" fontId="24" numFmtId="0" xfId="0" applyAlignment="1" applyBorder="1" applyFont="1">
      <alignment horizontal="center" readingOrder="0" vertical="bottom"/>
    </xf>
    <xf borderId="3" fillId="6" fontId="25" numFmtId="0" xfId="0" applyAlignment="1" applyBorder="1" applyFont="1">
      <alignment horizontal="center" readingOrder="0" vertical="bottom"/>
    </xf>
    <xf borderId="4" fillId="8" fontId="26" numFmtId="0" xfId="0" applyAlignment="1" applyBorder="1" applyFont="1">
      <alignment horizontal="center" readingOrder="0" vertical="bottom"/>
    </xf>
    <xf borderId="3" fillId="8" fontId="27" numFmtId="0" xfId="0" applyAlignment="1" applyBorder="1" applyFont="1">
      <alignment horizontal="center" readingOrder="0" vertical="bottom"/>
    </xf>
    <xf borderId="3" fillId="8" fontId="22" numFmtId="0" xfId="0" applyAlignment="1" applyBorder="1" applyFont="1">
      <alignment horizontal="center" vertical="bottom"/>
    </xf>
    <xf borderId="4" fillId="6" fontId="10" numFmtId="0" xfId="0" applyAlignment="1" applyBorder="1" applyFont="1">
      <alignment horizontal="center" readingOrder="0" vertical="bottom"/>
    </xf>
    <xf borderId="4" fillId="6" fontId="26" numFmtId="0" xfId="0" applyAlignment="1" applyBorder="1" applyFont="1">
      <alignment horizontal="center" readingOrder="0" vertical="bottom"/>
    </xf>
    <xf borderId="4" fillId="6" fontId="6" numFmtId="0" xfId="0" applyAlignment="1" applyBorder="1" applyFont="1">
      <alignment horizontal="center" readingOrder="0" vertical="bottom"/>
    </xf>
    <xf borderId="1" fillId="6" fontId="28" numFmtId="0" xfId="0" applyAlignment="1" applyBorder="1" applyFont="1">
      <alignment horizontal="center" readingOrder="0" vertical="bottom"/>
    </xf>
    <xf borderId="4" fillId="8" fontId="6" numFmtId="0" xfId="0" applyAlignment="1" applyBorder="1" applyFont="1">
      <alignment horizontal="center" readingOrder="0" vertical="bottom"/>
    </xf>
    <xf borderId="4" fillId="8" fontId="22" numFmtId="0" xfId="0" applyAlignment="1" applyBorder="1" applyFont="1">
      <alignment horizontal="center" readingOrder="0" vertical="bottom"/>
    </xf>
    <xf borderId="3" fillId="9" fontId="6" numFmtId="0" xfId="0" applyAlignment="1" applyBorder="1" applyFont="1">
      <alignment horizontal="center" readingOrder="0" vertical="bottom"/>
    </xf>
    <xf borderId="3" fillId="9" fontId="29" numFmtId="0" xfId="0" applyAlignment="1" applyBorder="1" applyFont="1">
      <alignment horizontal="center" readingOrder="0" vertical="bottom"/>
    </xf>
    <xf borderId="0" fillId="8" fontId="6" numFmtId="0" xfId="0" applyAlignment="1" applyFont="1">
      <alignment horizontal="center" readingOrder="0" vertical="bottom"/>
    </xf>
    <xf borderId="2" fillId="8" fontId="15" numFmtId="0" xfId="0" applyAlignment="1" applyBorder="1" applyFont="1">
      <alignment horizontal="center" vertical="bottom"/>
    </xf>
    <xf borderId="0" fillId="0" fontId="30" numFmtId="0" xfId="0" applyAlignment="1" applyFont="1">
      <alignment readingOrder="0"/>
    </xf>
    <xf borderId="3" fillId="8" fontId="15" numFmtId="0" xfId="0" applyAlignment="1" applyBorder="1" applyFont="1">
      <alignment horizontal="center" vertical="bottom"/>
    </xf>
    <xf borderId="2" fillId="8" fontId="6" numFmtId="0" xfId="0" applyAlignment="1" applyBorder="1" applyFont="1">
      <alignment horizontal="center" vertical="bottom"/>
    </xf>
    <xf borderId="3" fillId="8" fontId="31" numFmtId="0" xfId="0" applyAlignment="1" applyBorder="1" applyFont="1">
      <alignment horizontal="center" readingOrder="0" vertical="bottom"/>
    </xf>
    <xf borderId="4" fillId="8" fontId="22" numFmtId="0" xfId="0" applyAlignment="1" applyBorder="1" applyFont="1">
      <alignment horizontal="center" vertical="bottom"/>
    </xf>
    <xf borderId="3" fillId="6" fontId="22" numFmtId="0" xfId="0" applyAlignment="1" applyBorder="1" applyFont="1">
      <alignment horizontal="center" readingOrder="0" vertical="bottom"/>
    </xf>
    <xf borderId="4" fillId="8" fontId="10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readingOrder="0" vertical="bottom"/>
    </xf>
    <xf borderId="4" fillId="8" fontId="10" numFmtId="0" xfId="0" applyAlignment="1" applyBorder="1" applyFont="1">
      <alignment horizontal="center" readingOrder="0" vertical="bottom"/>
    </xf>
    <xf borderId="3" fillId="8" fontId="32" numFmtId="0" xfId="0" applyAlignment="1" applyBorder="1" applyFont="1">
      <alignment horizontal="center" vertical="bottom"/>
    </xf>
    <xf borderId="3" fillId="8" fontId="22" numFmtId="0" xfId="0" applyAlignment="1" applyBorder="1" applyFont="1">
      <alignment horizontal="center" readingOrder="0" vertical="bottom"/>
    </xf>
    <xf borderId="4" fillId="8" fontId="33" numFmtId="0" xfId="0" applyAlignment="1" applyBorder="1" applyFont="1">
      <alignment horizontal="center" readingOrder="0" vertical="bottom"/>
    </xf>
    <xf borderId="4" fillId="6" fontId="22" numFmtId="0" xfId="0" applyAlignment="1" applyBorder="1" applyFont="1">
      <alignment horizontal="center" vertical="bottom"/>
    </xf>
    <xf borderId="3" fillId="6" fontId="34" numFmtId="0" xfId="0" applyAlignment="1" applyBorder="1" applyFont="1">
      <alignment horizontal="center" readingOrder="0" vertical="bottom"/>
    </xf>
    <xf borderId="3" fillId="6" fontId="34" numFmtId="0" xfId="0" applyAlignment="1" applyBorder="1" applyFont="1">
      <alignment horizontal="center" vertical="bottom"/>
    </xf>
    <xf borderId="3" fillId="9" fontId="34" numFmtId="0" xfId="0" applyAlignment="1" applyBorder="1" applyFont="1">
      <alignment horizontal="center" readingOrder="0" vertical="bottom"/>
    </xf>
    <xf borderId="3" fillId="9" fontId="6" numFmtId="0" xfId="0" applyAlignment="1" applyBorder="1" applyFont="1">
      <alignment horizontal="center" readingOrder="0" vertical="bottom"/>
    </xf>
    <xf borderId="3" fillId="8" fontId="34" numFmtId="0" xfId="0" applyAlignment="1" applyBorder="1" applyFont="1">
      <alignment horizontal="center" readingOrder="0" vertical="bottom"/>
    </xf>
    <xf borderId="0" fillId="6" fontId="6" numFmtId="0" xfId="0" applyAlignment="1" applyFont="1">
      <alignment horizontal="center" vertical="bottom"/>
    </xf>
    <xf borderId="0" fillId="5" fontId="4" numFmtId="0" xfId="0" applyAlignment="1" applyFont="1">
      <alignment horizontal="center" vertical="bottom"/>
    </xf>
    <xf borderId="0" fillId="4" fontId="4" numFmtId="0" xfId="0" applyAlignment="1" applyFont="1">
      <alignment horizontal="right" readingOrder="0" vertical="bottom"/>
    </xf>
    <xf borderId="4" fillId="8" fontId="35" numFmtId="0" xfId="0" applyAlignment="1" applyBorder="1" applyFont="1">
      <alignment horizontal="center" readingOrder="0" vertical="bottom"/>
    </xf>
    <xf borderId="0" fillId="0" fontId="36" numFmtId="0" xfId="0" applyAlignment="1" applyFont="1">
      <alignment horizontal="center" readingOrder="0"/>
    </xf>
    <xf borderId="0" fillId="0" fontId="36" numFmtId="0" xfId="0" applyAlignment="1" applyFont="1">
      <alignment readingOrder="0"/>
    </xf>
    <xf borderId="0" fillId="4" fontId="4" numFmtId="0" xfId="0" applyAlignment="1" applyFont="1">
      <alignment horizontal="center" vertical="bottom"/>
    </xf>
    <xf borderId="1" fillId="6" fontId="37" numFmtId="0" xfId="0" applyAlignment="1" applyBorder="1" applyFont="1">
      <alignment horizontal="center" readingOrder="0" vertical="bottom"/>
    </xf>
    <xf borderId="2" fillId="6" fontId="6" numFmtId="0" xfId="0" applyAlignment="1" applyBorder="1" applyFont="1">
      <alignment horizontal="center" readingOrder="0" vertical="bottom"/>
    </xf>
    <xf borderId="0" fillId="8" fontId="6" numFmtId="0" xfId="0" applyAlignment="1" applyFont="1">
      <alignment horizontal="center" readingOrder="0" vertical="bottom"/>
    </xf>
    <xf borderId="1" fillId="6" fontId="24" numFmtId="0" xfId="0" applyAlignment="1" applyBorder="1" applyFont="1">
      <alignment horizontal="center" readingOrder="0" vertical="bottom"/>
    </xf>
    <xf borderId="4" fillId="8" fontId="38" numFmtId="0" xfId="0" applyAlignment="1" applyBorder="1" applyFont="1">
      <alignment horizontal="center" vertical="bottom"/>
    </xf>
    <xf borderId="0" fillId="0" fontId="39" numFmtId="0" xfId="0" applyAlignment="1" applyFont="1">
      <alignment horizontal="center" readingOrder="0"/>
    </xf>
    <xf borderId="1" fillId="10" fontId="5" numFmtId="0" xfId="0" applyAlignment="1" applyBorder="1" applyFont="1">
      <alignment horizontal="center" readingOrder="0" vertical="bottom"/>
    </xf>
    <xf borderId="3" fillId="8" fontId="40" numFmtId="0" xfId="0" applyAlignment="1" applyBorder="1" applyFont="1">
      <alignment horizontal="center" vertical="bottom"/>
    </xf>
    <xf borderId="4" fillId="4" fontId="10" numFmtId="0" xfId="0" applyAlignment="1" applyBorder="1" applyFont="1">
      <alignment horizontal="center" readingOrder="0" vertical="bottom"/>
    </xf>
    <xf borderId="3" fillId="4" fontId="6" numFmtId="0" xfId="0" applyAlignment="1" applyBorder="1" applyFont="1">
      <alignment horizontal="center" vertical="bottom"/>
    </xf>
    <xf borderId="3" fillId="9" fontId="6" numFmtId="0" xfId="0" applyAlignment="1" applyBorder="1" applyFont="1">
      <alignment horizontal="center" vertical="bottom"/>
    </xf>
    <xf borderId="3" fillId="4" fontId="6" numFmtId="0" xfId="0" applyAlignment="1" applyBorder="1" applyFont="1">
      <alignment horizontal="center" readingOrder="0" vertical="bottom"/>
    </xf>
    <xf borderId="4" fillId="4" fontId="6" numFmtId="0" xfId="0" applyAlignment="1" applyBorder="1" applyFont="1">
      <alignment horizontal="center" readingOrder="0" vertical="bottom"/>
    </xf>
    <xf borderId="1" fillId="0" fontId="41" numFmtId="0" xfId="0" applyAlignment="1" applyBorder="1" applyFont="1">
      <alignment vertical="bottom"/>
    </xf>
    <xf borderId="4" fillId="8" fontId="26" numFmtId="0" xfId="0" applyAlignment="1" applyBorder="1" applyFont="1">
      <alignment horizontal="center" readingOrder="0" vertical="bottom"/>
    </xf>
    <xf borderId="3" fillId="9" fontId="22" numFmtId="0" xfId="0" applyAlignment="1" applyBorder="1" applyFont="1">
      <alignment horizontal="center" readingOrder="0" vertical="bottom"/>
    </xf>
    <xf borderId="0" fillId="0" fontId="42" numFmtId="0" xfId="0" applyAlignment="1" applyFont="1">
      <alignment horizontal="center" readingOrder="0"/>
    </xf>
    <xf borderId="0" fillId="0" fontId="43" numFmtId="0" xfId="0" applyAlignment="1" applyFont="1">
      <alignment horizontal="center" readingOrder="0" shrinkToFit="0" wrapText="0"/>
    </xf>
    <xf borderId="0" fillId="11" fontId="3" numFmtId="0" xfId="0" applyAlignment="1" applyFont="1">
      <alignment horizontal="center" readingOrder="0" shrinkToFit="0" wrapText="0"/>
    </xf>
    <xf borderId="0" fillId="4" fontId="43" numFmtId="0" xfId="0" applyAlignment="1" applyFont="1">
      <alignment horizontal="center" readingOrder="0" shrinkToFit="0" wrapText="0"/>
    </xf>
    <xf borderId="0" fillId="0" fontId="18" numFmtId="0" xfId="0" applyAlignment="1" applyFont="1">
      <alignment horizontal="center" readingOrder="0"/>
    </xf>
    <xf borderId="0" fillId="12" fontId="18" numFmtId="0" xfId="0" applyAlignment="1" applyFill="1" applyFont="1">
      <alignment horizontal="center" readingOrder="0"/>
    </xf>
    <xf borderId="1" fillId="4" fontId="43" numFmtId="0" xfId="0" applyAlignment="1" applyBorder="1" applyFont="1">
      <alignment horizontal="center" readingOrder="0" shrinkToFit="0" wrapText="0"/>
    </xf>
    <xf borderId="1" fillId="13" fontId="43" numFmtId="0" xfId="0" applyAlignment="1" applyBorder="1" applyFill="1" applyFont="1">
      <alignment horizontal="center" readingOrder="0" shrinkToFit="0" wrapText="0"/>
    </xf>
    <xf borderId="0" fillId="9" fontId="3" numFmtId="0" xfId="0" applyAlignment="1" applyFont="1">
      <alignment horizontal="center" readingOrder="0" shrinkToFit="0" wrapText="0"/>
    </xf>
    <xf borderId="2" fillId="10" fontId="3" numFmtId="0" xfId="0" applyAlignment="1" applyBorder="1" applyFont="1">
      <alignment horizontal="center" readingOrder="0" shrinkToFit="0" wrapText="0"/>
    </xf>
    <xf borderId="3" fillId="10" fontId="3" numFmtId="0" xfId="0" applyAlignment="1" applyBorder="1" applyFont="1">
      <alignment horizontal="center" readingOrder="0" shrinkToFit="0" wrapText="0"/>
    </xf>
    <xf borderId="0" fillId="10" fontId="21" numFmtId="0" xfId="0" applyAlignment="1" applyFont="1">
      <alignment horizontal="center" readingOrder="0" shrinkToFit="0" wrapText="0"/>
    </xf>
    <xf borderId="1" fillId="10" fontId="3" numFmtId="0" xfId="0" applyAlignment="1" applyBorder="1" applyFont="1">
      <alignment horizontal="center" readingOrder="0" shrinkToFit="0" wrapText="0"/>
    </xf>
    <xf borderId="0" fillId="14" fontId="22" numFmtId="0" xfId="0" applyAlignment="1" applyFill="1" applyFont="1">
      <alignment horizontal="center" readingOrder="0" shrinkToFit="0" wrapText="0"/>
    </xf>
    <xf borderId="2" fillId="14" fontId="22" numFmtId="0" xfId="0" applyAlignment="1" applyBorder="1" applyFont="1">
      <alignment horizontal="center" readingOrder="0" shrinkToFit="0" wrapText="0"/>
    </xf>
    <xf borderId="3" fillId="14" fontId="22" numFmtId="0" xfId="0" applyAlignment="1" applyBorder="1" applyFont="1">
      <alignment horizontal="center" readingOrder="0" shrinkToFit="0" wrapText="0"/>
    </xf>
    <xf borderId="3" fillId="14" fontId="44" numFmtId="0" xfId="0" applyAlignment="1" applyBorder="1" applyFont="1">
      <alignment horizontal="center" readingOrder="0" shrinkToFit="0" wrapText="0"/>
    </xf>
    <xf borderId="1" fillId="14" fontId="22" numFmtId="0" xfId="0" applyAlignment="1" applyBorder="1" applyFont="1">
      <alignment horizontal="center" readingOrder="0" shrinkToFit="0" wrapText="0"/>
    </xf>
    <xf borderId="1" fillId="14" fontId="45" numFmtId="0" xfId="0" applyAlignment="1" applyBorder="1" applyFont="1">
      <alignment horizontal="center" readingOrder="0" shrinkToFit="0" wrapText="0"/>
    </xf>
    <xf borderId="3" fillId="14" fontId="46" numFmtId="0" xfId="0" applyAlignment="1" applyBorder="1" applyFont="1">
      <alignment horizontal="center" readingOrder="0" shrinkToFit="0" wrapText="0"/>
    </xf>
    <xf borderId="3" fillId="12" fontId="22" numFmtId="0" xfId="0" applyAlignment="1" applyBorder="1" applyFont="1">
      <alignment horizontal="center" readingOrder="0" shrinkToFit="0" wrapText="0"/>
    </xf>
    <xf borderId="3" fillId="14" fontId="47" numFmtId="0" xfId="0" applyAlignment="1" applyBorder="1" applyFont="1">
      <alignment horizontal="center" readingOrder="0" shrinkToFit="0" wrapText="0"/>
    </xf>
    <xf borderId="1" fillId="14" fontId="6" numFmtId="0" xfId="0" applyAlignment="1" applyBorder="1" applyFont="1">
      <alignment horizontal="center" readingOrder="0" shrinkToFit="0" wrapText="0"/>
    </xf>
    <xf borderId="3" fillId="4" fontId="22" numFmtId="0" xfId="0" applyAlignment="1" applyBorder="1" applyFont="1">
      <alignment horizontal="center" readingOrder="0" shrinkToFit="0" wrapText="0"/>
    </xf>
    <xf borderId="3" fillId="14" fontId="6" numFmtId="0" xfId="0" applyAlignment="1" applyBorder="1" applyFont="1">
      <alignment horizontal="center" readingOrder="0" shrinkToFit="0" wrapText="0"/>
    </xf>
    <xf borderId="1" fillId="14" fontId="43" numFmtId="0" xfId="0" applyAlignment="1" applyBorder="1" applyFont="1">
      <alignment horizontal="center" readingOrder="0" shrinkToFit="0" wrapText="0"/>
    </xf>
    <xf borderId="3" fillId="6" fontId="22" numFmtId="0" xfId="0" applyAlignment="1" applyBorder="1" applyFont="1">
      <alignment horizontal="center" readingOrder="0" shrinkToFit="0" wrapText="0"/>
    </xf>
    <xf borderId="0" fillId="15" fontId="22" numFmtId="0" xfId="0" applyAlignment="1" applyFill="1" applyFont="1">
      <alignment horizontal="center" readingOrder="0" shrinkToFit="0" wrapText="0"/>
    </xf>
    <xf borderId="4" fillId="14" fontId="18" numFmtId="0" xfId="0" applyBorder="1" applyFont="1"/>
    <xf borderId="0" fillId="9" fontId="22" numFmtId="0" xfId="0" applyAlignment="1" applyFont="1">
      <alignment horizontal="center" readingOrder="0" shrinkToFit="0" wrapText="0"/>
    </xf>
    <xf borderId="2" fillId="9" fontId="22" numFmtId="0" xfId="0" applyAlignment="1" applyBorder="1" applyFont="1">
      <alignment horizontal="center" readingOrder="0" shrinkToFit="0" wrapText="0"/>
    </xf>
    <xf borderId="4" fillId="9" fontId="18" numFmtId="0" xfId="0" applyBorder="1" applyFont="1"/>
    <xf borderId="1" fillId="9" fontId="22" numFmtId="0" xfId="0" applyAlignment="1" applyBorder="1" applyFont="1">
      <alignment horizontal="center" readingOrder="0" shrinkToFit="0" wrapText="0"/>
    </xf>
    <xf borderId="0" fillId="9" fontId="18" numFmtId="0" xfId="0" applyFont="1"/>
    <xf borderId="0" fillId="9" fontId="48" numFmtId="0" xfId="0" applyAlignment="1" applyFont="1">
      <alignment horizontal="center"/>
    </xf>
    <xf borderId="0" fillId="3" fontId="21" numFmtId="0" xfId="0" applyAlignment="1" applyFont="1">
      <alignment horizontal="center" vertical="bottom"/>
    </xf>
    <xf borderId="1" fillId="4" fontId="4" numFmtId="0" xfId="0" applyAlignment="1" applyBorder="1" applyFont="1">
      <alignment horizontal="center" vertical="bottom"/>
    </xf>
    <xf borderId="0" fillId="3" fontId="49" numFmtId="0" xfId="0" applyAlignment="1" applyFont="1">
      <alignment horizontal="center" vertical="bottom"/>
    </xf>
    <xf borderId="0" fillId="9" fontId="8" numFmtId="0" xfId="0" applyAlignment="1" applyFont="1">
      <alignment vertical="bottom"/>
    </xf>
    <xf borderId="0" fillId="10" fontId="21" numFmtId="0" xfId="0" applyAlignment="1" applyFont="1">
      <alignment horizontal="center" vertical="bottom"/>
    </xf>
    <xf borderId="1" fillId="10" fontId="8" numFmtId="0" xfId="0" applyAlignment="1" applyBorder="1" applyFont="1">
      <alignment readingOrder="0" vertical="bottom"/>
    </xf>
    <xf borderId="3" fillId="6" fontId="6" numFmtId="0" xfId="0" applyAlignment="1" applyBorder="1" applyFont="1">
      <alignment horizontal="center" vertical="bottom"/>
    </xf>
    <xf borderId="3" fillId="6" fontId="50" numFmtId="0" xfId="0" applyAlignment="1" applyBorder="1" applyFont="1">
      <alignment horizontal="center" readingOrder="0" vertical="bottom"/>
    </xf>
    <xf borderId="0" fillId="8" fontId="1" numFmtId="0" xfId="0" applyAlignment="1" applyFont="1">
      <alignment vertical="bottom"/>
    </xf>
    <xf borderId="2" fillId="8" fontId="6" numFmtId="0" xfId="0" applyAlignment="1" applyBorder="1" applyFont="1">
      <alignment horizontal="center" readingOrder="0" vertical="bottom"/>
    </xf>
    <xf borderId="1" fillId="0" fontId="51" numFmtId="0" xfId="0" applyAlignment="1" applyBorder="1" applyFont="1">
      <alignment readingOrder="0" vertical="bottom"/>
    </xf>
    <xf borderId="3" fillId="6" fontId="52" numFmtId="0" xfId="0" applyAlignment="1" applyBorder="1" applyFont="1">
      <alignment horizontal="center" vertical="bottom"/>
    </xf>
    <xf borderId="4" fillId="8" fontId="10" numFmtId="0" xfId="0" applyAlignment="1" applyBorder="1" applyFont="1">
      <alignment horizontal="center" vertical="bottom"/>
    </xf>
    <xf borderId="3" fillId="8" fontId="22" numFmtId="0" xfId="0" applyAlignment="1" applyBorder="1" applyFont="1">
      <alignment horizontal="center" readingOrder="0" shrinkToFit="0" wrapText="0"/>
    </xf>
    <xf borderId="2" fillId="4" fontId="6" numFmtId="0" xfId="0" applyAlignment="1" applyBorder="1" applyFont="1">
      <alignment horizontal="center" readingOrder="0" vertical="bottom"/>
    </xf>
    <xf borderId="0" fillId="8" fontId="1" numFmtId="0" xfId="0" applyAlignment="1" applyFont="1">
      <alignment readingOrder="0" vertical="bottom"/>
    </xf>
    <xf borderId="3" fillId="6" fontId="53" numFmtId="0" xfId="0" applyAlignment="1" applyBorder="1" applyFont="1">
      <alignment horizontal="center" readingOrder="0" vertical="bottom"/>
    </xf>
    <xf borderId="2" fillId="6" fontId="6" numFmtId="0" xfId="0" applyAlignment="1" applyBorder="1" applyFont="1">
      <alignment horizontal="center" readingOrder="0" vertical="bottom"/>
    </xf>
    <xf borderId="4" fillId="6" fontId="10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readingOrder="0"/>
    </xf>
    <xf borderId="2" fillId="9" fontId="6" numFmtId="0" xfId="0" applyAlignment="1" applyBorder="1" applyFont="1">
      <alignment horizontal="center" readingOrder="0" vertical="bottom"/>
    </xf>
    <xf borderId="3" fillId="12" fontId="6" numFmtId="0" xfId="0" applyAlignment="1" applyBorder="1" applyFont="1">
      <alignment horizontal="center" readingOrder="0" vertical="bottom"/>
    </xf>
    <xf borderId="2" fillId="16" fontId="6" numFmtId="0" xfId="0" applyAlignment="1" applyBorder="1" applyFill="1" applyFont="1">
      <alignment horizontal="center" readingOrder="0" vertical="bottom"/>
    </xf>
    <xf borderId="3" fillId="12" fontId="6" numFmtId="0" xfId="0" applyAlignment="1" applyBorder="1" applyFont="1">
      <alignment horizontal="center" vertical="bottom"/>
    </xf>
    <xf borderId="3" fillId="12" fontId="6" numFmtId="0" xfId="0" applyAlignment="1" applyBorder="1" applyFont="1">
      <alignment horizontal="center" vertical="bottom"/>
    </xf>
    <xf borderId="0" fillId="9" fontId="1" numFmtId="0" xfId="0" applyAlignment="1" applyFont="1">
      <alignment vertical="bottom"/>
    </xf>
    <xf borderId="3" fillId="4" fontId="54" numFmtId="0" xfId="0" applyAlignment="1" applyBorder="1" applyFont="1">
      <alignment horizontal="center" readingOrder="0" vertical="bottom"/>
    </xf>
    <xf borderId="4" fillId="8" fontId="1" numFmtId="0" xfId="0" applyAlignment="1" applyBorder="1" applyFont="1">
      <alignment readingOrder="0" vertical="bottom"/>
    </xf>
    <xf borderId="4" fillId="6" fontId="1" numFmtId="0" xfId="0" applyAlignment="1" applyBorder="1" applyFont="1">
      <alignment readingOrder="0" vertical="bottom"/>
    </xf>
    <xf borderId="0" fillId="6" fontId="49" numFmtId="0" xfId="0" applyAlignment="1" applyFont="1">
      <alignment horizontal="center" vertical="bottom"/>
    </xf>
    <xf borderId="0" fillId="0" fontId="55" numFmtId="0" xfId="0" applyAlignment="1" applyFont="1">
      <alignment horizontal="center"/>
    </xf>
    <xf borderId="0" fillId="0" fontId="1" numFmtId="0" xfId="0" applyAlignment="1" applyFont="1">
      <alignment readingOrder="0" vertical="bottom"/>
    </xf>
    <xf borderId="0" fillId="4" fontId="4" numFmtId="0" xfId="0" applyAlignment="1" applyFont="1">
      <alignment horizontal="right" vertical="bottom"/>
    </xf>
    <xf borderId="0" fillId="4" fontId="6" numFmtId="0" xfId="0" applyAlignment="1" applyFont="1">
      <alignment horizontal="center" vertical="bottom"/>
    </xf>
    <xf borderId="0" fillId="4" fontId="6" numFmtId="0" xfId="0" applyAlignment="1" applyFont="1">
      <alignment horizontal="center" readingOrder="0" vertical="bottom"/>
    </xf>
    <xf borderId="0" fillId="5" fontId="6" numFmtId="0" xfId="0" applyAlignment="1" applyFont="1">
      <alignment horizontal="center" vertical="bottom"/>
    </xf>
    <xf borderId="0" fillId="9" fontId="5" numFmtId="0" xfId="0" applyAlignment="1" applyFont="1">
      <alignment vertical="bottom"/>
    </xf>
    <xf borderId="0" fillId="1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6" fontId="1" numFmtId="0" xfId="0" applyAlignment="1" applyFont="1">
      <alignment readingOrder="0" vertical="bottom"/>
    </xf>
    <xf borderId="4" fillId="11" fontId="20" numFmtId="0" xfId="0" applyAlignment="1" applyBorder="1" applyFont="1">
      <alignment horizontal="center" readingOrder="0"/>
    </xf>
    <xf borderId="3" fillId="8" fontId="18" numFmtId="0" xfId="0" applyAlignment="1" applyBorder="1" applyFont="1">
      <alignment horizontal="center" readingOrder="0" vertical="bottom"/>
    </xf>
    <xf borderId="4" fillId="6" fontId="18" numFmtId="0" xfId="0" applyAlignment="1" applyBorder="1" applyFont="1">
      <alignment horizontal="center" readingOrder="0" vertical="bottom"/>
    </xf>
    <xf borderId="4" fillId="8" fontId="18" numFmtId="0" xfId="0" applyAlignment="1" applyBorder="1" applyFont="1">
      <alignment horizontal="center" readingOrder="0" vertical="bottom"/>
    </xf>
    <xf borderId="4" fillId="8" fontId="56" numFmtId="0" xfId="0" applyAlignment="1" applyBorder="1" applyFont="1">
      <alignment horizontal="center" readingOrder="0" vertical="bottom"/>
    </xf>
    <xf borderId="4" fillId="8" fontId="57" numFmtId="0" xfId="0" applyAlignment="1" applyBorder="1" applyFont="1">
      <alignment horizontal="center" readingOrder="0" vertical="bottom"/>
    </xf>
    <xf borderId="4" fillId="11" fontId="58" numFmtId="0" xfId="0" applyAlignment="1" applyBorder="1" applyFont="1">
      <alignment horizontal="center" readingOrder="0"/>
    </xf>
    <xf borderId="4" fillId="17" fontId="20" numFmtId="0" xfId="0" applyAlignment="1" applyBorder="1" applyFill="1" applyFont="1">
      <alignment horizontal="center"/>
    </xf>
    <xf borderId="3" fillId="17" fontId="21" numFmtId="9" xfId="0" applyAlignment="1" applyBorder="1" applyFont="1" applyNumberFormat="1">
      <alignment horizontal="center" readingOrder="0" shrinkToFit="0" wrapText="0"/>
    </xf>
    <xf borderId="4" fillId="8" fontId="1" numFmtId="0" xfId="0" applyAlignment="1" applyBorder="1" applyFont="1">
      <alignment vertical="bottom"/>
    </xf>
    <xf borderId="1" fillId="8" fontId="1" numFmtId="0" xfId="0" applyAlignment="1" applyBorder="1" applyFont="1">
      <alignment vertical="bottom"/>
    </xf>
    <xf borderId="0" fillId="8" fontId="1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6" fontId="1" numFmtId="0" xfId="0" applyAlignment="1" applyFont="1">
      <alignment horizontal="center" vertical="bottom"/>
    </xf>
    <xf borderId="0" fillId="0" fontId="36" numFmtId="0" xfId="0" applyAlignment="1" applyFont="1">
      <alignment horizontal="center"/>
    </xf>
    <xf borderId="2" fillId="9" fontId="6" numFmtId="0" xfId="0" applyAlignment="1" applyBorder="1" applyFont="1">
      <alignment horizontal="center" vertical="bottom"/>
    </xf>
    <xf borderId="4" fillId="9" fontId="6" numFmtId="0" xfId="0" applyAlignment="1" applyBorder="1" applyFont="1">
      <alignment horizontal="center" readingOrder="0" vertical="bottom"/>
    </xf>
    <xf borderId="4" fillId="9" fontId="59" numFmtId="0" xfId="0" applyAlignment="1" applyBorder="1" applyFont="1">
      <alignment horizontal="center" readingOrder="0" vertical="bottom"/>
    </xf>
    <xf borderId="3" fillId="12" fontId="6" numFmtId="0" xfId="0" applyAlignment="1" applyBorder="1" applyFont="1">
      <alignment horizontal="center" vertical="bottom"/>
    </xf>
    <xf borderId="0" fillId="8" fontId="1" numFmtId="0" xfId="0" applyAlignment="1" applyFont="1">
      <alignment readingOrder="0" vertical="bottom"/>
    </xf>
    <xf borderId="3" fillId="12" fontId="6" numFmtId="0" xfId="0" applyAlignment="1" applyBorder="1" applyFont="1">
      <alignment horizontal="center" readingOrder="0" vertical="bottom"/>
    </xf>
    <xf borderId="4" fillId="8" fontId="60" numFmtId="0" xfId="0" applyAlignment="1" applyBorder="1" applyFont="1">
      <alignment horizontal="center" readingOrder="0" vertical="bottom"/>
    </xf>
    <xf borderId="0" fillId="0" fontId="61" numFmtId="0" xfId="0" applyAlignment="1" applyFont="1">
      <alignment horizontal="center" readingOrder="0"/>
    </xf>
    <xf borderId="4" fillId="6" fontId="22" numFmtId="0" xfId="0" applyAlignment="1" applyBorder="1" applyFont="1">
      <alignment horizontal="center" readingOrder="0" vertical="bottom"/>
    </xf>
    <xf borderId="4" fillId="8" fontId="18" numFmtId="0" xfId="0" applyAlignment="1" applyBorder="1" applyFont="1">
      <alignment horizontal="center" readingOrder="0" vertical="bottom"/>
    </xf>
    <xf borderId="4" fillId="8" fontId="18" numFmtId="0" xfId="0" applyAlignment="1" applyBorder="1" applyFont="1">
      <alignment vertical="bottom"/>
    </xf>
    <xf borderId="4" fillId="6" fontId="18" numFmtId="0" xfId="0" applyAlignment="1" applyBorder="1" applyFont="1">
      <alignment vertical="bottom"/>
    </xf>
    <xf borderId="0" fillId="17" fontId="62" numFmtId="0" xfId="0" applyAlignment="1" applyFont="1">
      <alignment horizontal="center" readingOrder="0" vertical="center"/>
    </xf>
    <xf borderId="1" fillId="5" fontId="4" numFmtId="0" xfId="0" applyAlignment="1" applyBorder="1" applyFont="1">
      <alignment horizontal="center" vertical="center"/>
    </xf>
    <xf borderId="0" fillId="0" fontId="63" numFmtId="0" xfId="0" applyAlignment="1" applyFont="1">
      <alignment horizontal="center" readingOrder="0"/>
    </xf>
    <xf borderId="4" fillId="6" fontId="33" numFmtId="0" xfId="0" applyAlignment="1" applyBorder="1" applyFont="1">
      <alignment horizontal="center" readingOrder="0" vertical="bottom"/>
    </xf>
    <xf borderId="3" fillId="8" fontId="6" numFmtId="0" xfId="0" applyAlignment="1" applyBorder="1" applyFont="1">
      <alignment horizontal="left" vertical="bottom"/>
    </xf>
    <xf borderId="4" fillId="8" fontId="64" numFmtId="0" xfId="0" applyAlignment="1" applyBorder="1" applyFont="1">
      <alignment horizontal="center" vertical="bottom"/>
    </xf>
    <xf borderId="1" fillId="6" fontId="65" numFmtId="0" xfId="0" applyAlignment="1" applyBorder="1" applyFont="1">
      <alignment horizontal="center" vertical="bottom"/>
    </xf>
    <xf borderId="4" fillId="4" fontId="10" numFmtId="0" xfId="0" applyAlignment="1" applyBorder="1" applyFont="1">
      <alignment horizontal="center" vertical="bottom"/>
    </xf>
    <xf borderId="3" fillId="4" fontId="6" numFmtId="0" xfId="0" applyAlignment="1" applyBorder="1" applyFont="1">
      <alignment horizontal="center" vertical="bottom"/>
    </xf>
    <xf borderId="4" fillId="4" fontId="6" numFmtId="0" xfId="0" applyAlignment="1" applyBorder="1" applyFont="1">
      <alignment horizontal="center" vertical="bottom"/>
    </xf>
    <xf borderId="3" fillId="6" fontId="18" numFmtId="0" xfId="0" applyAlignment="1" applyBorder="1" applyFont="1">
      <alignment horizontal="center" vertical="bottom"/>
    </xf>
    <xf borderId="4" fillId="8" fontId="18" numFmtId="0" xfId="0" applyAlignment="1" applyBorder="1" applyFont="1">
      <alignment horizontal="center" vertical="bottom"/>
    </xf>
    <xf borderId="4" fillId="6" fontId="18" numFmtId="0" xfId="0" applyAlignment="1" applyBorder="1" applyFont="1">
      <alignment horizontal="center" vertical="bottom"/>
    </xf>
    <xf borderId="4" fillId="6" fontId="66" numFmtId="0" xfId="0" applyAlignment="1" applyBorder="1" applyFont="1">
      <alignment horizontal="center" vertical="bottom"/>
    </xf>
    <xf borderId="4" fillId="4" fontId="18" numFmtId="0" xfId="0" applyAlignment="1" applyBorder="1" applyFont="1">
      <alignment horizontal="center" vertical="bottom"/>
    </xf>
    <xf borderId="4" fillId="8" fontId="67" numFmtId="0" xfId="0" applyAlignment="1" applyBorder="1" applyFont="1">
      <alignment horizontal="center" vertical="bottom"/>
    </xf>
    <xf borderId="0" fillId="0" fontId="68" numFmtId="0" xfId="0" applyAlignment="1" applyFont="1">
      <alignment horizontal="center" readingOrder="0"/>
    </xf>
    <xf borderId="4" fillId="4" fontId="6" numFmtId="0" xfId="0" applyAlignment="1" applyBorder="1" applyFont="1">
      <alignment horizontal="center" vertical="bottom"/>
    </xf>
    <xf borderId="4" fillId="8" fontId="1" numFmtId="0" xfId="0" applyAlignment="1" applyBorder="1" applyFont="1">
      <alignment horizontal="center" readingOrder="0" vertical="bottom"/>
    </xf>
    <xf borderId="4" fillId="6" fontId="1" numFmtId="0" xfId="0" applyAlignment="1" applyBorder="1" applyFont="1">
      <alignment horizontal="center" readingOrder="0" vertical="bottom"/>
    </xf>
    <xf borderId="4" fillId="8" fontId="5" numFmtId="0" xfId="0" applyAlignment="1" applyBorder="1" applyFont="1">
      <alignment readingOrder="0" vertical="bottom"/>
    </xf>
    <xf borderId="4" fillId="8" fontId="69" numFmtId="0" xfId="0" applyAlignment="1" applyBorder="1" applyFont="1">
      <alignment horizontal="center" vertical="bottom"/>
    </xf>
    <xf borderId="1" fillId="0" fontId="70" numFmtId="0" xfId="0" applyAlignment="1" applyBorder="1" applyFont="1">
      <alignment readingOrder="0" vertical="bottom"/>
    </xf>
    <xf borderId="4" fillId="6" fontId="71" numFmtId="0" xfId="0" applyAlignment="1" applyBorder="1" applyFont="1">
      <alignment horizontal="center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</dxfs>
  <tableStyles count="15">
    <tableStyle count="2" pivot="0" name="265월-style">
      <tableStyleElement dxfId="1" type="firstRowStripe"/>
      <tableStyleElement dxfId="2" type="secondRowStripe"/>
    </tableStyle>
    <tableStyle count="2" pivot="0" name="264월-style">
      <tableStyleElement dxfId="1" type="firstRowStripe"/>
      <tableStyleElement dxfId="2" type="secondRowStripe"/>
    </tableStyle>
    <tableStyle count="2" pivot="0" name="263월-style">
      <tableStyleElement dxfId="1" type="firstRowStripe"/>
      <tableStyleElement dxfId="2" type="secondRowStripe"/>
    </tableStyle>
    <tableStyle count="2" pivot="0" name="262월-style">
      <tableStyleElement dxfId="1" type="firstRowStripe"/>
      <tableStyleElement dxfId="2" type="secondRowStripe"/>
    </tableStyle>
    <tableStyle count="2" pivot="0" name="261월-style">
      <tableStyleElement dxfId="1" type="firstRowStripe"/>
      <tableStyleElement dxfId="2" type="secondRowStripe"/>
    </tableStyle>
    <tableStyle count="2" pivot="0" name="12월-style">
      <tableStyleElement dxfId="1" type="firstRowStripe"/>
      <tableStyleElement dxfId="2" type="secondRowStripe"/>
    </tableStyle>
    <tableStyle count="2" pivot="0" name="11월-style">
      <tableStyleElement dxfId="1" type="firstRowStripe"/>
      <tableStyleElement dxfId="2" type="secondRowStripe"/>
    </tableStyle>
    <tableStyle count="2" pivot="0" name="3월-style">
      <tableStyleElement dxfId="1" type="firstRowStripe"/>
      <tableStyleElement dxfId="2" type="secondRowStripe"/>
    </tableStyle>
    <tableStyle count="2" pivot="0" name="4월-style">
      <tableStyleElement dxfId="1" type="firstRowStripe"/>
      <tableStyleElement dxfId="2" type="secondRowStripe"/>
    </tableStyle>
    <tableStyle count="2" pivot="0" name="5월-style">
      <tableStyleElement dxfId="1" type="firstRowStripe"/>
      <tableStyleElement dxfId="2" type="secondRowStripe"/>
    </tableStyle>
    <tableStyle count="2" pivot="0" name="6월-style">
      <tableStyleElement dxfId="1" type="firstRowStripe"/>
      <tableStyleElement dxfId="2" type="secondRowStripe"/>
    </tableStyle>
    <tableStyle count="2" pivot="0" name="7월-style">
      <tableStyleElement dxfId="1" type="firstRowStripe"/>
      <tableStyleElement dxfId="2" type="secondRowStripe"/>
    </tableStyle>
    <tableStyle count="2" pivot="0" name="8월-style">
      <tableStyleElement dxfId="1" type="firstRowStripe"/>
      <tableStyleElement dxfId="2" type="secondRowStripe"/>
    </tableStyle>
    <tableStyle count="2" pivot="0" name="9월-style">
      <tableStyleElement dxfId="1" type="firstRowStripe"/>
      <tableStyleElement dxfId="2" type="secondRowStripe"/>
    </tableStyle>
    <tableStyle count="2" pivot="0" name="10월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5:Z120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265월-style" showColumnStripes="0" showFirstColumn="1" showLastColumn="1" showRowStripes="1"/>
</table>
</file>

<file path=xl/tables/table2.xml><?xml version="1.0" encoding="utf-8"?>
<table xmlns="http://schemas.openxmlformats.org/spreadsheetml/2006/main" headerRowCount="0" ref="A5:O121" displayName="Table_2" name="Table_2" id="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264월-style" showColumnStripes="0" showFirstColumn="1" showLastColumn="1" showRowStripes="1"/>
</table>
</file>

<file path=xl/tables/table3.xml><?xml version="1.0" encoding="utf-8"?>
<table xmlns="http://schemas.openxmlformats.org/spreadsheetml/2006/main" headerRowCount="0" ref="A5:O121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263월-style" showColumnStripes="0" showFirstColumn="1" showLastColumn="1" showRowStripes="1"/>
</table>
</file>

<file path=xl/tables/table4.xml><?xml version="1.0" encoding="utf-8"?>
<table xmlns="http://schemas.openxmlformats.org/spreadsheetml/2006/main" headerRowCount="0" ref="A5:O121" displayName="Table_4" name="Table_4" id="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262월-style" showColumnStripes="0" showFirstColumn="1" showLastColumn="1" showRowStripes="1"/>
</table>
</file>

<file path=xl/tables/table5.xml><?xml version="1.0" encoding="utf-8"?>
<table xmlns="http://schemas.openxmlformats.org/spreadsheetml/2006/main" headerRowCount="0" ref="A5:P121" displayName="Table_5" name="Table_5" id="5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261월-style" showColumnStripes="0" showFirstColumn="1" showLastColumn="1" showRowStripes="1"/>
</table>
</file>

<file path=xl/tables/table6.xml><?xml version="1.0" encoding="utf-8"?>
<table xmlns="http://schemas.openxmlformats.org/spreadsheetml/2006/main" headerRowCount="0" ref="A5:O121" displayName="Table_6" name="Table_6" id="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12월-style" showColumnStripes="0" showFirstColumn="1" showLastColumn="1" showRowStripes="1"/>
</table>
</file>

<file path=xl/tables/table7.xml><?xml version="1.0" encoding="utf-8"?>
<table xmlns="http://schemas.openxmlformats.org/spreadsheetml/2006/main" headerRowCount="0" ref="A5:N121" displayName="Table_7" name="Table_7" id="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11월-style" showColumnStripes="0" showFirstColumn="1" showLastColumn="1" showRowStripes="1"/>
</table>
</file>

<file path=xl/tables/table8.xml><?xml version="1.0" encoding="utf-8"?>
<table xmlns="http://schemas.openxmlformats.org/spreadsheetml/2006/main" headerRowCount="0" ref="A5:O121" displayName="Table_8" name="Table_8" id="8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3월-style" showColumnStripes="0" showFirstColumn="1" showLastColumn="1" showRowStripes="1"/>
</table>
</file>

<file path=xl/tables/table9.xml><?xml version="1.0" encoding="utf-8"?>
<table xmlns="http://schemas.openxmlformats.org/spreadsheetml/2006/main" headerRowCount="0" ref="A5:O121" displayName="Table_9" name="Table_9" id="9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4월-style" showColumnStripes="0" showFirstColumn="1" showLastColumn="1" showRowStripes="1"/>
</table>
</file>

<file path=xl/tables/table10.xml><?xml version="1.0" encoding="utf-8"?>
<table xmlns="http://schemas.openxmlformats.org/spreadsheetml/2006/main" headerRowCount="0" ref="A5:S120" displayName="Table_10" name="Table_10" id="10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5월-style" showColumnStripes="0" showFirstColumn="1" showLastColumn="1" showRowStripes="1"/>
</table>
</file>

<file path=xl/tables/table11.xml><?xml version="1.0" encoding="utf-8"?>
<table xmlns="http://schemas.openxmlformats.org/spreadsheetml/2006/main" headerRowCount="0" ref="A5:N120" displayName="Table_11" name="Table_11" id="1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6월-style" showColumnStripes="0" showFirstColumn="1" showLastColumn="1" showRowStripes="1"/>
</table>
</file>

<file path=xl/tables/table12.xml><?xml version="1.0" encoding="utf-8"?>
<table xmlns="http://schemas.openxmlformats.org/spreadsheetml/2006/main" headerRowCount="0" ref="A5:O121" displayName="Table_12" name="Table_12" id="1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7월-style" showColumnStripes="0" showFirstColumn="1" showLastColumn="1" showRowStripes="1"/>
</table>
</file>

<file path=xl/tables/table13.xml><?xml version="1.0" encoding="utf-8"?>
<table xmlns="http://schemas.openxmlformats.org/spreadsheetml/2006/main" headerRowCount="0" ref="A5:O121" displayName="Table_13" name="Table_13" id="1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8월-style" showColumnStripes="0" showFirstColumn="1" showLastColumn="1" showRowStripes="1"/>
</table>
</file>

<file path=xl/tables/table14.xml><?xml version="1.0" encoding="utf-8"?>
<table xmlns="http://schemas.openxmlformats.org/spreadsheetml/2006/main" headerRowCount="0" ref="A5:O121" displayName="Table_14" name="Table_14" id="1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9월-style" showColumnStripes="0" showFirstColumn="1" showLastColumn="1" showRowStripes="1"/>
</table>
</file>

<file path=xl/tables/table15.xml><?xml version="1.0" encoding="utf-8"?>
<table xmlns="http://schemas.openxmlformats.org/spreadsheetml/2006/main" headerRowCount="0" ref="A5:N121" displayName="Table_15" name="Table_15" id="1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10월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instagram.com/porori84/" TargetMode="External"/><Relationship Id="rId10" Type="http://schemas.openxmlformats.org/officeDocument/2006/relationships/hyperlink" Target="https://www.instagram.com/hom.melier/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ww.instagram.com/hosu_131111/" TargetMode="External"/><Relationship Id="rId1" Type="http://schemas.openxmlformats.org/officeDocument/2006/relationships/hyperlink" Target="https://instagram.com/songjieun_psr" TargetMode="External"/><Relationship Id="rId2" Type="http://schemas.openxmlformats.org/officeDocument/2006/relationships/hyperlink" Target="https://instagram.com/luv_lyju" TargetMode="External"/><Relationship Id="rId3" Type="http://schemas.openxmlformats.org/officeDocument/2006/relationships/hyperlink" Target="https://instagram.com/luv_lyju" TargetMode="External"/><Relationship Id="rId4" Type="http://schemas.openxmlformats.org/officeDocument/2006/relationships/hyperlink" Target="https://instagram.com/songjieun_psr" TargetMode="External"/><Relationship Id="rId9" Type="http://schemas.openxmlformats.org/officeDocument/2006/relationships/hyperlink" Target="https://www.instagram.com/medione_medical/" TargetMode="External"/><Relationship Id="rId15" Type="http://schemas.openxmlformats.org/officeDocument/2006/relationships/table" Target="../tables/table1.xml"/><Relationship Id="rId5" Type="http://schemas.openxmlformats.org/officeDocument/2006/relationships/hyperlink" Target="https://instagram.com/luv_lyju" TargetMode="External"/><Relationship Id="rId6" Type="http://schemas.openxmlformats.org/officeDocument/2006/relationships/hyperlink" Target="https://www.instagram.com/happy_gritk/" TargetMode="External"/><Relationship Id="rId7" Type="http://schemas.openxmlformats.org/officeDocument/2006/relationships/hyperlink" Target="https://www.instagram.com/happy_gritk/" TargetMode="External"/><Relationship Id="rId8" Type="http://schemas.openxmlformats.org/officeDocument/2006/relationships/hyperlink" Target="http://instagram.com/monique_illust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instagram.com/porori84/" TargetMode="External"/><Relationship Id="rId10" Type="http://schemas.openxmlformats.org/officeDocument/2006/relationships/hyperlink" Target="https://www.instagram.com/hom.melier/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www.instagram.com/hosu_131111/" TargetMode="External"/><Relationship Id="rId1" Type="http://schemas.openxmlformats.org/officeDocument/2006/relationships/hyperlink" Target="https://instagram.com/songjieun_psr" TargetMode="External"/><Relationship Id="rId2" Type="http://schemas.openxmlformats.org/officeDocument/2006/relationships/hyperlink" Target="https://instagram.com/luv_lyju" TargetMode="External"/><Relationship Id="rId3" Type="http://schemas.openxmlformats.org/officeDocument/2006/relationships/hyperlink" Target="https://instagram.com/luv_lyju" TargetMode="External"/><Relationship Id="rId4" Type="http://schemas.openxmlformats.org/officeDocument/2006/relationships/hyperlink" Target="https://instagram.com/songjieun_psr" TargetMode="External"/><Relationship Id="rId9" Type="http://schemas.openxmlformats.org/officeDocument/2006/relationships/hyperlink" Target="https://www.instagram.com/medione_medical/" TargetMode="External"/><Relationship Id="rId15" Type="http://schemas.openxmlformats.org/officeDocument/2006/relationships/table" Target="../tables/table2.xml"/><Relationship Id="rId5" Type="http://schemas.openxmlformats.org/officeDocument/2006/relationships/hyperlink" Target="https://instagram.com/luv_lyju" TargetMode="External"/><Relationship Id="rId6" Type="http://schemas.openxmlformats.org/officeDocument/2006/relationships/hyperlink" Target="https://www.instagram.com/happy_gritk/" TargetMode="External"/><Relationship Id="rId7" Type="http://schemas.openxmlformats.org/officeDocument/2006/relationships/hyperlink" Target="https://www.instagram.com/happy_gritk/" TargetMode="External"/><Relationship Id="rId8" Type="http://schemas.openxmlformats.org/officeDocument/2006/relationships/hyperlink" Target="http://instagram.com/monique_illust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instagram.com/porori84/" TargetMode="External"/><Relationship Id="rId10" Type="http://schemas.openxmlformats.org/officeDocument/2006/relationships/hyperlink" Target="https://www.instagram.com/hom.melier/" TargetMode="External"/><Relationship Id="rId13" Type="http://schemas.openxmlformats.org/officeDocument/2006/relationships/drawing" Target="../drawings/drawing3.xml"/><Relationship Id="rId12" Type="http://schemas.openxmlformats.org/officeDocument/2006/relationships/hyperlink" Target="https://www.instagram.com/hosu_131111/" TargetMode="External"/><Relationship Id="rId1" Type="http://schemas.openxmlformats.org/officeDocument/2006/relationships/hyperlink" Target="https://instagram.com/songjieun_psr" TargetMode="External"/><Relationship Id="rId2" Type="http://schemas.openxmlformats.org/officeDocument/2006/relationships/hyperlink" Target="https://instagram.com/luv_lyju" TargetMode="External"/><Relationship Id="rId3" Type="http://schemas.openxmlformats.org/officeDocument/2006/relationships/hyperlink" Target="https://instagram.com/luv_lyju" TargetMode="External"/><Relationship Id="rId4" Type="http://schemas.openxmlformats.org/officeDocument/2006/relationships/hyperlink" Target="https://instagram.com/songjieun_psr" TargetMode="External"/><Relationship Id="rId9" Type="http://schemas.openxmlformats.org/officeDocument/2006/relationships/hyperlink" Target="https://www.instagram.com/medione_medical/" TargetMode="External"/><Relationship Id="rId15" Type="http://schemas.openxmlformats.org/officeDocument/2006/relationships/table" Target="../tables/table3.xml"/><Relationship Id="rId5" Type="http://schemas.openxmlformats.org/officeDocument/2006/relationships/hyperlink" Target="https://instagram.com/luv_lyju" TargetMode="External"/><Relationship Id="rId6" Type="http://schemas.openxmlformats.org/officeDocument/2006/relationships/hyperlink" Target="https://www.instagram.com/happy_gritk/" TargetMode="External"/><Relationship Id="rId7" Type="http://schemas.openxmlformats.org/officeDocument/2006/relationships/hyperlink" Target="https://www.instagram.com/happy_gritk/" TargetMode="External"/><Relationship Id="rId8" Type="http://schemas.openxmlformats.org/officeDocument/2006/relationships/hyperlink" Target="http://instagram.com/monique_illust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instagram.com/hom.melier/" TargetMode="External"/><Relationship Id="rId10" Type="http://schemas.openxmlformats.org/officeDocument/2006/relationships/hyperlink" Target="https://www.instagram.com/medione_medical/" TargetMode="External"/><Relationship Id="rId13" Type="http://schemas.openxmlformats.org/officeDocument/2006/relationships/hyperlink" Target="https://www.instagram.com/hosu_131111/" TargetMode="External"/><Relationship Id="rId12" Type="http://schemas.openxmlformats.org/officeDocument/2006/relationships/hyperlink" Target="https://www.instagram.com/porori84/" TargetMode="External"/><Relationship Id="rId1" Type="http://schemas.openxmlformats.org/officeDocument/2006/relationships/hyperlink" Target="https://instagram.com/songjieun_psr" TargetMode="External"/><Relationship Id="rId2" Type="http://schemas.openxmlformats.org/officeDocument/2006/relationships/hyperlink" Target="https://instagram.com/luv_lyju" TargetMode="External"/><Relationship Id="rId3" Type="http://schemas.openxmlformats.org/officeDocument/2006/relationships/hyperlink" Target="https://instagram.com/luv_lyju" TargetMode="External"/><Relationship Id="rId4" Type="http://schemas.openxmlformats.org/officeDocument/2006/relationships/hyperlink" Target="https://instagram.com/songjieun_psr" TargetMode="External"/><Relationship Id="rId9" Type="http://schemas.openxmlformats.org/officeDocument/2006/relationships/hyperlink" Target="http://instagram.com/monique_illust" TargetMode="External"/><Relationship Id="rId14" Type="http://schemas.openxmlformats.org/officeDocument/2006/relationships/drawing" Target="../drawings/drawing4.xml"/><Relationship Id="rId16" Type="http://schemas.openxmlformats.org/officeDocument/2006/relationships/table" Target="../tables/table4.xml"/><Relationship Id="rId5" Type="http://schemas.openxmlformats.org/officeDocument/2006/relationships/hyperlink" Target="https://instagram.com/luv_lyju" TargetMode="External"/><Relationship Id="rId6" Type="http://schemas.openxmlformats.org/officeDocument/2006/relationships/hyperlink" Target="https://instagram.com/luv_lyju" TargetMode="External"/><Relationship Id="rId7" Type="http://schemas.openxmlformats.org/officeDocument/2006/relationships/hyperlink" Target="https://www.instagram.com/happy_gritk/" TargetMode="External"/><Relationship Id="rId8" Type="http://schemas.openxmlformats.org/officeDocument/2006/relationships/hyperlink" Target="https://www.instagram.com/happy_gritk/" TargetMode="Externa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instagram.com/hom.melier/" TargetMode="External"/><Relationship Id="rId10" Type="http://schemas.openxmlformats.org/officeDocument/2006/relationships/hyperlink" Target="https://www.instagram.com/medione_medical/" TargetMode="External"/><Relationship Id="rId13" Type="http://schemas.openxmlformats.org/officeDocument/2006/relationships/hyperlink" Target="https://www.instagram.com/hosu_131111/" TargetMode="External"/><Relationship Id="rId12" Type="http://schemas.openxmlformats.org/officeDocument/2006/relationships/hyperlink" Target="https://www.instagram.com/porori84/" TargetMode="External"/><Relationship Id="rId1" Type="http://schemas.openxmlformats.org/officeDocument/2006/relationships/hyperlink" Target="https://instagram.com/songjieun_psr" TargetMode="External"/><Relationship Id="rId2" Type="http://schemas.openxmlformats.org/officeDocument/2006/relationships/hyperlink" Target="https://instagram.com/luv_lyju" TargetMode="External"/><Relationship Id="rId3" Type="http://schemas.openxmlformats.org/officeDocument/2006/relationships/hyperlink" Target="https://instagram.com/luv_lyju" TargetMode="External"/><Relationship Id="rId4" Type="http://schemas.openxmlformats.org/officeDocument/2006/relationships/hyperlink" Target="https://instagram.com/songjieun_psr" TargetMode="External"/><Relationship Id="rId9" Type="http://schemas.openxmlformats.org/officeDocument/2006/relationships/hyperlink" Target="http://instagram.com/monique_illust" TargetMode="External"/><Relationship Id="rId15" Type="http://schemas.openxmlformats.org/officeDocument/2006/relationships/drawing" Target="../drawings/drawing5.xml"/><Relationship Id="rId14" Type="http://schemas.openxmlformats.org/officeDocument/2006/relationships/hyperlink" Target="https://www.instagram.com/hom.melier/" TargetMode="External"/><Relationship Id="rId17" Type="http://schemas.openxmlformats.org/officeDocument/2006/relationships/table" Target="../tables/table5.xml"/><Relationship Id="rId5" Type="http://schemas.openxmlformats.org/officeDocument/2006/relationships/hyperlink" Target="https://instagram.com/luv_lyju" TargetMode="External"/><Relationship Id="rId6" Type="http://schemas.openxmlformats.org/officeDocument/2006/relationships/hyperlink" Target="https://instagram.com/luv_lyju" TargetMode="External"/><Relationship Id="rId7" Type="http://schemas.openxmlformats.org/officeDocument/2006/relationships/hyperlink" Target="https://www.instagram.com/happy_gritk/" TargetMode="External"/><Relationship Id="rId8" Type="http://schemas.openxmlformats.org/officeDocument/2006/relationships/hyperlink" Target="https://www.instagram.com/happy_gritk/" TargetMode="Externa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6.xml"/><Relationship Id="rId10" Type="http://schemas.openxmlformats.org/officeDocument/2006/relationships/hyperlink" Target="https://www.instagram.com/hom.melier/" TargetMode="External"/><Relationship Id="rId13" Type="http://schemas.openxmlformats.org/officeDocument/2006/relationships/table" Target="../tables/table6.xml"/><Relationship Id="rId1" Type="http://schemas.openxmlformats.org/officeDocument/2006/relationships/hyperlink" Target="https://instagram.com/songjieun_psr" TargetMode="External"/><Relationship Id="rId2" Type="http://schemas.openxmlformats.org/officeDocument/2006/relationships/hyperlink" Target="https://instagram.com/luv_lyju" TargetMode="External"/><Relationship Id="rId3" Type="http://schemas.openxmlformats.org/officeDocument/2006/relationships/hyperlink" Target="https://instagram.com/luv_lyju" TargetMode="External"/><Relationship Id="rId4" Type="http://schemas.openxmlformats.org/officeDocument/2006/relationships/hyperlink" Target="https://www.instagram.com/happy_gritk/" TargetMode="External"/><Relationship Id="rId9" Type="http://schemas.openxmlformats.org/officeDocument/2006/relationships/hyperlink" Target="https://www.instagram.com/hosu_131111/" TargetMode="External"/><Relationship Id="rId5" Type="http://schemas.openxmlformats.org/officeDocument/2006/relationships/hyperlink" Target="https://www.instagram.com/happy_gritk/" TargetMode="External"/><Relationship Id="rId6" Type="http://schemas.openxmlformats.org/officeDocument/2006/relationships/hyperlink" Target="http://instagram.com/monique_illust" TargetMode="External"/><Relationship Id="rId7" Type="http://schemas.openxmlformats.org/officeDocument/2006/relationships/hyperlink" Target="https://www.instagram.com/dongyeon_press/" TargetMode="External"/><Relationship Id="rId8" Type="http://schemas.openxmlformats.org/officeDocument/2006/relationships/hyperlink" Target="https://www.instagram.com/porori84/" TargetMode="Externa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7.xml"/><Relationship Id="rId10" Type="http://schemas.openxmlformats.org/officeDocument/2006/relationships/hyperlink" Target="https://www.instagram.com/hannah_calli_?igsh=emV4OXF5ZDVncGRn" TargetMode="External"/><Relationship Id="rId13" Type="http://schemas.openxmlformats.org/officeDocument/2006/relationships/table" Target="../tables/table7.xml"/><Relationship Id="rId1" Type="http://schemas.openxmlformats.org/officeDocument/2006/relationships/hyperlink" Target="https://instagram.com/songjieun_psr" TargetMode="External"/><Relationship Id="rId2" Type="http://schemas.openxmlformats.org/officeDocument/2006/relationships/hyperlink" Target="https://instagram.com/luv_lyju" TargetMode="External"/><Relationship Id="rId3" Type="http://schemas.openxmlformats.org/officeDocument/2006/relationships/hyperlink" Target="https://instagram.com/luv_lyju" TargetMode="External"/><Relationship Id="rId4" Type="http://schemas.openxmlformats.org/officeDocument/2006/relationships/hyperlink" Target="https://www.instagram.com/happy_gritk/" TargetMode="External"/><Relationship Id="rId9" Type="http://schemas.openxmlformats.org/officeDocument/2006/relationships/hyperlink" Target="https://www.instagram.com/hosu_131111/" TargetMode="External"/><Relationship Id="rId5" Type="http://schemas.openxmlformats.org/officeDocument/2006/relationships/hyperlink" Target="https://www.instagram.com/happy_gritk/" TargetMode="External"/><Relationship Id="rId6" Type="http://schemas.openxmlformats.org/officeDocument/2006/relationships/hyperlink" Target="http://instagram.com/monique_illust" TargetMode="External"/><Relationship Id="rId7" Type="http://schemas.openxmlformats.org/officeDocument/2006/relationships/hyperlink" Target="https://www.instagram.com/dongyeon_press/" TargetMode="External"/><Relationship Id="rId8" Type="http://schemas.openxmlformats.org/officeDocument/2006/relationships/hyperlink" Target="https://www.instagram.com/porori84/" TargetMode="External"/></Relationships>
</file>

<file path=xl/worksheets/_rels/sheet8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instagram.com/reboot_hyeran" TargetMode="External"/><Relationship Id="rId10" Type="http://schemas.openxmlformats.org/officeDocument/2006/relationships/hyperlink" Target="https://www.instagram.com/reel/DGiavKNzh7o/?igsh=bXdydXRzYmVjZDU5" TargetMode="External"/><Relationship Id="rId12" Type="http://schemas.openxmlformats.org/officeDocument/2006/relationships/drawing" Target="../drawings/drawing8.xml"/><Relationship Id="rId1" Type="http://schemas.openxmlformats.org/officeDocument/2006/relationships/hyperlink" Target="https://instagram.com/songjieun_psr" TargetMode="External"/><Relationship Id="rId2" Type="http://schemas.openxmlformats.org/officeDocument/2006/relationships/hyperlink" Target="https://www.instagram.com/go_with_god" TargetMode="External"/><Relationship Id="rId3" Type="http://schemas.openxmlformats.org/officeDocument/2006/relationships/hyperlink" Target="https://www.instagram.com/dabeen191114?igsh=MWk2Z3N6NGx6bXN5Mw==" TargetMode="External"/><Relationship Id="rId4" Type="http://schemas.openxmlformats.org/officeDocument/2006/relationships/hyperlink" Target="https://www.instagram.com/atomy_schola?igsh=M2xmdHI3amRxbmNm" TargetMode="External"/><Relationship Id="rId9" Type="http://schemas.openxmlformats.org/officeDocument/2006/relationships/hyperlink" Target="http://instagram.com/monique_illust" TargetMode="External"/><Relationship Id="rId14" Type="http://schemas.openxmlformats.org/officeDocument/2006/relationships/table" Target="../tables/table8.xml"/><Relationship Id="rId5" Type="http://schemas.openxmlformats.org/officeDocument/2006/relationships/hyperlink" Target="https://instagram.com/luv_lyju" TargetMode="External"/><Relationship Id="rId6" Type="http://schemas.openxmlformats.org/officeDocument/2006/relationships/hyperlink" Target="https://www.instagram.com/gaeulung?igsh=MWl0bWtkenVnb25p" TargetMode="External"/><Relationship Id="rId7" Type="http://schemas.openxmlformats.org/officeDocument/2006/relationships/hyperlink" Target="https://www.instagram.com/happy_gritk/" TargetMode="External"/><Relationship Id="rId8" Type="http://schemas.openxmlformats.org/officeDocument/2006/relationships/hyperlink" Target="https://www.instagram.com/doctorbium?igsh=MWF5am9tYmt4N2sycA==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instagram.com/songjieun_psr" TargetMode="External"/><Relationship Id="rId2" Type="http://schemas.openxmlformats.org/officeDocument/2006/relationships/hyperlink" Target="https://instagram.com/luv_lyju" TargetMode="External"/><Relationship Id="rId3" Type="http://schemas.openxmlformats.org/officeDocument/2006/relationships/hyperlink" Target="https://www.instagram.com/happy_gritk/" TargetMode="External"/><Relationship Id="rId4" Type="http://schemas.openxmlformats.org/officeDocument/2006/relationships/hyperlink" Target="http://instagram.com/monique_illust" TargetMode="External"/><Relationship Id="rId9" Type="http://schemas.openxmlformats.org/officeDocument/2006/relationships/table" Target="../tables/table9.xml"/><Relationship Id="rId5" Type="http://schemas.openxmlformats.org/officeDocument/2006/relationships/hyperlink" Target="https://www.instagram.com/porori84/" TargetMode="External"/><Relationship Id="rId6" Type="http://schemas.openxmlformats.org/officeDocument/2006/relationships/hyperlink" Target="http://seoulbrother.sg/" TargetMode="External"/><Relationship Id="rId7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0.xml"/><Relationship Id="rId1" Type="http://schemas.openxmlformats.org/officeDocument/2006/relationships/hyperlink" Target="https://instagram.com/songjieun_psr" TargetMode="External"/><Relationship Id="rId2" Type="http://schemas.openxmlformats.org/officeDocument/2006/relationships/hyperlink" Target="https://instagram.com/luv_lyju" TargetMode="External"/><Relationship Id="rId3" Type="http://schemas.openxmlformats.org/officeDocument/2006/relationships/hyperlink" Target="https://www.instagram.com/happy_gritk/" TargetMode="External"/><Relationship Id="rId4" Type="http://schemas.openxmlformats.org/officeDocument/2006/relationships/hyperlink" Target="http://instagram.com/monique_illust" TargetMode="External"/><Relationship Id="rId9" Type="http://schemas.openxmlformats.org/officeDocument/2006/relationships/drawing" Target="../drawings/drawing10.xml"/><Relationship Id="rId5" Type="http://schemas.openxmlformats.org/officeDocument/2006/relationships/hyperlink" Target="https://www.instagram.com/porori84/" TargetMode="External"/><Relationship Id="rId6" Type="http://schemas.openxmlformats.org/officeDocument/2006/relationships/hyperlink" Target="https://www.instagram.com/hosu_131111/" TargetMode="External"/><Relationship Id="rId7" Type="http://schemas.openxmlformats.org/officeDocument/2006/relationships/hyperlink" Target="http://pinkly.travel" TargetMode="External"/><Relationship Id="rId8" Type="http://schemas.openxmlformats.org/officeDocument/2006/relationships/hyperlink" Target="https://www.instagram.com/dongyeon_press/" TargetMode="External"/></Relationships>
</file>

<file path=xl/worksheets/_rels/sheet11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11.xml"/><Relationship Id="rId10" Type="http://schemas.openxmlformats.org/officeDocument/2006/relationships/hyperlink" Target="https://www.instagram.com/youngjicha/" TargetMode="External"/><Relationship Id="rId13" Type="http://schemas.openxmlformats.org/officeDocument/2006/relationships/table" Target="../tables/table11.xml"/><Relationship Id="rId1" Type="http://schemas.openxmlformats.org/officeDocument/2006/relationships/hyperlink" Target="https://instagram.com/songjieun_psr" TargetMode="External"/><Relationship Id="rId2" Type="http://schemas.openxmlformats.org/officeDocument/2006/relationships/hyperlink" Target="https://instagram.com/luv_lyju" TargetMode="External"/><Relationship Id="rId3" Type="http://schemas.openxmlformats.org/officeDocument/2006/relationships/hyperlink" Target="https://www.instagram.com/happy_gritk/" TargetMode="External"/><Relationship Id="rId4" Type="http://schemas.openxmlformats.org/officeDocument/2006/relationships/hyperlink" Target="http://instagram.com/monique_illust" TargetMode="External"/><Relationship Id="rId9" Type="http://schemas.openxmlformats.org/officeDocument/2006/relationships/hyperlink" Target="http://instagram.com/littleactioncontent" TargetMode="External"/><Relationship Id="rId5" Type="http://schemas.openxmlformats.org/officeDocument/2006/relationships/hyperlink" Target="https://www.instagram.com/dongyeon_press/" TargetMode="External"/><Relationship Id="rId6" Type="http://schemas.openxmlformats.org/officeDocument/2006/relationships/hyperlink" Target="https://www.instagram.com/porori84/" TargetMode="External"/><Relationship Id="rId7" Type="http://schemas.openxmlformats.org/officeDocument/2006/relationships/hyperlink" Target="https://www.instagram.com/hosu_131111/" TargetMode="External"/><Relationship Id="rId8" Type="http://schemas.openxmlformats.org/officeDocument/2006/relationships/hyperlink" Target="http://pinkly.travel" TargetMode="External"/></Relationships>
</file>

<file path=xl/worksheets/_rels/sheet12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12.xml"/><Relationship Id="rId10" Type="http://schemas.openxmlformats.org/officeDocument/2006/relationships/hyperlink" Target="https://www.instagram.com/youngjicha/" TargetMode="External"/><Relationship Id="rId13" Type="http://schemas.openxmlformats.org/officeDocument/2006/relationships/table" Target="../tables/table12.xml"/><Relationship Id="rId1" Type="http://schemas.openxmlformats.org/officeDocument/2006/relationships/hyperlink" Target="https://instagram.com/songjieun_psr" TargetMode="External"/><Relationship Id="rId2" Type="http://schemas.openxmlformats.org/officeDocument/2006/relationships/hyperlink" Target="https://instagram.com/luv_lyju" TargetMode="External"/><Relationship Id="rId3" Type="http://schemas.openxmlformats.org/officeDocument/2006/relationships/hyperlink" Target="https://www.instagram.com/happy_gritk/" TargetMode="External"/><Relationship Id="rId4" Type="http://schemas.openxmlformats.org/officeDocument/2006/relationships/hyperlink" Target="http://instagram.com/monique_illust" TargetMode="External"/><Relationship Id="rId9" Type="http://schemas.openxmlformats.org/officeDocument/2006/relationships/hyperlink" Target="http://instagram.com/littleactioncontent" TargetMode="External"/><Relationship Id="rId5" Type="http://schemas.openxmlformats.org/officeDocument/2006/relationships/hyperlink" Target="https://www.instagram.com/booksnlife25/" TargetMode="External"/><Relationship Id="rId6" Type="http://schemas.openxmlformats.org/officeDocument/2006/relationships/hyperlink" Target="https://www.instagram.com/porori84/" TargetMode="External"/><Relationship Id="rId7" Type="http://schemas.openxmlformats.org/officeDocument/2006/relationships/hyperlink" Target="https://www.instagram.com/hosu_131111/" TargetMode="External"/><Relationship Id="rId8" Type="http://schemas.openxmlformats.org/officeDocument/2006/relationships/hyperlink" Target="http://pinkly.travel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1" Type="http://schemas.openxmlformats.org/officeDocument/2006/relationships/hyperlink" Target="http://pinkly.travel" TargetMode="External"/><Relationship Id="rId10" Type="http://schemas.openxmlformats.org/officeDocument/2006/relationships/hyperlink" Target="https://www.instagram.com/hosu_131111/" TargetMode="External"/><Relationship Id="rId13" Type="http://schemas.openxmlformats.org/officeDocument/2006/relationships/hyperlink" Target="https://www.instagram.com/hannah_calli_?igsh=emV4OXF5ZDVncGRn" TargetMode="External"/><Relationship Id="rId12" Type="http://schemas.openxmlformats.org/officeDocument/2006/relationships/hyperlink" Target="http://instagram.com/littleactioncontent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instagram.com/songjieun_psr" TargetMode="External"/><Relationship Id="rId3" Type="http://schemas.openxmlformats.org/officeDocument/2006/relationships/hyperlink" Target="https://instagram.com/luv_lyju" TargetMode="External"/><Relationship Id="rId4" Type="http://schemas.openxmlformats.org/officeDocument/2006/relationships/hyperlink" Target="https://instagram.com/luv_lyju" TargetMode="External"/><Relationship Id="rId9" Type="http://schemas.openxmlformats.org/officeDocument/2006/relationships/hyperlink" Target="https://www.instagram.com/porori84/" TargetMode="External"/><Relationship Id="rId15" Type="http://schemas.openxmlformats.org/officeDocument/2006/relationships/vmlDrawing" Target="../drawings/vmlDrawing1.vml"/><Relationship Id="rId14" Type="http://schemas.openxmlformats.org/officeDocument/2006/relationships/drawing" Target="../drawings/drawing14.xml"/><Relationship Id="rId17" Type="http://schemas.openxmlformats.org/officeDocument/2006/relationships/table" Target="../tables/table13.xml"/><Relationship Id="rId5" Type="http://schemas.openxmlformats.org/officeDocument/2006/relationships/hyperlink" Target="https://www.instagram.com/happy_gritk/" TargetMode="External"/><Relationship Id="rId6" Type="http://schemas.openxmlformats.org/officeDocument/2006/relationships/hyperlink" Target="https://www.instagram.com/happy_gritk/" TargetMode="External"/><Relationship Id="rId7" Type="http://schemas.openxmlformats.org/officeDocument/2006/relationships/hyperlink" Target="http://instagram.com/monique_illust" TargetMode="External"/><Relationship Id="rId8" Type="http://schemas.openxmlformats.org/officeDocument/2006/relationships/hyperlink" Target="https://www.instagram.com/booksnlife25/" TargetMode="External"/></Relationships>
</file>

<file path=xl/worksheets/_rels/sheet15.xml.rels><?xml version="1.0" encoding="UTF-8" standalone="yes"?><Relationships xmlns="http://schemas.openxmlformats.org/package/2006/relationships"><Relationship Id="rId11" Type="http://schemas.openxmlformats.org/officeDocument/2006/relationships/hyperlink" Target="http://instagram.com/littleactioncontent" TargetMode="External"/><Relationship Id="rId10" Type="http://schemas.openxmlformats.org/officeDocument/2006/relationships/hyperlink" Target="http://pinkly.travel" TargetMode="External"/><Relationship Id="rId13" Type="http://schemas.openxmlformats.org/officeDocument/2006/relationships/drawing" Target="../drawings/drawing15.xml"/><Relationship Id="rId12" Type="http://schemas.openxmlformats.org/officeDocument/2006/relationships/hyperlink" Target="https://www.instagram.com/hannah_calli_?igsh=emV4OXF5ZDVncGRn" TargetMode="External"/><Relationship Id="rId1" Type="http://schemas.openxmlformats.org/officeDocument/2006/relationships/hyperlink" Target="https://instagram.com/songjieun_psr" TargetMode="External"/><Relationship Id="rId2" Type="http://schemas.openxmlformats.org/officeDocument/2006/relationships/hyperlink" Target="https://instagram.com/luv_lyju" TargetMode="External"/><Relationship Id="rId3" Type="http://schemas.openxmlformats.org/officeDocument/2006/relationships/hyperlink" Target="https://instagram.com/luv_lyju" TargetMode="External"/><Relationship Id="rId4" Type="http://schemas.openxmlformats.org/officeDocument/2006/relationships/hyperlink" Target="https://www.instagram.com/happy_gritk/" TargetMode="External"/><Relationship Id="rId9" Type="http://schemas.openxmlformats.org/officeDocument/2006/relationships/hyperlink" Target="https://www.instagram.com/hosu_131111/" TargetMode="External"/><Relationship Id="rId15" Type="http://schemas.openxmlformats.org/officeDocument/2006/relationships/table" Target="../tables/table14.xml"/><Relationship Id="rId5" Type="http://schemas.openxmlformats.org/officeDocument/2006/relationships/hyperlink" Target="https://www.instagram.com/happy_gritk/" TargetMode="External"/><Relationship Id="rId6" Type="http://schemas.openxmlformats.org/officeDocument/2006/relationships/hyperlink" Target="http://instagram.com/monique_illust" TargetMode="External"/><Relationship Id="rId7" Type="http://schemas.openxmlformats.org/officeDocument/2006/relationships/hyperlink" Target="https://www.instagram.com/dongyeon_press/" TargetMode="External"/><Relationship Id="rId8" Type="http://schemas.openxmlformats.org/officeDocument/2006/relationships/hyperlink" Target="https://www.instagram.com/porori84/" TargetMode="External"/></Relationships>
</file>

<file path=xl/worksheets/_rels/sheet16.xml.rels><?xml version="1.0" encoding="UTF-8" standalone="yes"?><Relationships xmlns="http://schemas.openxmlformats.org/package/2006/relationships"><Relationship Id="rId11" Type="http://schemas.openxmlformats.org/officeDocument/2006/relationships/hyperlink" Target="http://instagram.com/littleactioncontent" TargetMode="External"/><Relationship Id="rId10" Type="http://schemas.openxmlformats.org/officeDocument/2006/relationships/hyperlink" Target="http://pinkly.travel" TargetMode="External"/><Relationship Id="rId13" Type="http://schemas.openxmlformats.org/officeDocument/2006/relationships/drawing" Target="../drawings/drawing16.xml"/><Relationship Id="rId12" Type="http://schemas.openxmlformats.org/officeDocument/2006/relationships/hyperlink" Target="https://www.instagram.com/hannah_calli_?igsh=emV4OXF5ZDVncGRn" TargetMode="External"/><Relationship Id="rId1" Type="http://schemas.openxmlformats.org/officeDocument/2006/relationships/hyperlink" Target="https://instagram.com/songjieun_psr" TargetMode="External"/><Relationship Id="rId2" Type="http://schemas.openxmlformats.org/officeDocument/2006/relationships/hyperlink" Target="https://instagram.com/luv_lyju" TargetMode="External"/><Relationship Id="rId3" Type="http://schemas.openxmlformats.org/officeDocument/2006/relationships/hyperlink" Target="https://instagram.com/luv_lyju" TargetMode="External"/><Relationship Id="rId4" Type="http://schemas.openxmlformats.org/officeDocument/2006/relationships/hyperlink" Target="https://www.instagram.com/happy_gritk/" TargetMode="External"/><Relationship Id="rId9" Type="http://schemas.openxmlformats.org/officeDocument/2006/relationships/hyperlink" Target="https://www.instagram.com/hosu_131111/" TargetMode="External"/><Relationship Id="rId15" Type="http://schemas.openxmlformats.org/officeDocument/2006/relationships/table" Target="../tables/table15.xml"/><Relationship Id="rId5" Type="http://schemas.openxmlformats.org/officeDocument/2006/relationships/hyperlink" Target="https://www.instagram.com/happy_gritk/" TargetMode="External"/><Relationship Id="rId6" Type="http://schemas.openxmlformats.org/officeDocument/2006/relationships/hyperlink" Target="http://instagram.com/monique_illust" TargetMode="External"/><Relationship Id="rId7" Type="http://schemas.openxmlformats.org/officeDocument/2006/relationships/hyperlink" Target="https://www.instagram.com/dongyeon_press/" TargetMode="External"/><Relationship Id="rId8" Type="http://schemas.openxmlformats.org/officeDocument/2006/relationships/hyperlink" Target="https://www.instagram.com/porori8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13"/>
    <col customWidth="1" min="2" max="2" width="4.88"/>
    <col customWidth="1" min="3" max="3" width="18.63"/>
    <col customWidth="1" min="4" max="4" width="21.13"/>
    <col hidden="1" min="7" max="7" width="12.63"/>
    <col customWidth="1" min="16" max="26" width="14.38"/>
  </cols>
  <sheetData>
    <row r="1">
      <c r="A1" s="1"/>
      <c r="B1" s="2" t="s">
        <v>0</v>
      </c>
      <c r="E1" s="3" t="s">
        <v>1</v>
      </c>
      <c r="G1" s="4"/>
      <c r="H1" s="5" t="s">
        <v>2</v>
      </c>
      <c r="I1" s="5" t="s">
        <v>3</v>
      </c>
      <c r="J1" s="5" t="s">
        <v>4</v>
      </c>
      <c r="K1" s="5" t="s">
        <v>5</v>
      </c>
      <c r="L1" s="5" t="s">
        <v>6</v>
      </c>
      <c r="M1" s="5" t="s">
        <v>7</v>
      </c>
      <c r="N1" s="5" t="s">
        <v>8</v>
      </c>
      <c r="O1" s="5" t="s">
        <v>9</v>
      </c>
      <c r="P1" s="5" t="s">
        <v>10</v>
      </c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"/>
      <c r="G2" s="7"/>
      <c r="H2" s="8" t="s">
        <v>11</v>
      </c>
      <c r="I2" s="8" t="s">
        <v>12</v>
      </c>
      <c r="J2" s="8" t="s">
        <v>13</v>
      </c>
      <c r="K2" s="8" t="s">
        <v>14</v>
      </c>
      <c r="L2" s="8" t="s">
        <v>15</v>
      </c>
      <c r="M2" s="8" t="s">
        <v>16</v>
      </c>
      <c r="N2" s="8" t="s">
        <v>17</v>
      </c>
      <c r="O2" s="5" t="s">
        <v>18</v>
      </c>
      <c r="P2" s="5" t="s">
        <v>19</v>
      </c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"/>
      <c r="B3" s="1"/>
      <c r="C3" s="1"/>
      <c r="D3" s="1"/>
      <c r="E3" s="9"/>
      <c r="F3" s="9"/>
      <c r="G3" s="10"/>
      <c r="H3" s="11" t="str">
        <f t="shared" ref="H3:N3" si="1">COUNTIF(H35:H199, "완료") &amp; "명 완료"
</f>
        <v>23명 완료</v>
      </c>
      <c r="I3" s="11" t="str">
        <f t="shared" si="1"/>
        <v>20명 완료</v>
      </c>
      <c r="J3" s="11" t="str">
        <f t="shared" si="1"/>
        <v>17명 완료</v>
      </c>
      <c r="K3" s="11" t="str">
        <f t="shared" si="1"/>
        <v>18명 완료</v>
      </c>
      <c r="L3" s="11" t="str">
        <f t="shared" si="1"/>
        <v>14명 완료</v>
      </c>
      <c r="M3" s="11" t="str">
        <f t="shared" si="1"/>
        <v>5명 완료</v>
      </c>
      <c r="N3" s="11" t="str">
        <f t="shared" si="1"/>
        <v>2명 완료</v>
      </c>
      <c r="O3" s="12" t="str">
        <f>COUNTIF(N35:N199, "완료") &amp; "명 완료"
</f>
        <v>2명 완료</v>
      </c>
      <c r="P3" s="13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4"/>
      <c r="B4" s="15" t="s">
        <v>20</v>
      </c>
      <c r="C4" s="16" t="s">
        <v>21</v>
      </c>
      <c r="D4" s="16" t="s">
        <v>22</v>
      </c>
      <c r="E4" s="17" t="s">
        <v>23</v>
      </c>
      <c r="F4" s="17" t="s">
        <v>24</v>
      </c>
      <c r="G4" s="18"/>
      <c r="H4" s="19" t="s">
        <v>25</v>
      </c>
      <c r="I4" s="19" t="s">
        <v>25</v>
      </c>
      <c r="J4" s="19" t="s">
        <v>25</v>
      </c>
      <c r="K4" s="19" t="s">
        <v>25</v>
      </c>
      <c r="L4" s="19" t="s">
        <v>25</v>
      </c>
      <c r="M4" s="19" t="s">
        <v>25</v>
      </c>
      <c r="N4" s="19" t="s">
        <v>25</v>
      </c>
      <c r="O4" s="20" t="s">
        <v>25</v>
      </c>
      <c r="P4" s="20" t="s">
        <v>25</v>
      </c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21"/>
      <c r="B5" s="22">
        <v>1.0</v>
      </c>
      <c r="C5" s="23" t="s">
        <v>26</v>
      </c>
      <c r="D5" s="24" t="s">
        <v>27</v>
      </c>
      <c r="E5" s="25" t="str">
        <f t="shared" ref="E5:E123" si="2">IF(COUNTIF(G5:N5, "완료")=0, "", COUNTIF($G$4:$N$4, "완료") &amp; "번 중 " &amp; COUNTIF(G5:N5, "완료") &amp; "번 참여")
</f>
        <v>7번 중 7번 참여</v>
      </c>
      <c r="F5" s="26">
        <f t="shared" ref="F5:F123" si="3">IF(COUNTIF($G$4:$N$4, "완료")=0, "", IF(COUNTIF(G5:N5, "완료")=0, "", COUNTIF(G5:N5, "완료") / COUNTIF($G$4:$N$4, "완료")))
</f>
        <v>1</v>
      </c>
      <c r="G5" s="27"/>
      <c r="H5" s="27" t="s">
        <v>25</v>
      </c>
      <c r="I5" s="27" t="s">
        <v>25</v>
      </c>
      <c r="J5" s="27" t="s">
        <v>25</v>
      </c>
      <c r="K5" s="27" t="s">
        <v>25</v>
      </c>
      <c r="L5" s="27" t="s">
        <v>25</v>
      </c>
      <c r="M5" s="27" t="s">
        <v>25</v>
      </c>
      <c r="N5" s="27" t="s">
        <v>25</v>
      </c>
      <c r="O5" s="28"/>
      <c r="P5" s="28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29"/>
      <c r="B6" s="30">
        <v>2.0</v>
      </c>
      <c r="C6" s="31" t="s">
        <v>28</v>
      </c>
      <c r="D6" s="32" t="s">
        <v>29</v>
      </c>
      <c r="E6" s="33" t="str">
        <f t="shared" si="2"/>
        <v>7번 중 6번 참여</v>
      </c>
      <c r="F6" s="34">
        <f t="shared" si="3"/>
        <v>0.8571428571</v>
      </c>
      <c r="G6" s="27"/>
      <c r="H6" s="27" t="s">
        <v>25</v>
      </c>
      <c r="I6" s="27" t="s">
        <v>25</v>
      </c>
      <c r="J6" s="27" t="s">
        <v>25</v>
      </c>
      <c r="K6" s="27" t="s">
        <v>25</v>
      </c>
      <c r="L6" s="27" t="s">
        <v>25</v>
      </c>
      <c r="M6" s="27" t="s">
        <v>25</v>
      </c>
      <c r="N6" s="27"/>
      <c r="O6" s="28"/>
      <c r="P6" s="28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21"/>
      <c r="B7" s="22">
        <v>3.0</v>
      </c>
      <c r="C7" s="23" t="s">
        <v>30</v>
      </c>
      <c r="D7" s="23" t="s">
        <v>31</v>
      </c>
      <c r="E7" s="35" t="str">
        <f t="shared" si="2"/>
        <v/>
      </c>
      <c r="F7" s="36" t="str">
        <f t="shared" si="3"/>
        <v/>
      </c>
      <c r="G7" s="27"/>
      <c r="H7" s="27"/>
      <c r="I7" s="27"/>
      <c r="J7" s="27"/>
      <c r="K7" s="27"/>
      <c r="L7" s="27"/>
      <c r="M7" s="27"/>
      <c r="N7" s="27"/>
      <c r="O7" s="37"/>
      <c r="P7" s="37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9"/>
      <c r="B8" s="30">
        <v>4.0</v>
      </c>
      <c r="C8" s="31" t="s">
        <v>32</v>
      </c>
      <c r="D8" s="31" t="s">
        <v>33</v>
      </c>
      <c r="E8" s="38" t="str">
        <f t="shared" si="2"/>
        <v/>
      </c>
      <c r="F8" s="39" t="str">
        <f t="shared" si="3"/>
        <v/>
      </c>
      <c r="G8" s="27"/>
      <c r="H8" s="27"/>
      <c r="I8" s="27"/>
      <c r="J8" s="27"/>
      <c r="K8" s="27"/>
      <c r="L8" s="27"/>
      <c r="M8" s="27"/>
      <c r="N8" s="27"/>
      <c r="O8" s="37"/>
      <c r="P8" s="37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1"/>
      <c r="B9" s="22">
        <v>5.0</v>
      </c>
      <c r="C9" s="23" t="s">
        <v>34</v>
      </c>
      <c r="D9" s="23" t="s">
        <v>35</v>
      </c>
      <c r="E9" s="25" t="str">
        <f t="shared" si="2"/>
        <v>7번 중 2번 참여</v>
      </c>
      <c r="F9" s="26">
        <f t="shared" si="3"/>
        <v>0.2857142857</v>
      </c>
      <c r="G9" s="27"/>
      <c r="H9" s="27"/>
      <c r="I9" s="27"/>
      <c r="J9" s="27"/>
      <c r="K9" s="27" t="s">
        <v>25</v>
      </c>
      <c r="L9" s="27" t="s">
        <v>25</v>
      </c>
      <c r="M9" s="27"/>
      <c r="N9" s="27"/>
      <c r="O9" s="37"/>
      <c r="P9" s="37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9"/>
      <c r="B10" s="30">
        <v>6.0</v>
      </c>
      <c r="C10" s="31" t="s">
        <v>36</v>
      </c>
      <c r="D10" s="32" t="s">
        <v>37</v>
      </c>
      <c r="E10" s="38" t="str">
        <f t="shared" si="2"/>
        <v>7번 중 5번 참여</v>
      </c>
      <c r="F10" s="40">
        <f t="shared" si="3"/>
        <v>0.7142857143</v>
      </c>
      <c r="G10" s="27"/>
      <c r="H10" s="27" t="s">
        <v>25</v>
      </c>
      <c r="I10" s="27" t="s">
        <v>25</v>
      </c>
      <c r="J10" s="27" t="s">
        <v>25</v>
      </c>
      <c r="K10" s="27" t="s">
        <v>25</v>
      </c>
      <c r="L10" s="27" t="s">
        <v>25</v>
      </c>
      <c r="M10" s="27"/>
      <c r="N10" s="27"/>
      <c r="O10" s="28"/>
      <c r="P10" s="28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21"/>
      <c r="B11" s="22">
        <v>7.0</v>
      </c>
      <c r="C11" s="23" t="s">
        <v>38</v>
      </c>
      <c r="D11" s="23" t="s">
        <v>39</v>
      </c>
      <c r="E11" s="25" t="str">
        <f t="shared" si="2"/>
        <v>7번 중 4번 참여</v>
      </c>
      <c r="F11" s="26">
        <f t="shared" si="3"/>
        <v>0.5714285714</v>
      </c>
      <c r="G11" s="27"/>
      <c r="H11" s="27" t="s">
        <v>25</v>
      </c>
      <c r="I11" s="27" t="s">
        <v>25</v>
      </c>
      <c r="J11" s="27" t="s">
        <v>25</v>
      </c>
      <c r="K11" s="27"/>
      <c r="L11" s="27" t="s">
        <v>25</v>
      </c>
      <c r="M11" s="27"/>
      <c r="N11" s="27"/>
      <c r="O11" s="28"/>
      <c r="P11" s="28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29"/>
      <c r="B12" s="30">
        <v>8.0</v>
      </c>
      <c r="C12" s="31" t="s">
        <v>40</v>
      </c>
      <c r="D12" s="31" t="s">
        <v>41</v>
      </c>
      <c r="E12" s="33" t="str">
        <f t="shared" si="2"/>
        <v>7번 중 5번 참여</v>
      </c>
      <c r="F12" s="34">
        <f t="shared" si="3"/>
        <v>0.7142857143</v>
      </c>
      <c r="G12" s="27"/>
      <c r="H12" s="27" t="s">
        <v>25</v>
      </c>
      <c r="I12" s="27" t="s">
        <v>25</v>
      </c>
      <c r="J12" s="27" t="s">
        <v>25</v>
      </c>
      <c r="K12" s="27" t="s">
        <v>25</v>
      </c>
      <c r="L12" s="27" t="s">
        <v>25</v>
      </c>
      <c r="M12" s="27"/>
      <c r="N12" s="27"/>
      <c r="O12" s="28"/>
      <c r="P12" s="28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21"/>
      <c r="B13" s="22">
        <v>9.0</v>
      </c>
      <c r="C13" s="23" t="s">
        <v>42</v>
      </c>
      <c r="D13" s="23" t="s">
        <v>43</v>
      </c>
      <c r="E13" s="25" t="str">
        <f t="shared" si="2"/>
        <v>7번 중 3번 참여</v>
      </c>
      <c r="F13" s="26">
        <f t="shared" si="3"/>
        <v>0.4285714286</v>
      </c>
      <c r="G13" s="27"/>
      <c r="H13" s="27" t="s">
        <v>25</v>
      </c>
      <c r="I13" s="27" t="s">
        <v>25</v>
      </c>
      <c r="J13" s="27"/>
      <c r="K13" s="27"/>
      <c r="L13" s="27" t="s">
        <v>25</v>
      </c>
      <c r="M13" s="27"/>
      <c r="N13" s="27"/>
      <c r="O13" s="28"/>
      <c r="P13" s="28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29"/>
      <c r="B14" s="30">
        <v>10.0</v>
      </c>
      <c r="C14" s="31" t="s">
        <v>44</v>
      </c>
      <c r="D14" s="31" t="s">
        <v>45</v>
      </c>
      <c r="E14" s="33" t="str">
        <f t="shared" si="2"/>
        <v>7번 중 7번 참여</v>
      </c>
      <c r="F14" s="34">
        <f t="shared" si="3"/>
        <v>1</v>
      </c>
      <c r="G14" s="27"/>
      <c r="H14" s="27" t="s">
        <v>25</v>
      </c>
      <c r="I14" s="27" t="s">
        <v>25</v>
      </c>
      <c r="J14" s="27" t="s">
        <v>25</v>
      </c>
      <c r="K14" s="27" t="s">
        <v>25</v>
      </c>
      <c r="L14" s="27" t="s">
        <v>25</v>
      </c>
      <c r="M14" s="27" t="s">
        <v>25</v>
      </c>
      <c r="N14" s="27" t="s">
        <v>25</v>
      </c>
      <c r="O14" s="28"/>
      <c r="P14" s="28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21"/>
      <c r="B15" s="22">
        <v>11.0</v>
      </c>
      <c r="C15" s="23" t="s">
        <v>46</v>
      </c>
      <c r="D15" s="23" t="s">
        <v>47</v>
      </c>
      <c r="E15" s="25" t="str">
        <f t="shared" si="2"/>
        <v>7번 중 6번 참여</v>
      </c>
      <c r="F15" s="26">
        <f t="shared" si="3"/>
        <v>0.8571428571</v>
      </c>
      <c r="G15" s="27"/>
      <c r="H15" s="27" t="s">
        <v>25</v>
      </c>
      <c r="I15" s="27" t="s">
        <v>25</v>
      </c>
      <c r="J15" s="27" t="s">
        <v>25</v>
      </c>
      <c r="K15" s="27" t="s">
        <v>25</v>
      </c>
      <c r="L15" s="27" t="s">
        <v>25</v>
      </c>
      <c r="M15" s="27" t="s">
        <v>25</v>
      </c>
      <c r="N15" s="27"/>
      <c r="O15" s="37"/>
      <c r="P15" s="37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9"/>
      <c r="B16" s="30">
        <v>12.0</v>
      </c>
      <c r="C16" s="31" t="s">
        <v>48</v>
      </c>
      <c r="D16" s="31" t="s">
        <v>49</v>
      </c>
      <c r="E16" s="33" t="str">
        <f t="shared" si="2"/>
        <v>7번 중 5번 참여</v>
      </c>
      <c r="F16" s="34">
        <f t="shared" si="3"/>
        <v>0.7142857143</v>
      </c>
      <c r="G16" s="27"/>
      <c r="H16" s="27" t="s">
        <v>25</v>
      </c>
      <c r="I16" s="27" t="s">
        <v>25</v>
      </c>
      <c r="J16" s="27" t="s">
        <v>25</v>
      </c>
      <c r="K16" s="27" t="s">
        <v>25</v>
      </c>
      <c r="L16" s="27" t="s">
        <v>25</v>
      </c>
      <c r="M16" s="27"/>
      <c r="N16" s="27"/>
      <c r="O16" s="28"/>
      <c r="P16" s="28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21"/>
      <c r="B17" s="22">
        <v>13.0</v>
      </c>
      <c r="C17" s="23" t="s">
        <v>50</v>
      </c>
      <c r="D17" s="23" t="s">
        <v>51</v>
      </c>
      <c r="E17" s="35" t="str">
        <f t="shared" si="2"/>
        <v/>
      </c>
      <c r="F17" s="36" t="str">
        <f t="shared" si="3"/>
        <v/>
      </c>
      <c r="G17" s="27"/>
      <c r="H17" s="27"/>
      <c r="I17" s="27"/>
      <c r="J17" s="27"/>
      <c r="K17" s="27"/>
      <c r="L17" s="27"/>
      <c r="M17" s="27"/>
      <c r="N17" s="41"/>
      <c r="O17" s="37"/>
      <c r="P17" s="37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9"/>
      <c r="B18" s="30">
        <v>14.0</v>
      </c>
      <c r="C18" s="31" t="s">
        <v>52</v>
      </c>
      <c r="D18" s="31" t="s">
        <v>53</v>
      </c>
      <c r="E18" s="38" t="str">
        <f t="shared" si="2"/>
        <v/>
      </c>
      <c r="F18" s="39" t="str">
        <f t="shared" si="3"/>
        <v/>
      </c>
      <c r="G18" s="27"/>
      <c r="H18" s="41"/>
      <c r="I18" s="41"/>
      <c r="J18" s="41"/>
      <c r="K18" s="41"/>
      <c r="L18" s="41"/>
      <c r="M18" s="41"/>
      <c r="N18" s="41"/>
      <c r="O18" s="37"/>
      <c r="P18" s="37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1"/>
      <c r="B19" s="22">
        <v>15.0</v>
      </c>
      <c r="C19" s="42" t="s">
        <v>54</v>
      </c>
      <c r="D19" s="42" t="s">
        <v>55</v>
      </c>
      <c r="E19" s="35" t="str">
        <f t="shared" si="2"/>
        <v/>
      </c>
      <c r="F19" s="36" t="str">
        <f t="shared" si="3"/>
        <v/>
      </c>
      <c r="G19" s="27"/>
      <c r="H19" s="27"/>
      <c r="I19" s="27"/>
      <c r="J19" s="27"/>
      <c r="K19" s="27"/>
      <c r="L19" s="27"/>
      <c r="M19" s="27"/>
      <c r="N19" s="27"/>
      <c r="O19" s="37"/>
      <c r="P19" s="37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9"/>
      <c r="B20" s="30">
        <v>16.0</v>
      </c>
      <c r="C20" s="31" t="s">
        <v>56</v>
      </c>
      <c r="D20" s="31" t="s">
        <v>57</v>
      </c>
      <c r="E20" s="33" t="str">
        <f t="shared" si="2"/>
        <v>7번 중 7번 참여</v>
      </c>
      <c r="F20" s="34">
        <f t="shared" si="3"/>
        <v>1</v>
      </c>
      <c r="G20" s="27"/>
      <c r="H20" s="27" t="s">
        <v>25</v>
      </c>
      <c r="I20" s="27" t="s">
        <v>25</v>
      </c>
      <c r="J20" s="27" t="s">
        <v>25</v>
      </c>
      <c r="K20" s="27" t="s">
        <v>25</v>
      </c>
      <c r="L20" s="27" t="s">
        <v>25</v>
      </c>
      <c r="M20" s="27" t="s">
        <v>25</v>
      </c>
      <c r="N20" s="27" t="s">
        <v>25</v>
      </c>
      <c r="O20" s="37"/>
      <c r="P20" s="37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1"/>
      <c r="B21" s="22">
        <v>17.0</v>
      </c>
      <c r="C21" s="23" t="s">
        <v>58</v>
      </c>
      <c r="D21" s="23" t="s">
        <v>59</v>
      </c>
      <c r="E21" s="35" t="str">
        <f t="shared" si="2"/>
        <v/>
      </c>
      <c r="F21" s="36" t="str">
        <f t="shared" si="3"/>
        <v/>
      </c>
      <c r="G21" s="27"/>
      <c r="H21" s="41"/>
      <c r="I21" s="41"/>
      <c r="J21" s="41"/>
      <c r="K21" s="41"/>
      <c r="L21" s="41"/>
      <c r="M21" s="41"/>
      <c r="N21" s="41"/>
      <c r="O21" s="37"/>
      <c r="P21" s="37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9"/>
      <c r="B22" s="30">
        <v>18.0</v>
      </c>
      <c r="C22" s="31" t="s">
        <v>60</v>
      </c>
      <c r="D22" s="43" t="s">
        <v>61</v>
      </c>
      <c r="E22" s="38" t="str">
        <f t="shared" si="2"/>
        <v/>
      </c>
      <c r="F22" s="39" t="str">
        <f t="shared" si="3"/>
        <v/>
      </c>
      <c r="G22" s="27"/>
      <c r="H22" s="27"/>
      <c r="I22" s="27"/>
      <c r="J22" s="27"/>
      <c r="K22" s="41"/>
      <c r="L22" s="41"/>
      <c r="M22" s="41"/>
      <c r="N22" s="41"/>
      <c r="O22" s="37"/>
      <c r="P22" s="37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1"/>
      <c r="B23" s="22">
        <v>19.0</v>
      </c>
      <c r="C23" s="44" t="s">
        <v>62</v>
      </c>
      <c r="D23" s="45" t="s">
        <v>63</v>
      </c>
      <c r="E23" s="35" t="str">
        <f t="shared" si="2"/>
        <v/>
      </c>
      <c r="F23" s="36" t="str">
        <f t="shared" si="3"/>
        <v/>
      </c>
      <c r="G23" s="27"/>
      <c r="H23" s="27"/>
      <c r="I23" s="27"/>
      <c r="J23" s="27"/>
      <c r="K23" s="27"/>
      <c r="L23" s="27"/>
      <c r="M23" s="27"/>
      <c r="N23" s="27"/>
      <c r="O23" s="37"/>
      <c r="P23" s="37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9"/>
      <c r="B24" s="30">
        <v>20.0</v>
      </c>
      <c r="C24" s="31" t="s">
        <v>64</v>
      </c>
      <c r="D24" s="31" t="s">
        <v>65</v>
      </c>
      <c r="E24" s="38" t="str">
        <f t="shared" si="2"/>
        <v/>
      </c>
      <c r="F24" s="39" t="str">
        <f t="shared" si="3"/>
        <v/>
      </c>
      <c r="G24" s="27"/>
      <c r="H24" s="41"/>
      <c r="I24" s="41"/>
      <c r="J24" s="41"/>
      <c r="K24" s="41"/>
      <c r="L24" s="41"/>
      <c r="M24" s="41"/>
      <c r="N24" s="41"/>
      <c r="O24" s="37"/>
      <c r="P24" s="37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1"/>
      <c r="B25" s="22">
        <v>21.0</v>
      </c>
      <c r="C25" s="42" t="s">
        <v>66</v>
      </c>
      <c r="D25" s="42" t="s">
        <v>67</v>
      </c>
      <c r="E25" s="35" t="str">
        <f t="shared" si="2"/>
        <v/>
      </c>
      <c r="F25" s="36" t="str">
        <f t="shared" si="3"/>
        <v/>
      </c>
      <c r="G25" s="27"/>
      <c r="H25" s="27"/>
      <c r="I25" s="27"/>
      <c r="J25" s="27"/>
      <c r="K25" s="27"/>
      <c r="L25" s="27"/>
      <c r="M25" s="27"/>
      <c r="N25" s="27"/>
      <c r="O25" s="37"/>
      <c r="P25" s="37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9"/>
      <c r="B26" s="30">
        <v>22.0</v>
      </c>
      <c r="C26" s="46" t="s">
        <v>68</v>
      </c>
      <c r="D26" s="46" t="s">
        <v>69</v>
      </c>
      <c r="E26" s="38" t="str">
        <f t="shared" si="2"/>
        <v/>
      </c>
      <c r="F26" s="39" t="str">
        <f t="shared" si="3"/>
        <v/>
      </c>
      <c r="G26" s="27"/>
      <c r="H26" s="41"/>
      <c r="I26" s="41"/>
      <c r="J26" s="41"/>
      <c r="K26" s="41"/>
      <c r="L26" s="41"/>
      <c r="M26" s="41"/>
      <c r="N26" s="41"/>
      <c r="O26" s="37"/>
      <c r="P26" s="37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1"/>
      <c r="B27" s="22">
        <v>23.0</v>
      </c>
      <c r="C27" s="23" t="s">
        <v>26</v>
      </c>
      <c r="D27" s="47" t="s">
        <v>27</v>
      </c>
      <c r="E27" s="35" t="str">
        <f t="shared" si="2"/>
        <v/>
      </c>
      <c r="F27" s="36" t="str">
        <f t="shared" si="3"/>
        <v/>
      </c>
      <c r="G27" s="27"/>
      <c r="H27" s="27"/>
      <c r="I27" s="27"/>
      <c r="J27" s="27"/>
      <c r="K27" s="41"/>
      <c r="L27" s="41"/>
      <c r="M27" s="41"/>
      <c r="N27" s="41"/>
      <c r="O27" s="37"/>
      <c r="P27" s="37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9"/>
      <c r="B28" s="30">
        <v>24.0</v>
      </c>
      <c r="C28" s="31" t="s">
        <v>28</v>
      </c>
      <c r="D28" s="32" t="s">
        <v>70</v>
      </c>
      <c r="E28" s="33" t="str">
        <f t="shared" si="2"/>
        <v>7번 중 6번 참여</v>
      </c>
      <c r="F28" s="34">
        <f t="shared" si="3"/>
        <v>0.8571428571</v>
      </c>
      <c r="G28" s="27"/>
      <c r="H28" s="27" t="s">
        <v>25</v>
      </c>
      <c r="I28" s="27" t="s">
        <v>25</v>
      </c>
      <c r="J28" s="27" t="s">
        <v>25</v>
      </c>
      <c r="K28" s="27" t="s">
        <v>25</v>
      </c>
      <c r="L28" s="27" t="s">
        <v>25</v>
      </c>
      <c r="M28" s="27" t="s">
        <v>25</v>
      </c>
      <c r="N28" s="27"/>
      <c r="O28" s="28"/>
      <c r="P28" s="28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21"/>
      <c r="B29" s="22">
        <v>25.0</v>
      </c>
      <c r="C29" s="23" t="s">
        <v>30</v>
      </c>
      <c r="D29" s="23" t="s">
        <v>31</v>
      </c>
      <c r="E29" s="35" t="str">
        <f t="shared" si="2"/>
        <v/>
      </c>
      <c r="F29" s="36" t="str">
        <f t="shared" si="3"/>
        <v/>
      </c>
      <c r="G29" s="41"/>
      <c r="H29" s="41"/>
      <c r="I29" s="41"/>
      <c r="J29" s="41"/>
      <c r="K29" s="41"/>
      <c r="L29" s="41"/>
      <c r="M29" s="41"/>
      <c r="N29" s="41"/>
      <c r="O29" s="37"/>
      <c r="P29" s="37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9"/>
      <c r="B30" s="30">
        <v>26.0</v>
      </c>
      <c r="C30" s="31" t="s">
        <v>32</v>
      </c>
      <c r="D30" s="31" t="s">
        <v>33</v>
      </c>
      <c r="E30" s="38" t="str">
        <f t="shared" si="2"/>
        <v/>
      </c>
      <c r="F30" s="39" t="str">
        <f t="shared" si="3"/>
        <v/>
      </c>
      <c r="G30" s="41"/>
      <c r="H30" s="41"/>
      <c r="I30" s="41"/>
      <c r="J30" s="41"/>
      <c r="K30" s="41"/>
      <c r="L30" s="41"/>
      <c r="M30" s="41"/>
      <c r="N30" s="41"/>
      <c r="O30" s="37"/>
      <c r="P30" s="37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1"/>
      <c r="B31" s="22">
        <v>27.0</v>
      </c>
      <c r="C31" s="23" t="s">
        <v>34</v>
      </c>
      <c r="D31" s="42" t="s">
        <v>71</v>
      </c>
      <c r="E31" s="35" t="str">
        <f t="shared" si="2"/>
        <v/>
      </c>
      <c r="F31" s="36" t="str">
        <f t="shared" si="3"/>
        <v/>
      </c>
      <c r="G31" s="41"/>
      <c r="H31" s="41"/>
      <c r="I31" s="41"/>
      <c r="J31" s="41"/>
      <c r="K31" s="41"/>
      <c r="L31" s="41"/>
      <c r="M31" s="41"/>
      <c r="N31" s="41"/>
      <c r="O31" s="37"/>
      <c r="P31" s="37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9"/>
      <c r="B32" s="30">
        <v>28.0</v>
      </c>
      <c r="C32" s="31" t="s">
        <v>36</v>
      </c>
      <c r="D32" s="31" t="s">
        <v>72</v>
      </c>
      <c r="E32" s="38" t="str">
        <f t="shared" si="2"/>
        <v/>
      </c>
      <c r="F32" s="39" t="str">
        <f t="shared" si="3"/>
        <v/>
      </c>
      <c r="G32" s="41"/>
      <c r="H32" s="41"/>
      <c r="I32" s="41"/>
      <c r="J32" s="41"/>
      <c r="K32" s="41"/>
      <c r="L32" s="41"/>
      <c r="M32" s="41"/>
      <c r="N32" s="41"/>
      <c r="O32" s="37"/>
      <c r="P32" s="37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1"/>
      <c r="B33" s="22">
        <v>29.0</v>
      </c>
      <c r="C33" s="23" t="s">
        <v>38</v>
      </c>
      <c r="D33" s="23" t="s">
        <v>39</v>
      </c>
      <c r="E33" s="35" t="str">
        <f t="shared" si="2"/>
        <v/>
      </c>
      <c r="F33" s="36" t="str">
        <f t="shared" si="3"/>
        <v/>
      </c>
      <c r="G33" s="41"/>
      <c r="H33" s="41"/>
      <c r="I33" s="41"/>
      <c r="J33" s="41"/>
      <c r="K33" s="41"/>
      <c r="L33" s="41"/>
      <c r="M33" s="41"/>
      <c r="N33" s="41"/>
      <c r="O33" s="37"/>
      <c r="P33" s="37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9"/>
      <c r="B34" s="30">
        <v>30.0</v>
      </c>
      <c r="C34" s="31" t="s">
        <v>40</v>
      </c>
      <c r="D34" s="31" t="s">
        <v>41</v>
      </c>
      <c r="E34" s="38" t="str">
        <f t="shared" si="2"/>
        <v/>
      </c>
      <c r="F34" s="39" t="str">
        <f t="shared" si="3"/>
        <v/>
      </c>
      <c r="G34" s="41"/>
      <c r="H34" s="41"/>
      <c r="I34" s="41"/>
      <c r="J34" s="41"/>
      <c r="K34" s="41"/>
      <c r="L34" s="41"/>
      <c r="M34" s="41"/>
      <c r="N34" s="41"/>
      <c r="O34" s="37"/>
      <c r="P34" s="37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1"/>
      <c r="B35" s="22">
        <v>31.0</v>
      </c>
      <c r="C35" s="23" t="s">
        <v>42</v>
      </c>
      <c r="D35" s="42" t="s">
        <v>73</v>
      </c>
      <c r="E35" s="35" t="str">
        <f t="shared" si="2"/>
        <v/>
      </c>
      <c r="F35" s="36" t="str">
        <f t="shared" si="3"/>
        <v/>
      </c>
      <c r="G35" s="41"/>
      <c r="H35" s="41"/>
      <c r="I35" s="41"/>
      <c r="J35" s="41"/>
      <c r="K35" s="41"/>
      <c r="L35" s="41"/>
      <c r="M35" s="41"/>
      <c r="N35" s="41"/>
      <c r="O35" s="37"/>
      <c r="P35" s="37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29"/>
      <c r="B36" s="30">
        <v>32.0</v>
      </c>
      <c r="C36" s="31" t="s">
        <v>44</v>
      </c>
      <c r="D36" s="31" t="s">
        <v>45</v>
      </c>
      <c r="E36" s="38" t="str">
        <f t="shared" si="2"/>
        <v/>
      </c>
      <c r="F36" s="39" t="str">
        <f t="shared" si="3"/>
        <v/>
      </c>
      <c r="G36" s="41"/>
      <c r="H36" s="41"/>
      <c r="I36" s="41"/>
      <c r="J36" s="41"/>
      <c r="K36" s="41"/>
      <c r="L36" s="41"/>
      <c r="M36" s="41"/>
      <c r="N36" s="41"/>
      <c r="O36" s="37"/>
      <c r="P36" s="37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1"/>
      <c r="B37" s="22">
        <v>33.0</v>
      </c>
      <c r="C37" s="23" t="s">
        <v>46</v>
      </c>
      <c r="D37" s="23" t="s">
        <v>47</v>
      </c>
      <c r="E37" s="35" t="str">
        <f t="shared" si="2"/>
        <v/>
      </c>
      <c r="F37" s="36" t="str">
        <f t="shared" si="3"/>
        <v/>
      </c>
      <c r="G37" s="41"/>
      <c r="H37" s="41"/>
      <c r="I37" s="41"/>
      <c r="J37" s="41"/>
      <c r="K37" s="41"/>
      <c r="L37" s="41"/>
      <c r="M37" s="41"/>
      <c r="N37" s="41"/>
      <c r="O37" s="37"/>
      <c r="P37" s="37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9"/>
      <c r="B38" s="30">
        <v>34.0</v>
      </c>
      <c r="C38" s="31" t="s">
        <v>48</v>
      </c>
      <c r="D38" s="31" t="s">
        <v>49</v>
      </c>
      <c r="E38" s="38" t="str">
        <f t="shared" si="2"/>
        <v/>
      </c>
      <c r="F38" s="39" t="str">
        <f t="shared" si="3"/>
        <v/>
      </c>
      <c r="G38" s="41"/>
      <c r="H38" s="41"/>
      <c r="I38" s="41"/>
      <c r="J38" s="41"/>
      <c r="K38" s="41"/>
      <c r="L38" s="41"/>
      <c r="M38" s="41"/>
      <c r="N38" s="41"/>
      <c r="O38" s="37"/>
      <c r="P38" s="37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21"/>
      <c r="B39" s="22">
        <v>35.0</v>
      </c>
      <c r="C39" s="23" t="s">
        <v>50</v>
      </c>
      <c r="D39" s="23" t="s">
        <v>51</v>
      </c>
      <c r="E39" s="35" t="str">
        <f t="shared" si="2"/>
        <v/>
      </c>
      <c r="F39" s="36" t="str">
        <f t="shared" si="3"/>
        <v/>
      </c>
      <c r="G39" s="41"/>
      <c r="H39" s="41"/>
      <c r="I39" s="41"/>
      <c r="J39" s="41"/>
      <c r="K39" s="41"/>
      <c r="L39" s="41"/>
      <c r="M39" s="41"/>
      <c r="N39" s="41"/>
      <c r="O39" s="37"/>
      <c r="P39" s="37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9"/>
      <c r="B40" s="30">
        <v>36.0</v>
      </c>
      <c r="C40" s="31" t="s">
        <v>52</v>
      </c>
      <c r="D40" s="31" t="s">
        <v>53</v>
      </c>
      <c r="E40" s="38" t="str">
        <f t="shared" si="2"/>
        <v/>
      </c>
      <c r="F40" s="39" t="str">
        <f t="shared" si="3"/>
        <v/>
      </c>
      <c r="G40" s="41"/>
      <c r="H40" s="41"/>
      <c r="I40" s="41"/>
      <c r="J40" s="41"/>
      <c r="K40" s="41"/>
      <c r="L40" s="41"/>
      <c r="M40" s="41"/>
      <c r="N40" s="41"/>
      <c r="O40" s="37"/>
      <c r="P40" s="37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1"/>
      <c r="B41" s="22">
        <v>37.0</v>
      </c>
      <c r="C41" s="42" t="s">
        <v>54</v>
      </c>
      <c r="D41" s="42" t="s">
        <v>55</v>
      </c>
      <c r="E41" s="35" t="str">
        <f t="shared" si="2"/>
        <v/>
      </c>
      <c r="F41" s="36" t="str">
        <f t="shared" si="3"/>
        <v/>
      </c>
      <c r="G41" s="41"/>
      <c r="H41" s="41"/>
      <c r="I41" s="41"/>
      <c r="J41" s="41"/>
      <c r="K41" s="41"/>
      <c r="L41" s="41"/>
      <c r="M41" s="41"/>
      <c r="N41" s="41"/>
      <c r="O41" s="37"/>
      <c r="P41" s="37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9"/>
      <c r="B42" s="30">
        <v>38.0</v>
      </c>
      <c r="C42" s="31" t="s">
        <v>56</v>
      </c>
      <c r="D42" s="31" t="s">
        <v>57</v>
      </c>
      <c r="E42" s="38" t="str">
        <f t="shared" si="2"/>
        <v/>
      </c>
      <c r="F42" s="39" t="str">
        <f t="shared" si="3"/>
        <v/>
      </c>
      <c r="G42" s="41"/>
      <c r="H42" s="41"/>
      <c r="I42" s="41"/>
      <c r="J42" s="41"/>
      <c r="K42" s="41"/>
      <c r="L42" s="41"/>
      <c r="M42" s="41"/>
      <c r="N42" s="41"/>
      <c r="O42" s="37"/>
      <c r="P42" s="37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1"/>
      <c r="B43" s="22">
        <v>39.0</v>
      </c>
      <c r="C43" s="23" t="s">
        <v>58</v>
      </c>
      <c r="D43" s="23" t="s">
        <v>59</v>
      </c>
      <c r="E43" s="35" t="str">
        <f t="shared" si="2"/>
        <v/>
      </c>
      <c r="F43" s="36" t="str">
        <f t="shared" si="3"/>
        <v/>
      </c>
      <c r="G43" s="41"/>
      <c r="H43" s="41"/>
      <c r="I43" s="41"/>
      <c r="J43" s="41"/>
      <c r="K43" s="41"/>
      <c r="L43" s="41"/>
      <c r="M43" s="41"/>
      <c r="N43" s="41"/>
      <c r="O43" s="37"/>
      <c r="P43" s="37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9"/>
      <c r="B44" s="30">
        <v>40.0</v>
      </c>
      <c r="C44" s="31" t="s">
        <v>60</v>
      </c>
      <c r="D44" s="48" t="s">
        <v>61</v>
      </c>
      <c r="E44" s="38" t="str">
        <f t="shared" si="2"/>
        <v/>
      </c>
      <c r="F44" s="39" t="str">
        <f t="shared" si="3"/>
        <v/>
      </c>
      <c r="G44" s="41"/>
      <c r="H44" s="41"/>
      <c r="I44" s="41"/>
      <c r="J44" s="41"/>
      <c r="K44" s="41"/>
      <c r="L44" s="41"/>
      <c r="M44" s="41"/>
      <c r="N44" s="41"/>
      <c r="O44" s="37"/>
      <c r="P44" s="37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21"/>
      <c r="B45" s="22">
        <v>41.0</v>
      </c>
      <c r="C45" s="44" t="s">
        <v>62</v>
      </c>
      <c r="D45" s="35"/>
      <c r="E45" s="35" t="str">
        <f t="shared" si="2"/>
        <v/>
      </c>
      <c r="F45" s="36" t="str">
        <f t="shared" si="3"/>
        <v/>
      </c>
      <c r="G45" s="41"/>
      <c r="H45" s="41"/>
      <c r="I45" s="41"/>
      <c r="J45" s="41"/>
      <c r="K45" s="41"/>
      <c r="L45" s="41"/>
      <c r="M45" s="41"/>
      <c r="N45" s="41"/>
      <c r="O45" s="37"/>
      <c r="P45" s="37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29"/>
      <c r="B46" s="30">
        <v>42.0</v>
      </c>
      <c r="C46" s="31" t="s">
        <v>64</v>
      </c>
      <c r="D46" s="31" t="s">
        <v>65</v>
      </c>
      <c r="E46" s="38" t="str">
        <f t="shared" si="2"/>
        <v/>
      </c>
      <c r="F46" s="39" t="str">
        <f t="shared" si="3"/>
        <v/>
      </c>
      <c r="G46" s="41"/>
      <c r="H46" s="41"/>
      <c r="I46" s="41"/>
      <c r="J46" s="41"/>
      <c r="K46" s="41"/>
      <c r="L46" s="41"/>
      <c r="M46" s="41"/>
      <c r="N46" s="41"/>
      <c r="O46" s="37"/>
      <c r="P46" s="37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21"/>
      <c r="B47" s="22">
        <v>43.0</v>
      </c>
      <c r="C47" s="42" t="s">
        <v>66</v>
      </c>
      <c r="D47" s="42" t="s">
        <v>67</v>
      </c>
      <c r="E47" s="35" t="str">
        <f t="shared" si="2"/>
        <v/>
      </c>
      <c r="F47" s="36" t="str">
        <f t="shared" si="3"/>
        <v/>
      </c>
      <c r="G47" s="27"/>
      <c r="H47" s="27"/>
      <c r="I47" s="27"/>
      <c r="J47" s="27"/>
      <c r="K47" s="27"/>
      <c r="L47" s="27"/>
      <c r="M47" s="27"/>
      <c r="N47" s="27"/>
      <c r="O47" s="37"/>
      <c r="P47" s="37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29"/>
      <c r="B48" s="30">
        <v>44.0</v>
      </c>
      <c r="C48" s="46" t="s">
        <v>68</v>
      </c>
      <c r="D48" s="46" t="s">
        <v>69</v>
      </c>
      <c r="E48" s="38" t="str">
        <f t="shared" si="2"/>
        <v/>
      </c>
      <c r="F48" s="39" t="str">
        <f t="shared" si="3"/>
        <v/>
      </c>
      <c r="G48" s="41"/>
      <c r="H48" s="41"/>
      <c r="I48" s="41"/>
      <c r="J48" s="41"/>
      <c r="K48" s="41"/>
      <c r="L48" s="41"/>
      <c r="M48" s="41"/>
      <c r="N48" s="41"/>
      <c r="O48" s="37"/>
      <c r="P48" s="37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1"/>
      <c r="B49" s="22">
        <v>45.0</v>
      </c>
      <c r="C49" s="23" t="s">
        <v>74</v>
      </c>
      <c r="D49" s="23" t="s">
        <v>75</v>
      </c>
      <c r="E49" s="35" t="str">
        <f t="shared" si="2"/>
        <v/>
      </c>
      <c r="F49" s="36" t="str">
        <f t="shared" si="3"/>
        <v/>
      </c>
      <c r="G49" s="27"/>
      <c r="H49" s="41"/>
      <c r="I49" s="27"/>
      <c r="J49" s="41"/>
      <c r="K49" s="41"/>
      <c r="L49" s="41"/>
      <c r="M49" s="41"/>
      <c r="N49" s="41"/>
      <c r="O49" s="37"/>
      <c r="P49" s="37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29"/>
      <c r="B50" s="30">
        <v>46.0</v>
      </c>
      <c r="C50" s="31" t="s">
        <v>76</v>
      </c>
      <c r="D50" s="43" t="s">
        <v>77</v>
      </c>
      <c r="E50" s="38" t="str">
        <f t="shared" si="2"/>
        <v/>
      </c>
      <c r="F50" s="39" t="str">
        <f t="shared" si="3"/>
        <v/>
      </c>
      <c r="G50" s="27"/>
      <c r="H50" s="41"/>
      <c r="I50" s="41"/>
      <c r="J50" s="41"/>
      <c r="K50" s="41"/>
      <c r="L50" s="41"/>
      <c r="M50" s="41"/>
      <c r="N50" s="41"/>
      <c r="O50" s="37"/>
      <c r="P50" s="37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21"/>
      <c r="B51" s="22">
        <v>47.0</v>
      </c>
      <c r="C51" s="23" t="s">
        <v>78</v>
      </c>
      <c r="D51" s="47" t="s">
        <v>79</v>
      </c>
      <c r="E51" s="25" t="str">
        <f t="shared" si="2"/>
        <v>7번 중 2번 참여</v>
      </c>
      <c r="F51" s="26">
        <f t="shared" si="3"/>
        <v>0.2857142857</v>
      </c>
      <c r="G51" s="27"/>
      <c r="H51" s="27"/>
      <c r="I51" s="27" t="s">
        <v>25</v>
      </c>
      <c r="J51" s="27"/>
      <c r="K51" s="27" t="s">
        <v>25</v>
      </c>
      <c r="L51" s="27"/>
      <c r="M51" s="27"/>
      <c r="N51" s="27"/>
      <c r="O51" s="28" t="s">
        <v>80</v>
      </c>
      <c r="P51" s="28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29"/>
      <c r="B52" s="30">
        <v>48.0</v>
      </c>
      <c r="C52" s="31" t="s">
        <v>81</v>
      </c>
      <c r="D52" s="31" t="s">
        <v>82</v>
      </c>
      <c r="E52" s="33" t="str">
        <f t="shared" si="2"/>
        <v>7번 중 7번 참여</v>
      </c>
      <c r="F52" s="34">
        <f t="shared" si="3"/>
        <v>1</v>
      </c>
      <c r="G52" s="27"/>
      <c r="H52" s="27" t="s">
        <v>25</v>
      </c>
      <c r="I52" s="27" t="s">
        <v>25</v>
      </c>
      <c r="J52" s="27" t="s">
        <v>25</v>
      </c>
      <c r="K52" s="27" t="s">
        <v>25</v>
      </c>
      <c r="L52" s="27" t="s">
        <v>25</v>
      </c>
      <c r="M52" s="27" t="s">
        <v>25</v>
      </c>
      <c r="N52" s="27" t="s">
        <v>25</v>
      </c>
      <c r="O52" s="27"/>
      <c r="P52" s="28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21"/>
      <c r="B53" s="22">
        <v>49.0</v>
      </c>
      <c r="C53" s="23" t="s">
        <v>83</v>
      </c>
      <c r="D53" s="23" t="s">
        <v>84</v>
      </c>
      <c r="E53" s="35" t="str">
        <f t="shared" si="2"/>
        <v/>
      </c>
      <c r="F53" s="36" t="str">
        <f t="shared" si="3"/>
        <v/>
      </c>
      <c r="G53" s="41"/>
      <c r="H53" s="41"/>
      <c r="I53" s="41"/>
      <c r="J53" s="27"/>
      <c r="K53" s="27"/>
      <c r="L53" s="27"/>
      <c r="M53" s="27"/>
      <c r="N53" s="27"/>
      <c r="O53" s="27"/>
      <c r="P53" s="37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29"/>
      <c r="B54" s="30">
        <v>50.0</v>
      </c>
      <c r="C54" s="31" t="s">
        <v>85</v>
      </c>
      <c r="D54" s="31" t="s">
        <v>86</v>
      </c>
      <c r="E54" s="38" t="str">
        <f t="shared" si="2"/>
        <v/>
      </c>
      <c r="F54" s="39" t="str">
        <f t="shared" si="3"/>
        <v/>
      </c>
      <c r="G54" s="27"/>
      <c r="H54" s="27"/>
      <c r="I54" s="27"/>
      <c r="J54" s="27"/>
      <c r="K54" s="27"/>
      <c r="L54" s="27"/>
      <c r="M54" s="27"/>
      <c r="N54" s="27"/>
      <c r="O54" s="27"/>
      <c r="P54" s="37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21"/>
      <c r="B55" s="22">
        <v>51.0</v>
      </c>
      <c r="C55" s="23" t="s">
        <v>87</v>
      </c>
      <c r="D55" s="24" t="s">
        <v>88</v>
      </c>
      <c r="E55" s="35" t="str">
        <f t="shared" si="2"/>
        <v/>
      </c>
      <c r="F55" s="36" t="str">
        <f t="shared" si="3"/>
        <v/>
      </c>
      <c r="G55" s="41"/>
      <c r="H55" s="27"/>
      <c r="I55" s="27"/>
      <c r="J55" s="27"/>
      <c r="K55" s="27"/>
      <c r="L55" s="27"/>
      <c r="M55" s="27"/>
      <c r="N55" s="27"/>
      <c r="O55" s="27"/>
      <c r="P55" s="37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29"/>
      <c r="B56" s="30">
        <v>52.0</v>
      </c>
      <c r="C56" s="49" t="s">
        <v>89</v>
      </c>
      <c r="D56" s="49" t="s">
        <v>90</v>
      </c>
      <c r="E56" s="38" t="str">
        <f t="shared" si="2"/>
        <v/>
      </c>
      <c r="F56" s="39" t="str">
        <f t="shared" si="3"/>
        <v/>
      </c>
      <c r="G56" s="41"/>
      <c r="H56" s="41"/>
      <c r="I56" s="41"/>
      <c r="J56" s="27"/>
      <c r="K56" s="27"/>
      <c r="L56" s="27"/>
      <c r="M56" s="27"/>
      <c r="N56" s="27"/>
      <c r="O56" s="27"/>
      <c r="P56" s="37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21"/>
      <c r="B57" s="22">
        <v>53.0</v>
      </c>
      <c r="C57" s="50" t="s">
        <v>91</v>
      </c>
      <c r="D57" s="50" t="s">
        <v>92</v>
      </c>
      <c r="E57" s="25" t="str">
        <f t="shared" si="2"/>
        <v>7번 중 1번 참여</v>
      </c>
      <c r="F57" s="26">
        <f t="shared" si="3"/>
        <v>0.1428571429</v>
      </c>
      <c r="G57" s="27"/>
      <c r="H57" s="27" t="s">
        <v>25</v>
      </c>
      <c r="I57" s="27" t="s">
        <v>80</v>
      </c>
      <c r="J57" s="27"/>
      <c r="K57" s="27"/>
      <c r="L57" s="27"/>
      <c r="M57" s="27"/>
      <c r="N57" s="27"/>
      <c r="O57" s="27"/>
      <c r="P57" s="37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29"/>
      <c r="B58" s="30">
        <v>54.0</v>
      </c>
      <c r="C58" s="31" t="s">
        <v>93</v>
      </c>
      <c r="D58" s="31" t="s">
        <v>94</v>
      </c>
      <c r="E58" s="38" t="str">
        <f t="shared" si="2"/>
        <v/>
      </c>
      <c r="F58" s="39" t="str">
        <f t="shared" si="3"/>
        <v/>
      </c>
      <c r="G58" s="41"/>
      <c r="H58" s="41"/>
      <c r="I58" s="41"/>
      <c r="J58" s="27"/>
      <c r="K58" s="27"/>
      <c r="L58" s="27"/>
      <c r="M58" s="27"/>
      <c r="N58" s="27"/>
      <c r="O58" s="27"/>
      <c r="P58" s="37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21"/>
      <c r="B59" s="22">
        <v>55.0</v>
      </c>
      <c r="C59" s="23" t="s">
        <v>95</v>
      </c>
      <c r="D59" s="23" t="s">
        <v>96</v>
      </c>
      <c r="E59" s="25" t="str">
        <f t="shared" si="2"/>
        <v>7번 중 3번 참여</v>
      </c>
      <c r="F59" s="26">
        <f t="shared" si="3"/>
        <v>0.4285714286</v>
      </c>
      <c r="G59" s="27"/>
      <c r="H59" s="27"/>
      <c r="I59" s="27" t="s">
        <v>25</v>
      </c>
      <c r="J59" s="27" t="s">
        <v>25</v>
      </c>
      <c r="K59" s="27" t="s">
        <v>25</v>
      </c>
      <c r="L59" s="27"/>
      <c r="M59" s="27"/>
      <c r="N59" s="27"/>
      <c r="O59" s="27"/>
      <c r="P59" s="28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29"/>
      <c r="B60" s="30">
        <v>56.0</v>
      </c>
      <c r="C60" s="31" t="s">
        <v>97</v>
      </c>
      <c r="D60" s="31" t="s">
        <v>98</v>
      </c>
      <c r="E60" s="38" t="str">
        <f t="shared" si="2"/>
        <v/>
      </c>
      <c r="F60" s="39" t="str">
        <f t="shared" si="3"/>
        <v/>
      </c>
      <c r="G60" s="27"/>
      <c r="H60" s="27"/>
      <c r="I60" s="27"/>
      <c r="J60" s="27"/>
      <c r="K60" s="27"/>
      <c r="L60" s="27"/>
      <c r="M60" s="27"/>
      <c r="N60" s="27"/>
      <c r="O60" s="27"/>
      <c r="P60" s="37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21"/>
      <c r="B61" s="22">
        <v>57.0</v>
      </c>
      <c r="C61" s="23" t="s">
        <v>99</v>
      </c>
      <c r="D61" s="23" t="s">
        <v>100</v>
      </c>
      <c r="E61" s="25" t="str">
        <f t="shared" si="2"/>
        <v>7번 중 3번 참여</v>
      </c>
      <c r="F61" s="26">
        <f t="shared" si="3"/>
        <v>0.4285714286</v>
      </c>
      <c r="G61" s="27"/>
      <c r="H61" s="27" t="s">
        <v>25</v>
      </c>
      <c r="I61" s="27" t="s">
        <v>80</v>
      </c>
      <c r="J61" s="27" t="s">
        <v>25</v>
      </c>
      <c r="K61" s="27" t="s">
        <v>25</v>
      </c>
      <c r="L61" s="27"/>
      <c r="M61" s="27"/>
      <c r="N61" s="27"/>
      <c r="O61" s="27"/>
      <c r="P61" s="37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29"/>
      <c r="B62" s="30">
        <v>58.0</v>
      </c>
      <c r="C62" s="31" t="s">
        <v>101</v>
      </c>
      <c r="D62" s="31" t="s">
        <v>102</v>
      </c>
      <c r="E62" s="33" t="str">
        <f t="shared" si="2"/>
        <v>7번 중 2번 참여</v>
      </c>
      <c r="F62" s="34">
        <f t="shared" si="3"/>
        <v>0.2857142857</v>
      </c>
      <c r="G62" s="27"/>
      <c r="H62" s="27" t="s">
        <v>25</v>
      </c>
      <c r="I62" s="27" t="s">
        <v>25</v>
      </c>
      <c r="J62" s="27"/>
      <c r="K62" s="27"/>
      <c r="L62" s="27"/>
      <c r="M62" s="27"/>
      <c r="N62" s="27"/>
      <c r="O62" s="27"/>
      <c r="P62" s="37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21"/>
      <c r="B63" s="22">
        <v>59.0</v>
      </c>
      <c r="C63" s="23" t="s">
        <v>103</v>
      </c>
      <c r="D63" s="23" t="s">
        <v>104</v>
      </c>
      <c r="E63" s="25" t="str">
        <f t="shared" si="2"/>
        <v>7번 중 4번 참여</v>
      </c>
      <c r="F63" s="26">
        <f t="shared" si="3"/>
        <v>0.5714285714</v>
      </c>
      <c r="G63" s="27"/>
      <c r="H63" s="27" t="s">
        <v>25</v>
      </c>
      <c r="I63" s="27" t="s">
        <v>25</v>
      </c>
      <c r="J63" s="27" t="s">
        <v>25</v>
      </c>
      <c r="K63" s="27" t="s">
        <v>25</v>
      </c>
      <c r="L63" s="27"/>
      <c r="M63" s="27"/>
      <c r="N63" s="27"/>
      <c r="O63" s="27"/>
      <c r="P63" s="37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29"/>
      <c r="B64" s="30">
        <v>60.0</v>
      </c>
      <c r="C64" s="51" t="s">
        <v>105</v>
      </c>
      <c r="D64" s="52" t="s">
        <v>106</v>
      </c>
      <c r="E64" s="38" t="str">
        <f t="shared" si="2"/>
        <v/>
      </c>
      <c r="F64" s="39" t="str">
        <f t="shared" si="3"/>
        <v/>
      </c>
      <c r="G64" s="27"/>
      <c r="H64" s="27"/>
      <c r="I64" s="27"/>
      <c r="J64" s="27"/>
      <c r="K64" s="27"/>
      <c r="L64" s="27"/>
      <c r="M64" s="27"/>
      <c r="N64" s="27"/>
      <c r="O64" s="27"/>
      <c r="P64" s="37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21"/>
      <c r="B65" s="22">
        <v>61.0</v>
      </c>
      <c r="C65" s="53" t="s">
        <v>107</v>
      </c>
      <c r="D65" s="53" t="s">
        <v>108</v>
      </c>
      <c r="E65" s="35" t="str">
        <f t="shared" si="2"/>
        <v/>
      </c>
      <c r="F65" s="36" t="str">
        <f t="shared" si="3"/>
        <v/>
      </c>
      <c r="G65" s="41"/>
      <c r="H65" s="41"/>
      <c r="I65" s="41"/>
      <c r="J65" s="27"/>
      <c r="K65" s="27"/>
      <c r="L65" s="27"/>
      <c r="M65" s="27"/>
      <c r="N65" s="27"/>
      <c r="O65" s="27"/>
      <c r="P65" s="37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29"/>
      <c r="B66" s="30">
        <v>62.0</v>
      </c>
      <c r="C66" s="32" t="s">
        <v>109</v>
      </c>
      <c r="D66" s="32" t="s">
        <v>110</v>
      </c>
      <c r="E66" s="38" t="str">
        <f t="shared" si="2"/>
        <v/>
      </c>
      <c r="F66" s="39" t="str">
        <f t="shared" si="3"/>
        <v/>
      </c>
      <c r="G66" s="27"/>
      <c r="H66" s="27"/>
      <c r="I66" s="27"/>
      <c r="J66" s="27"/>
      <c r="K66" s="27"/>
      <c r="L66" s="27"/>
      <c r="M66" s="27"/>
      <c r="N66" s="27"/>
      <c r="O66" s="27"/>
      <c r="P66" s="37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21"/>
      <c r="B67" s="22">
        <v>63.0</v>
      </c>
      <c r="C67" s="23" t="s">
        <v>111</v>
      </c>
      <c r="D67" s="23" t="s">
        <v>112</v>
      </c>
      <c r="E67" s="35" t="str">
        <f t="shared" si="2"/>
        <v/>
      </c>
      <c r="F67" s="36" t="str">
        <f t="shared" si="3"/>
        <v/>
      </c>
      <c r="G67" s="41"/>
      <c r="H67" s="41"/>
      <c r="I67" s="41"/>
      <c r="J67" s="27"/>
      <c r="K67" s="27"/>
      <c r="L67" s="27"/>
      <c r="M67" s="27"/>
      <c r="N67" s="27"/>
      <c r="O67" s="27"/>
      <c r="P67" s="37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29"/>
      <c r="B68" s="30">
        <v>64.0</v>
      </c>
      <c r="C68" s="31" t="s">
        <v>113</v>
      </c>
      <c r="D68" s="31" t="s">
        <v>114</v>
      </c>
      <c r="E68" s="33" t="str">
        <f t="shared" si="2"/>
        <v>7번 중 6번 참여</v>
      </c>
      <c r="F68" s="34">
        <f t="shared" si="3"/>
        <v>0.8571428571</v>
      </c>
      <c r="G68" s="27"/>
      <c r="H68" s="27" t="s">
        <v>25</v>
      </c>
      <c r="I68" s="27" t="s">
        <v>25</v>
      </c>
      <c r="J68" s="27" t="s">
        <v>25</v>
      </c>
      <c r="K68" s="27" t="s">
        <v>25</v>
      </c>
      <c r="L68" s="27" t="s">
        <v>25</v>
      </c>
      <c r="M68" s="27" t="s">
        <v>25</v>
      </c>
      <c r="N68" s="27"/>
      <c r="O68" s="27"/>
      <c r="P68" s="28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21"/>
      <c r="B69" s="22">
        <v>65.0</v>
      </c>
      <c r="C69" s="42" t="s">
        <v>115</v>
      </c>
      <c r="D69" s="47" t="s">
        <v>116</v>
      </c>
      <c r="E69" s="35" t="str">
        <f t="shared" si="2"/>
        <v>7번 중 4번 참여</v>
      </c>
      <c r="F69" s="54">
        <f t="shared" si="3"/>
        <v>0.5714285714</v>
      </c>
      <c r="G69" s="41"/>
      <c r="H69" s="41" t="s">
        <v>25</v>
      </c>
      <c r="I69" s="41" t="s">
        <v>25</v>
      </c>
      <c r="J69" s="27" t="s">
        <v>25</v>
      </c>
      <c r="K69" s="27" t="s">
        <v>25</v>
      </c>
      <c r="L69" s="27"/>
      <c r="M69" s="27"/>
      <c r="N69" s="27"/>
      <c r="O69" s="27"/>
      <c r="P69" s="37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55" t="s">
        <v>117</v>
      </c>
      <c r="B70" s="56">
        <v>66.0</v>
      </c>
      <c r="C70" s="57" t="s">
        <v>118</v>
      </c>
      <c r="D70" s="58" t="s">
        <v>119</v>
      </c>
      <c r="E70" s="33" t="str">
        <f t="shared" si="2"/>
        <v>7번 중 5번 참여</v>
      </c>
      <c r="F70" s="34">
        <f t="shared" si="3"/>
        <v>0.7142857143</v>
      </c>
      <c r="G70" s="27"/>
      <c r="H70" s="27" t="s">
        <v>25</v>
      </c>
      <c r="I70" s="27" t="s">
        <v>25</v>
      </c>
      <c r="J70" s="27" t="s">
        <v>25</v>
      </c>
      <c r="K70" s="27" t="s">
        <v>25</v>
      </c>
      <c r="L70" s="27" t="s">
        <v>25</v>
      </c>
      <c r="M70" s="27"/>
      <c r="N70" s="27"/>
      <c r="O70" s="27"/>
      <c r="P70" s="28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59"/>
      <c r="B71" s="22">
        <v>67.0</v>
      </c>
      <c r="C71" s="42" t="s">
        <v>120</v>
      </c>
      <c r="D71" s="23" t="s">
        <v>121</v>
      </c>
      <c r="E71" s="25" t="str">
        <f t="shared" si="2"/>
        <v>7번 중 3번 참여</v>
      </c>
      <c r="F71" s="26">
        <f t="shared" si="3"/>
        <v>0.4285714286</v>
      </c>
      <c r="G71" s="27"/>
      <c r="H71" s="27" t="s">
        <v>25</v>
      </c>
      <c r="I71" s="27" t="s">
        <v>25</v>
      </c>
      <c r="J71" s="27" t="s">
        <v>25</v>
      </c>
      <c r="K71" s="27"/>
      <c r="L71" s="27"/>
      <c r="M71" s="27"/>
      <c r="N71" s="27"/>
      <c r="O71" s="27"/>
      <c r="P71" s="28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29"/>
      <c r="B72" s="30">
        <v>68.0</v>
      </c>
      <c r="C72" s="32" t="s">
        <v>122</v>
      </c>
      <c r="D72" s="60" t="s">
        <v>123</v>
      </c>
      <c r="E72" s="38" t="str">
        <f t="shared" si="2"/>
        <v/>
      </c>
      <c r="F72" s="39" t="str">
        <f t="shared" si="3"/>
        <v/>
      </c>
      <c r="G72" s="41"/>
      <c r="H72" s="41"/>
      <c r="I72" s="41"/>
      <c r="J72" s="27"/>
      <c r="K72" s="27"/>
      <c r="L72" s="27"/>
      <c r="M72" s="27"/>
      <c r="N72" s="27"/>
      <c r="O72" s="27"/>
      <c r="P72" s="37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21"/>
      <c r="B73" s="22">
        <v>69.0</v>
      </c>
      <c r="C73" s="23" t="s">
        <v>124</v>
      </c>
      <c r="D73" s="23" t="s">
        <v>125</v>
      </c>
      <c r="E73" s="25" t="str">
        <f t="shared" si="2"/>
        <v>7번 중 2번 참여</v>
      </c>
      <c r="F73" s="26">
        <f t="shared" si="3"/>
        <v>0.2857142857</v>
      </c>
      <c r="G73" s="27"/>
      <c r="H73" s="27" t="s">
        <v>25</v>
      </c>
      <c r="I73" s="27" t="s">
        <v>25</v>
      </c>
      <c r="J73" s="27"/>
      <c r="K73" s="27"/>
      <c r="L73" s="27"/>
      <c r="M73" s="27"/>
      <c r="N73" s="27"/>
      <c r="O73" s="27"/>
      <c r="P73" s="28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29"/>
      <c r="B74" s="30">
        <v>70.0</v>
      </c>
      <c r="C74" s="61" t="s">
        <v>126</v>
      </c>
      <c r="D74" s="61" t="s">
        <v>127</v>
      </c>
      <c r="E74" s="38" t="str">
        <f t="shared" si="2"/>
        <v/>
      </c>
      <c r="F74" s="39" t="str">
        <f t="shared" si="3"/>
        <v/>
      </c>
      <c r="G74" s="41"/>
      <c r="H74" s="27" t="s">
        <v>80</v>
      </c>
      <c r="I74" s="27" t="s">
        <v>80</v>
      </c>
      <c r="J74" s="27"/>
      <c r="K74" s="27"/>
      <c r="L74" s="27"/>
      <c r="M74" s="27"/>
      <c r="N74" s="27"/>
      <c r="O74" s="27"/>
      <c r="P74" s="37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21"/>
      <c r="B75" s="22">
        <v>71.0</v>
      </c>
      <c r="C75" s="42" t="s">
        <v>128</v>
      </c>
      <c r="D75" s="42" t="s">
        <v>129</v>
      </c>
      <c r="E75" s="35" t="str">
        <f t="shared" si="2"/>
        <v/>
      </c>
      <c r="F75" s="36" t="str">
        <f t="shared" si="3"/>
        <v/>
      </c>
      <c r="G75" s="27"/>
      <c r="H75" s="27"/>
      <c r="I75" s="27"/>
      <c r="J75" s="27"/>
      <c r="K75" s="27"/>
      <c r="L75" s="27"/>
      <c r="M75" s="27"/>
      <c r="N75" s="27"/>
      <c r="O75" s="27"/>
      <c r="P75" s="37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62"/>
      <c r="B76" s="32">
        <v>72.0</v>
      </c>
      <c r="C76" s="32" t="s">
        <v>130</v>
      </c>
      <c r="D76" s="32" t="s">
        <v>131</v>
      </c>
      <c r="E76" s="38" t="str">
        <f t="shared" si="2"/>
        <v/>
      </c>
      <c r="F76" s="39" t="str">
        <f t="shared" si="3"/>
        <v/>
      </c>
      <c r="G76" s="41"/>
      <c r="H76" s="41"/>
      <c r="I76" s="41"/>
      <c r="J76" s="27"/>
      <c r="K76" s="27"/>
      <c r="L76" s="27"/>
      <c r="M76" s="27"/>
      <c r="N76" s="27"/>
      <c r="O76" s="27"/>
      <c r="P76" s="37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63"/>
      <c r="B77" s="42">
        <v>73.0</v>
      </c>
      <c r="C77" s="23" t="s">
        <v>132</v>
      </c>
      <c r="D77" s="23" t="s">
        <v>133</v>
      </c>
      <c r="E77" s="35" t="str">
        <f t="shared" si="2"/>
        <v/>
      </c>
      <c r="F77" s="36" t="str">
        <f t="shared" si="3"/>
        <v/>
      </c>
      <c r="G77" s="27"/>
      <c r="H77" s="41"/>
      <c r="I77" s="41"/>
      <c r="J77" s="27"/>
      <c r="K77" s="27"/>
      <c r="L77" s="27"/>
      <c r="M77" s="27"/>
      <c r="N77" s="27"/>
      <c r="O77" s="27"/>
      <c r="P77" s="37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29"/>
      <c r="B78" s="30">
        <v>74.0</v>
      </c>
      <c r="C78" s="49" t="s">
        <v>134</v>
      </c>
      <c r="D78" s="49" t="s">
        <v>135</v>
      </c>
      <c r="E78" s="33" t="str">
        <f t="shared" si="2"/>
        <v>7번 중 5번 참여</v>
      </c>
      <c r="F78" s="34">
        <f t="shared" si="3"/>
        <v>0.7142857143</v>
      </c>
      <c r="G78" s="27"/>
      <c r="H78" s="27" t="s">
        <v>25</v>
      </c>
      <c r="I78" s="27" t="s">
        <v>25</v>
      </c>
      <c r="J78" s="27" t="s">
        <v>25</v>
      </c>
      <c r="K78" s="27" t="s">
        <v>25</v>
      </c>
      <c r="L78" s="27" t="s">
        <v>25</v>
      </c>
      <c r="M78" s="27"/>
      <c r="N78" s="27"/>
      <c r="O78" s="27"/>
      <c r="P78" s="37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21"/>
      <c r="B79" s="22">
        <v>75.0</v>
      </c>
      <c r="C79" s="42" t="s">
        <v>136</v>
      </c>
      <c r="D79" s="23" t="s">
        <v>137</v>
      </c>
      <c r="E79" s="35" t="str">
        <f t="shared" si="2"/>
        <v/>
      </c>
      <c r="F79" s="36" t="str">
        <f t="shared" si="3"/>
        <v/>
      </c>
      <c r="G79" s="41"/>
      <c r="H79" s="41"/>
      <c r="I79" s="41"/>
      <c r="J79" s="27"/>
      <c r="K79" s="27"/>
      <c r="L79" s="27"/>
      <c r="M79" s="27"/>
      <c r="N79" s="27"/>
      <c r="O79" s="27"/>
      <c r="P79" s="37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29"/>
      <c r="B80" s="30">
        <v>76.0</v>
      </c>
      <c r="C80" s="32" t="s">
        <v>138</v>
      </c>
      <c r="D80" s="31" t="s">
        <v>139</v>
      </c>
      <c r="E80" s="38" t="str">
        <f t="shared" si="2"/>
        <v/>
      </c>
      <c r="F80" s="39" t="str">
        <f t="shared" si="3"/>
        <v/>
      </c>
      <c r="G80" s="41"/>
      <c r="H80" s="41"/>
      <c r="I80" s="41"/>
      <c r="J80" s="27"/>
      <c r="K80" s="27"/>
      <c r="L80" s="27"/>
      <c r="M80" s="27"/>
      <c r="N80" s="27"/>
      <c r="O80" s="27"/>
      <c r="P80" s="37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21"/>
      <c r="B81" s="22">
        <v>77.0</v>
      </c>
      <c r="C81" s="23" t="s">
        <v>140</v>
      </c>
      <c r="D81" s="23" t="s">
        <v>141</v>
      </c>
      <c r="E81" s="35" t="str">
        <f t="shared" si="2"/>
        <v/>
      </c>
      <c r="F81" s="36" t="str">
        <f t="shared" si="3"/>
        <v/>
      </c>
      <c r="G81" s="27"/>
      <c r="H81" s="27"/>
      <c r="I81" s="27"/>
      <c r="J81" s="27"/>
      <c r="K81" s="27"/>
      <c r="L81" s="27"/>
      <c r="M81" s="27"/>
      <c r="N81" s="27"/>
      <c r="O81" s="27"/>
      <c r="P81" s="37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29"/>
      <c r="B82" s="30">
        <v>78.0</v>
      </c>
      <c r="C82" s="31" t="s">
        <v>142</v>
      </c>
      <c r="D82" s="31" t="s">
        <v>143</v>
      </c>
      <c r="E82" s="38" t="str">
        <f t="shared" si="2"/>
        <v/>
      </c>
      <c r="F82" s="39" t="str">
        <f t="shared" si="3"/>
        <v/>
      </c>
      <c r="G82" s="41"/>
      <c r="H82" s="41"/>
      <c r="I82" s="41"/>
      <c r="J82" s="27"/>
      <c r="K82" s="27"/>
      <c r="L82" s="27"/>
      <c r="M82" s="27"/>
      <c r="N82" s="27"/>
      <c r="O82" s="27"/>
      <c r="P82" s="37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21"/>
      <c r="B83" s="22">
        <v>79.0</v>
      </c>
      <c r="C83" s="23" t="s">
        <v>144</v>
      </c>
      <c r="D83" s="23" t="s">
        <v>145</v>
      </c>
      <c r="E83" s="35" t="str">
        <f t="shared" si="2"/>
        <v/>
      </c>
      <c r="F83" s="36" t="str">
        <f t="shared" si="3"/>
        <v/>
      </c>
      <c r="G83" s="41"/>
      <c r="H83" s="41"/>
      <c r="I83" s="41"/>
      <c r="J83" s="27"/>
      <c r="K83" s="27"/>
      <c r="L83" s="27"/>
      <c r="M83" s="27"/>
      <c r="N83" s="27"/>
      <c r="O83" s="27"/>
      <c r="P83" s="37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29"/>
      <c r="B84" s="30">
        <v>80.0</v>
      </c>
      <c r="C84" s="32" t="s">
        <v>146</v>
      </c>
      <c r="D84" s="31" t="s">
        <v>147</v>
      </c>
      <c r="E84" s="33" t="str">
        <f t="shared" si="2"/>
        <v>7번 중 6번 참여</v>
      </c>
      <c r="F84" s="34">
        <f t="shared" si="3"/>
        <v>0.8571428571</v>
      </c>
      <c r="G84" s="27"/>
      <c r="H84" s="27" t="s">
        <v>25</v>
      </c>
      <c r="I84" s="27" t="s">
        <v>25</v>
      </c>
      <c r="J84" s="27" t="s">
        <v>25</v>
      </c>
      <c r="K84" s="27" t="s">
        <v>25</v>
      </c>
      <c r="L84" s="27" t="s">
        <v>25</v>
      </c>
      <c r="M84" s="27" t="s">
        <v>25</v>
      </c>
      <c r="N84" s="27"/>
      <c r="O84" s="27"/>
      <c r="P84" s="28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21"/>
      <c r="B85" s="22">
        <v>81.0</v>
      </c>
      <c r="C85" s="23" t="s">
        <v>148</v>
      </c>
      <c r="D85" s="23" t="s">
        <v>149</v>
      </c>
      <c r="E85" s="25" t="str">
        <f t="shared" si="2"/>
        <v>7번 중 4번 참여</v>
      </c>
      <c r="F85" s="26">
        <f t="shared" si="3"/>
        <v>0.5714285714</v>
      </c>
      <c r="G85" s="27"/>
      <c r="H85" s="27" t="s">
        <v>25</v>
      </c>
      <c r="I85" s="27" t="s">
        <v>25</v>
      </c>
      <c r="J85" s="27" t="s">
        <v>80</v>
      </c>
      <c r="K85" s="27" t="s">
        <v>25</v>
      </c>
      <c r="L85" s="27" t="s">
        <v>25</v>
      </c>
      <c r="M85" s="27" t="s">
        <v>80</v>
      </c>
      <c r="N85" s="27" t="s">
        <v>80</v>
      </c>
      <c r="O85" s="27" t="s">
        <v>80</v>
      </c>
      <c r="P85" s="37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29"/>
      <c r="B86" s="30">
        <v>82.0</v>
      </c>
      <c r="C86" s="31" t="s">
        <v>150</v>
      </c>
      <c r="D86" s="48" t="s">
        <v>151</v>
      </c>
      <c r="E86" s="38" t="str">
        <f t="shared" si="2"/>
        <v/>
      </c>
      <c r="F86" s="39" t="str">
        <f t="shared" si="3"/>
        <v/>
      </c>
      <c r="G86" s="41"/>
      <c r="H86" s="41"/>
      <c r="I86" s="41"/>
      <c r="J86" s="27"/>
      <c r="K86" s="27"/>
      <c r="L86" s="27"/>
      <c r="M86" s="27"/>
      <c r="N86" s="27"/>
      <c r="O86" s="27"/>
      <c r="P86" s="37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21"/>
      <c r="B87" s="22">
        <v>83.0</v>
      </c>
      <c r="C87" s="23" t="s">
        <v>152</v>
      </c>
      <c r="D87" s="23" t="s">
        <v>153</v>
      </c>
      <c r="E87" s="35" t="str">
        <f t="shared" si="2"/>
        <v/>
      </c>
      <c r="F87" s="36" t="str">
        <f t="shared" si="3"/>
        <v/>
      </c>
      <c r="G87" s="41"/>
      <c r="H87" s="27"/>
      <c r="I87" s="27"/>
      <c r="J87" s="27"/>
      <c r="K87" s="27"/>
      <c r="L87" s="27"/>
      <c r="M87" s="27"/>
      <c r="N87" s="27"/>
      <c r="O87" s="27"/>
      <c r="P87" s="37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29"/>
      <c r="B88" s="30">
        <v>84.0</v>
      </c>
      <c r="C88" s="31" t="s">
        <v>154</v>
      </c>
      <c r="D88" s="31" t="s">
        <v>155</v>
      </c>
      <c r="E88" s="33" t="str">
        <f t="shared" si="2"/>
        <v>7번 중 5번 참여</v>
      </c>
      <c r="F88" s="34">
        <f t="shared" si="3"/>
        <v>0.7142857143</v>
      </c>
      <c r="G88" s="27"/>
      <c r="H88" s="27" t="s">
        <v>25</v>
      </c>
      <c r="I88" s="27" t="s">
        <v>25</v>
      </c>
      <c r="J88" s="27" t="s">
        <v>25</v>
      </c>
      <c r="K88" s="27" t="s">
        <v>25</v>
      </c>
      <c r="L88" s="27" t="s">
        <v>25</v>
      </c>
      <c r="M88" s="27"/>
      <c r="N88" s="27"/>
      <c r="O88" s="27"/>
      <c r="P88" s="28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21"/>
      <c r="B89" s="22">
        <v>85.0</v>
      </c>
      <c r="C89" s="23" t="s">
        <v>156</v>
      </c>
      <c r="D89" s="23" t="s">
        <v>157</v>
      </c>
      <c r="E89" s="25" t="str">
        <f t="shared" si="2"/>
        <v>7번 중 4번 참여</v>
      </c>
      <c r="F89" s="26">
        <f t="shared" si="3"/>
        <v>0.5714285714</v>
      </c>
      <c r="G89" s="27"/>
      <c r="H89" s="27" t="s">
        <v>25</v>
      </c>
      <c r="I89" s="27" t="s">
        <v>25</v>
      </c>
      <c r="J89" s="27" t="s">
        <v>25</v>
      </c>
      <c r="K89" s="27"/>
      <c r="L89" s="27" t="s">
        <v>25</v>
      </c>
      <c r="M89" s="27"/>
      <c r="N89" s="27"/>
      <c r="O89" s="27"/>
      <c r="P89" s="28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29"/>
      <c r="B90" s="30">
        <v>86.0</v>
      </c>
      <c r="C90" s="49" t="s">
        <v>158</v>
      </c>
      <c r="D90" s="49" t="s">
        <v>159</v>
      </c>
      <c r="E90" s="33" t="str">
        <f t="shared" si="2"/>
        <v>7번 중 5번 참여</v>
      </c>
      <c r="F90" s="34">
        <f t="shared" si="3"/>
        <v>0.7142857143</v>
      </c>
      <c r="G90" s="27"/>
      <c r="H90" s="27" t="s">
        <v>25</v>
      </c>
      <c r="I90" s="27" t="s">
        <v>25</v>
      </c>
      <c r="J90" s="27" t="s">
        <v>25</v>
      </c>
      <c r="K90" s="27" t="s">
        <v>25</v>
      </c>
      <c r="L90" s="27" t="s">
        <v>25</v>
      </c>
      <c r="M90" s="27"/>
      <c r="N90" s="27"/>
      <c r="O90" s="27"/>
      <c r="P90" s="28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21"/>
      <c r="B91" s="22">
        <v>87.0</v>
      </c>
      <c r="C91" s="64" t="s">
        <v>160</v>
      </c>
      <c r="D91" s="64" t="s">
        <v>161</v>
      </c>
      <c r="E91" s="25" t="str">
        <f t="shared" si="2"/>
        <v>7번 중 7번 참여</v>
      </c>
      <c r="F91" s="26">
        <f t="shared" si="3"/>
        <v>1</v>
      </c>
      <c r="G91" s="27"/>
      <c r="H91" s="27" t="s">
        <v>25</v>
      </c>
      <c r="I91" s="27" t="s">
        <v>25</v>
      </c>
      <c r="J91" s="27" t="s">
        <v>25</v>
      </c>
      <c r="K91" s="27" t="s">
        <v>25</v>
      </c>
      <c r="L91" s="27" t="s">
        <v>25</v>
      </c>
      <c r="M91" s="27" t="s">
        <v>25</v>
      </c>
      <c r="N91" s="27" t="s">
        <v>25</v>
      </c>
      <c r="O91" s="27"/>
      <c r="P91" s="28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29"/>
      <c r="B92" s="30">
        <v>88.0</v>
      </c>
      <c r="C92" s="31" t="s">
        <v>162</v>
      </c>
      <c r="D92" s="31" t="s">
        <v>163</v>
      </c>
      <c r="E92" s="33" t="str">
        <f t="shared" si="2"/>
        <v>7번 중 5번 참여</v>
      </c>
      <c r="F92" s="34">
        <f t="shared" si="3"/>
        <v>0.7142857143</v>
      </c>
      <c r="G92" s="27"/>
      <c r="H92" s="27" t="s">
        <v>25</v>
      </c>
      <c r="I92" s="27" t="s">
        <v>25</v>
      </c>
      <c r="J92" s="27" t="s">
        <v>25</v>
      </c>
      <c r="K92" s="27" t="s">
        <v>25</v>
      </c>
      <c r="L92" s="27" t="s">
        <v>25</v>
      </c>
      <c r="M92" s="27"/>
      <c r="N92" s="27"/>
      <c r="O92" s="27"/>
      <c r="P92" s="28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21"/>
      <c r="B93" s="22">
        <v>89.0</v>
      </c>
      <c r="C93" s="23" t="s">
        <v>164</v>
      </c>
      <c r="D93" s="23" t="s">
        <v>165</v>
      </c>
      <c r="E93" s="35" t="str">
        <f t="shared" si="2"/>
        <v/>
      </c>
      <c r="F93" s="36" t="str">
        <f t="shared" si="3"/>
        <v/>
      </c>
      <c r="G93" s="27"/>
      <c r="H93" s="27"/>
      <c r="I93" s="27"/>
      <c r="J93" s="27"/>
      <c r="K93" s="27"/>
      <c r="L93" s="27"/>
      <c r="M93" s="27"/>
      <c r="N93" s="27"/>
      <c r="O93" s="27"/>
      <c r="P93" s="37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29"/>
      <c r="B94" s="30">
        <v>90.0</v>
      </c>
      <c r="C94" s="49" t="s">
        <v>166</v>
      </c>
      <c r="D94" s="49" t="s">
        <v>167</v>
      </c>
      <c r="E94" s="33" t="str">
        <f t="shared" si="2"/>
        <v>7번 중 1번 참여</v>
      </c>
      <c r="F94" s="34">
        <f t="shared" si="3"/>
        <v>0.1428571429</v>
      </c>
      <c r="G94" s="27"/>
      <c r="H94" s="27" t="s">
        <v>25</v>
      </c>
      <c r="I94" s="27"/>
      <c r="J94" s="27"/>
      <c r="K94" s="27"/>
      <c r="L94" s="27"/>
      <c r="M94" s="27"/>
      <c r="N94" s="27"/>
      <c r="O94" s="27"/>
      <c r="P94" s="28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21"/>
      <c r="B95" s="22">
        <v>91.0</v>
      </c>
      <c r="C95" s="23" t="s">
        <v>168</v>
      </c>
      <c r="D95" s="23" t="s">
        <v>169</v>
      </c>
      <c r="E95" s="35" t="str">
        <f t="shared" si="2"/>
        <v/>
      </c>
      <c r="F95" s="36" t="str">
        <f t="shared" si="3"/>
        <v/>
      </c>
      <c r="G95" s="27"/>
      <c r="H95" s="27"/>
      <c r="I95" s="27"/>
      <c r="J95" s="27"/>
      <c r="K95" s="27"/>
      <c r="L95" s="27"/>
      <c r="M95" s="27"/>
      <c r="N95" s="27"/>
      <c r="O95" s="27"/>
      <c r="P95" s="37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29"/>
      <c r="B96" s="30">
        <v>92.0</v>
      </c>
      <c r="C96" s="31" t="s">
        <v>170</v>
      </c>
      <c r="D96" s="31" t="s">
        <v>171</v>
      </c>
      <c r="E96" s="38" t="str">
        <f t="shared" si="2"/>
        <v/>
      </c>
      <c r="F96" s="39" t="str">
        <f t="shared" si="3"/>
        <v/>
      </c>
      <c r="G96" s="27"/>
      <c r="H96" s="27"/>
      <c r="I96" s="27"/>
      <c r="J96" s="27"/>
      <c r="K96" s="27"/>
      <c r="L96" s="27"/>
      <c r="M96" s="27"/>
      <c r="N96" s="27"/>
      <c r="O96" s="27"/>
      <c r="P96" s="37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21"/>
      <c r="B97" s="22">
        <v>93.0</v>
      </c>
      <c r="C97" s="23" t="s">
        <v>172</v>
      </c>
      <c r="D97" s="23" t="s">
        <v>173</v>
      </c>
      <c r="E97" s="35" t="str">
        <f t="shared" si="2"/>
        <v/>
      </c>
      <c r="F97" s="36" t="str">
        <f t="shared" si="3"/>
        <v/>
      </c>
      <c r="G97" s="27"/>
      <c r="H97" s="27"/>
      <c r="I97" s="27"/>
      <c r="J97" s="27"/>
      <c r="K97" s="27"/>
      <c r="L97" s="27"/>
      <c r="M97" s="27"/>
      <c r="N97" s="27"/>
      <c r="O97" s="27"/>
      <c r="P97" s="37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29"/>
      <c r="B98" s="30">
        <v>94.0</v>
      </c>
      <c r="C98" s="31" t="s">
        <v>174</v>
      </c>
      <c r="D98" s="43" t="s">
        <v>175</v>
      </c>
      <c r="E98" s="33" t="str">
        <f t="shared" si="2"/>
        <v>7번 중 1번 참여</v>
      </c>
      <c r="F98" s="34">
        <f t="shared" si="3"/>
        <v>0.1428571429</v>
      </c>
      <c r="G98" s="41"/>
      <c r="H98" s="27"/>
      <c r="I98" s="27"/>
      <c r="J98" s="27"/>
      <c r="K98" s="27" t="s">
        <v>25</v>
      </c>
      <c r="L98" s="27"/>
      <c r="M98" s="27"/>
      <c r="N98" s="27"/>
      <c r="O98" s="27"/>
      <c r="P98" s="37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21"/>
      <c r="B99" s="22">
        <v>95.0</v>
      </c>
      <c r="C99" s="64" t="s">
        <v>176</v>
      </c>
      <c r="D99" s="64" t="s">
        <v>177</v>
      </c>
      <c r="E99" s="25" t="str">
        <f t="shared" si="2"/>
        <v>7번 중 3번 참여</v>
      </c>
      <c r="F99" s="26">
        <f t="shared" si="3"/>
        <v>0.4285714286</v>
      </c>
      <c r="G99" s="27"/>
      <c r="H99" s="27" t="s">
        <v>25</v>
      </c>
      <c r="I99" s="27" t="s">
        <v>25</v>
      </c>
      <c r="J99" s="27"/>
      <c r="K99" s="27"/>
      <c r="L99" s="27" t="s">
        <v>25</v>
      </c>
      <c r="M99" s="27"/>
      <c r="N99" s="27"/>
      <c r="O99" s="27"/>
      <c r="P99" s="37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29"/>
      <c r="B100" s="30">
        <v>96.0</v>
      </c>
      <c r="C100" s="32" t="s">
        <v>178</v>
      </c>
      <c r="D100" s="32" t="s">
        <v>179</v>
      </c>
      <c r="E100" s="38" t="str">
        <f t="shared" si="2"/>
        <v/>
      </c>
      <c r="F100" s="39" t="str">
        <f t="shared" si="3"/>
        <v/>
      </c>
      <c r="G100" s="27"/>
      <c r="H100" s="27"/>
      <c r="I100" s="27"/>
      <c r="J100" s="27"/>
      <c r="K100" s="27"/>
      <c r="L100" s="27"/>
      <c r="M100" s="27"/>
      <c r="N100" s="27"/>
      <c r="O100" s="27"/>
      <c r="P100" s="37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21"/>
      <c r="B101" s="22">
        <v>97.0</v>
      </c>
      <c r="C101" s="23" t="s">
        <v>180</v>
      </c>
      <c r="D101" s="23" t="s">
        <v>181</v>
      </c>
      <c r="E101" s="25" t="str">
        <f t="shared" si="2"/>
        <v>7번 중 5번 참여</v>
      </c>
      <c r="F101" s="26">
        <f t="shared" si="3"/>
        <v>0.7142857143</v>
      </c>
      <c r="G101" s="27"/>
      <c r="H101" s="27" t="s">
        <v>25</v>
      </c>
      <c r="I101" s="27" t="s">
        <v>25</v>
      </c>
      <c r="J101" s="27" t="s">
        <v>25</v>
      </c>
      <c r="K101" s="27" t="s">
        <v>25</v>
      </c>
      <c r="L101" s="27" t="s">
        <v>25</v>
      </c>
      <c r="M101" s="27"/>
      <c r="N101" s="27"/>
      <c r="O101" s="27"/>
      <c r="P101" s="37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29"/>
      <c r="B102" s="30">
        <v>98.0</v>
      </c>
      <c r="C102" s="61" t="s">
        <v>182</v>
      </c>
      <c r="D102" s="61" t="s">
        <v>183</v>
      </c>
      <c r="E102" s="33" t="str">
        <f t="shared" si="2"/>
        <v>7번 중 5번 참여</v>
      </c>
      <c r="F102" s="34">
        <f t="shared" si="3"/>
        <v>0.7142857143</v>
      </c>
      <c r="G102" s="27"/>
      <c r="H102" s="27" t="s">
        <v>25</v>
      </c>
      <c r="I102" s="27"/>
      <c r="J102" s="27" t="s">
        <v>25</v>
      </c>
      <c r="K102" s="27" t="s">
        <v>25</v>
      </c>
      <c r="L102" s="27" t="s">
        <v>25</v>
      </c>
      <c r="M102" s="27" t="s">
        <v>25</v>
      </c>
      <c r="N102" s="27"/>
      <c r="O102" s="27"/>
      <c r="P102" s="28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21"/>
      <c r="B103" s="22">
        <v>99.0</v>
      </c>
      <c r="C103" s="42" t="s">
        <v>184</v>
      </c>
      <c r="D103" s="42" t="s">
        <v>185</v>
      </c>
      <c r="E103" s="35" t="str">
        <f t="shared" si="2"/>
        <v/>
      </c>
      <c r="F103" s="36" t="str">
        <f t="shared" si="3"/>
        <v/>
      </c>
      <c r="G103" s="27"/>
      <c r="H103" s="27"/>
      <c r="I103" s="27"/>
      <c r="J103" s="27"/>
      <c r="K103" s="27"/>
      <c r="L103" s="27"/>
      <c r="M103" s="27"/>
      <c r="N103" s="27"/>
      <c r="O103" s="27"/>
      <c r="P103" s="37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29"/>
      <c r="B104" s="30">
        <v>100.0</v>
      </c>
      <c r="C104" s="65" t="s">
        <v>186</v>
      </c>
      <c r="D104" s="65" t="s">
        <v>187</v>
      </c>
      <c r="E104" s="38" t="str">
        <f t="shared" si="2"/>
        <v>7번 중 1번 참여</v>
      </c>
      <c r="F104" s="40">
        <f t="shared" si="3"/>
        <v>0.1428571429</v>
      </c>
      <c r="G104" s="41"/>
      <c r="H104" s="41" t="s">
        <v>25</v>
      </c>
      <c r="I104" s="41"/>
      <c r="J104" s="27"/>
      <c r="K104" s="27"/>
      <c r="L104" s="27"/>
      <c r="M104" s="27"/>
      <c r="N104" s="27"/>
      <c r="O104" s="27"/>
      <c r="P104" s="37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21"/>
      <c r="B105" s="22">
        <v>101.0</v>
      </c>
      <c r="C105" s="66"/>
      <c r="D105" s="63"/>
      <c r="E105" s="35" t="str">
        <f t="shared" si="2"/>
        <v/>
      </c>
      <c r="F105" s="36" t="str">
        <f t="shared" si="3"/>
        <v/>
      </c>
      <c r="G105" s="41"/>
      <c r="H105" s="41"/>
      <c r="I105" s="41"/>
      <c r="J105" s="27"/>
      <c r="K105" s="27"/>
      <c r="L105" s="27"/>
      <c r="M105" s="27"/>
      <c r="N105" s="27"/>
      <c r="O105" s="27"/>
      <c r="P105" s="37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29"/>
      <c r="B106" s="30">
        <v>102.0</v>
      </c>
      <c r="C106" s="65"/>
      <c r="D106" s="65"/>
      <c r="E106" s="38" t="str">
        <f t="shared" si="2"/>
        <v/>
      </c>
      <c r="F106" s="39" t="str">
        <f t="shared" si="3"/>
        <v/>
      </c>
      <c r="G106" s="41"/>
      <c r="H106" s="41"/>
      <c r="I106" s="41"/>
      <c r="J106" s="27"/>
      <c r="K106" s="27"/>
      <c r="L106" s="27"/>
      <c r="M106" s="27"/>
      <c r="N106" s="27"/>
      <c r="O106" s="27"/>
      <c r="P106" s="37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21"/>
      <c r="B107" s="22">
        <v>103.0</v>
      </c>
      <c r="C107" s="63"/>
      <c r="D107" s="63"/>
      <c r="E107" s="35" t="str">
        <f t="shared" si="2"/>
        <v/>
      </c>
      <c r="F107" s="36" t="str">
        <f t="shared" si="3"/>
        <v/>
      </c>
      <c r="G107" s="41"/>
      <c r="H107" s="41"/>
      <c r="I107" s="41"/>
      <c r="J107" s="27"/>
      <c r="K107" s="27"/>
      <c r="L107" s="27"/>
      <c r="M107" s="27"/>
      <c r="N107" s="27"/>
      <c r="O107" s="27"/>
      <c r="P107" s="37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29"/>
      <c r="B108" s="30">
        <v>104.0</v>
      </c>
      <c r="C108" s="67"/>
      <c r="D108" s="67"/>
      <c r="E108" s="38" t="str">
        <f t="shared" si="2"/>
        <v/>
      </c>
      <c r="F108" s="39" t="str">
        <f t="shared" si="3"/>
        <v/>
      </c>
      <c r="G108" s="41"/>
      <c r="H108" s="41"/>
      <c r="I108" s="41"/>
      <c r="J108" s="27"/>
      <c r="K108" s="27"/>
      <c r="L108" s="27"/>
      <c r="M108" s="27"/>
      <c r="N108" s="27"/>
      <c r="O108" s="27"/>
      <c r="P108" s="37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21"/>
      <c r="B109" s="22">
        <v>105.0</v>
      </c>
      <c r="C109" s="68"/>
      <c r="D109" s="68"/>
      <c r="E109" s="35" t="str">
        <f t="shared" si="2"/>
        <v/>
      </c>
      <c r="F109" s="36" t="str">
        <f t="shared" si="3"/>
        <v/>
      </c>
      <c r="G109" s="41"/>
      <c r="H109" s="41"/>
      <c r="I109" s="41"/>
      <c r="J109" s="27"/>
      <c r="K109" s="27"/>
      <c r="L109" s="27"/>
      <c r="M109" s="27"/>
      <c r="N109" s="27"/>
      <c r="O109" s="27"/>
      <c r="P109" s="37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29"/>
      <c r="B110" s="30">
        <v>106.0</v>
      </c>
      <c r="C110" s="67"/>
      <c r="D110" s="67"/>
      <c r="E110" s="38" t="str">
        <f t="shared" si="2"/>
        <v/>
      </c>
      <c r="F110" s="39" t="str">
        <f t="shared" si="3"/>
        <v/>
      </c>
      <c r="G110" s="41"/>
      <c r="H110" s="41"/>
      <c r="I110" s="41"/>
      <c r="J110" s="27"/>
      <c r="K110" s="27"/>
      <c r="L110" s="27"/>
      <c r="M110" s="27"/>
      <c r="N110" s="27"/>
      <c r="O110" s="27"/>
      <c r="P110" s="37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21"/>
      <c r="B111" s="22">
        <v>107.0</v>
      </c>
      <c r="C111" s="68"/>
      <c r="D111" s="68"/>
      <c r="E111" s="35" t="str">
        <f t="shared" si="2"/>
        <v/>
      </c>
      <c r="F111" s="36" t="str">
        <f t="shared" si="3"/>
        <v/>
      </c>
      <c r="G111" s="41"/>
      <c r="H111" s="41"/>
      <c r="I111" s="41"/>
      <c r="J111" s="27"/>
      <c r="K111" s="27"/>
      <c r="L111" s="27"/>
      <c r="M111" s="27"/>
      <c r="N111" s="27"/>
      <c r="O111" s="27"/>
      <c r="P111" s="37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29"/>
      <c r="B112" s="30">
        <v>108.0</v>
      </c>
      <c r="C112" s="67"/>
      <c r="D112" s="67"/>
      <c r="E112" s="38" t="str">
        <f t="shared" si="2"/>
        <v/>
      </c>
      <c r="F112" s="39" t="str">
        <f t="shared" si="3"/>
        <v/>
      </c>
      <c r="G112" s="41"/>
      <c r="H112" s="41"/>
      <c r="I112" s="41"/>
      <c r="J112" s="27"/>
      <c r="K112" s="27"/>
      <c r="L112" s="27"/>
      <c r="M112" s="27"/>
      <c r="N112" s="27"/>
      <c r="O112" s="27"/>
      <c r="P112" s="37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21"/>
      <c r="B113" s="22">
        <v>109.0</v>
      </c>
      <c r="C113" s="68"/>
      <c r="D113" s="68"/>
      <c r="E113" s="35" t="str">
        <f t="shared" si="2"/>
        <v/>
      </c>
      <c r="F113" s="36" t="str">
        <f t="shared" si="3"/>
        <v/>
      </c>
      <c r="G113" s="41"/>
      <c r="H113" s="41"/>
      <c r="I113" s="41"/>
      <c r="J113" s="27"/>
      <c r="K113" s="27"/>
      <c r="L113" s="27"/>
      <c r="M113" s="27"/>
      <c r="N113" s="27"/>
      <c r="O113" s="27"/>
      <c r="P113" s="37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29"/>
      <c r="B114" s="30">
        <v>110.0</v>
      </c>
      <c r="C114" s="67"/>
      <c r="D114" s="67"/>
      <c r="E114" s="38" t="str">
        <f t="shared" si="2"/>
        <v/>
      </c>
      <c r="F114" s="39" t="str">
        <f t="shared" si="3"/>
        <v/>
      </c>
      <c r="G114" s="41"/>
      <c r="H114" s="41"/>
      <c r="I114" s="41"/>
      <c r="J114" s="27"/>
      <c r="K114" s="27"/>
      <c r="L114" s="27"/>
      <c r="M114" s="27"/>
      <c r="N114" s="27"/>
      <c r="O114" s="27"/>
      <c r="P114" s="37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21"/>
      <c r="B115" s="22">
        <v>111.0</v>
      </c>
      <c r="C115" s="68"/>
      <c r="D115" s="68"/>
      <c r="E115" s="35" t="str">
        <f t="shared" si="2"/>
        <v/>
      </c>
      <c r="F115" s="36" t="str">
        <f t="shared" si="3"/>
        <v/>
      </c>
      <c r="G115" s="41"/>
      <c r="H115" s="41"/>
      <c r="I115" s="41"/>
      <c r="J115" s="27"/>
      <c r="K115" s="27"/>
      <c r="L115" s="27"/>
      <c r="M115" s="27"/>
      <c r="N115" s="27"/>
      <c r="O115" s="27"/>
      <c r="P115" s="37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29"/>
      <c r="B116" s="30">
        <v>112.0</v>
      </c>
      <c r="C116" s="67"/>
      <c r="D116" s="67"/>
      <c r="E116" s="38" t="str">
        <f t="shared" si="2"/>
        <v/>
      </c>
      <c r="F116" s="39" t="str">
        <f t="shared" si="3"/>
        <v/>
      </c>
      <c r="G116" s="41"/>
      <c r="H116" s="41"/>
      <c r="I116" s="41"/>
      <c r="J116" s="27"/>
      <c r="K116" s="27"/>
      <c r="L116" s="27"/>
      <c r="M116" s="27"/>
      <c r="N116" s="27"/>
      <c r="O116" s="27"/>
      <c r="P116" s="37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21"/>
      <c r="B117" s="22">
        <v>113.0</v>
      </c>
      <c r="C117" s="68"/>
      <c r="D117" s="68"/>
      <c r="E117" s="35" t="str">
        <f t="shared" si="2"/>
        <v/>
      </c>
      <c r="F117" s="36" t="str">
        <f t="shared" si="3"/>
        <v/>
      </c>
      <c r="G117" s="41"/>
      <c r="H117" s="41"/>
      <c r="I117" s="41"/>
      <c r="J117" s="27"/>
      <c r="K117" s="27"/>
      <c r="L117" s="27"/>
      <c r="M117" s="27"/>
      <c r="N117" s="27"/>
      <c r="O117" s="27"/>
      <c r="P117" s="37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29"/>
      <c r="B118" s="30">
        <v>114.0</v>
      </c>
      <c r="C118" s="67"/>
      <c r="D118" s="67"/>
      <c r="E118" s="38" t="str">
        <f t="shared" si="2"/>
        <v/>
      </c>
      <c r="F118" s="39" t="str">
        <f t="shared" si="3"/>
        <v/>
      </c>
      <c r="G118" s="41"/>
      <c r="H118" s="41"/>
      <c r="I118" s="41"/>
      <c r="J118" s="27"/>
      <c r="K118" s="27"/>
      <c r="L118" s="27"/>
      <c r="M118" s="27"/>
      <c r="N118" s="27"/>
      <c r="O118" s="27"/>
      <c r="P118" s="37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21"/>
      <c r="B119" s="22">
        <v>115.0</v>
      </c>
      <c r="C119" s="68"/>
      <c r="D119" s="68"/>
      <c r="E119" s="35" t="str">
        <f t="shared" si="2"/>
        <v/>
      </c>
      <c r="F119" s="36" t="str">
        <f t="shared" si="3"/>
        <v/>
      </c>
      <c r="G119" s="41"/>
      <c r="H119" s="41"/>
      <c r="I119" s="41"/>
      <c r="J119" s="27"/>
      <c r="K119" s="27"/>
      <c r="L119" s="27"/>
      <c r="M119" s="27"/>
      <c r="N119" s="27"/>
      <c r="O119" s="27"/>
      <c r="P119" s="37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29"/>
      <c r="B120" s="30">
        <v>116.0</v>
      </c>
      <c r="C120" s="67"/>
      <c r="D120" s="67"/>
      <c r="E120" s="38" t="str">
        <f t="shared" si="2"/>
        <v/>
      </c>
      <c r="F120" s="39" t="str">
        <f t="shared" si="3"/>
        <v/>
      </c>
      <c r="G120" s="41"/>
      <c r="H120" s="41"/>
      <c r="I120" s="41"/>
      <c r="J120" s="27"/>
      <c r="K120" s="27"/>
      <c r="L120" s="27"/>
      <c r="M120" s="27"/>
      <c r="N120" s="27"/>
      <c r="O120" s="27"/>
      <c r="P120" s="37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4"/>
      <c r="B121" s="69">
        <v>117.0</v>
      </c>
      <c r="C121" s="70"/>
      <c r="D121" s="70"/>
      <c r="E121" s="71" t="str">
        <f t="shared" si="2"/>
        <v/>
      </c>
      <c r="F121" s="72" t="str">
        <f t="shared" si="3"/>
        <v/>
      </c>
      <c r="G121" s="73"/>
      <c r="H121" s="73"/>
      <c r="I121" s="73"/>
      <c r="J121" s="18"/>
      <c r="K121" s="18"/>
      <c r="L121" s="18"/>
      <c r="M121" s="18"/>
      <c r="N121" s="18"/>
      <c r="O121" s="18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4"/>
      <c r="B122" s="69">
        <v>118.0</v>
      </c>
      <c r="C122" s="70"/>
      <c r="D122" s="70"/>
      <c r="E122" s="71" t="str">
        <f t="shared" si="2"/>
        <v/>
      </c>
      <c r="F122" s="72" t="str">
        <f t="shared" si="3"/>
        <v/>
      </c>
      <c r="G122" s="73"/>
      <c r="H122" s="73"/>
      <c r="I122" s="73"/>
      <c r="J122" s="18"/>
      <c r="K122" s="18"/>
      <c r="L122" s="18"/>
      <c r="M122" s="18"/>
      <c r="N122" s="18"/>
      <c r="O122" s="18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4"/>
      <c r="B123" s="69">
        <v>119.0</v>
      </c>
      <c r="C123" s="70"/>
      <c r="D123" s="70"/>
      <c r="E123" s="71" t="str">
        <f t="shared" si="2"/>
        <v/>
      </c>
      <c r="F123" s="72" t="str">
        <f t="shared" si="3"/>
        <v/>
      </c>
      <c r="G123" s="73"/>
      <c r="H123" s="73"/>
      <c r="I123" s="73"/>
      <c r="J123" s="18"/>
      <c r="K123" s="18"/>
      <c r="L123" s="18"/>
      <c r="M123" s="18"/>
      <c r="N123" s="18"/>
      <c r="O123" s="18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B1:D2"/>
    <mergeCell ref="E1:F2"/>
  </mergeCells>
  <dataValidations>
    <dataValidation type="list" allowBlank="1" showErrorMessage="1" sqref="G4:P123">
      <formula1>"선택,완료"</formula1>
    </dataValidation>
  </dataValidations>
  <hyperlinks>
    <hyperlink r:id="rId1" ref="D5"/>
    <hyperlink r:id="rId2" ref="D22"/>
    <hyperlink r:id="rId3" ref="D23"/>
    <hyperlink r:id="rId4" ref="D27"/>
    <hyperlink r:id="rId5" ref="D44"/>
    <hyperlink r:id="rId6" ref="D50"/>
    <hyperlink r:id="rId7" ref="D51"/>
    <hyperlink r:id="rId8" ref="D55"/>
    <hyperlink r:id="rId9" ref="D64"/>
    <hyperlink r:id="rId10" ref="D69"/>
    <hyperlink r:id="rId11" ref="D86"/>
    <hyperlink r:id="rId12" ref="D98"/>
  </hyperlinks>
  <drawing r:id="rId13"/>
  <tableParts count="1"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13"/>
    <col customWidth="1" min="2" max="2" width="4.88"/>
    <col customWidth="1" min="3" max="3" width="18.63"/>
    <col customWidth="1" min="4" max="4" width="21.13"/>
    <col hidden="1" min="7" max="7" width="12.63"/>
  </cols>
  <sheetData>
    <row r="1">
      <c r="A1" s="74"/>
      <c r="B1" s="75" t="s">
        <v>0</v>
      </c>
      <c r="E1" s="3" t="s">
        <v>1</v>
      </c>
      <c r="G1" s="76"/>
      <c r="H1" s="76" t="s">
        <v>188</v>
      </c>
      <c r="I1" s="76" t="s">
        <v>189</v>
      </c>
      <c r="J1" s="76" t="s">
        <v>190</v>
      </c>
      <c r="K1" s="76" t="s">
        <v>191</v>
      </c>
      <c r="L1" s="76" t="s">
        <v>192</v>
      </c>
      <c r="M1" s="76" t="s">
        <v>193</v>
      </c>
      <c r="N1" s="76" t="s">
        <v>194</v>
      </c>
      <c r="O1" s="76" t="s">
        <v>195</v>
      </c>
    </row>
    <row r="2">
      <c r="A2" s="77"/>
      <c r="G2" s="78"/>
      <c r="H2" s="78" t="s">
        <v>196</v>
      </c>
      <c r="I2" s="78" t="s">
        <v>197</v>
      </c>
      <c r="J2" s="78" t="s">
        <v>198</v>
      </c>
      <c r="K2" s="78" t="s">
        <v>199</v>
      </c>
      <c r="L2" s="78" t="s">
        <v>200</v>
      </c>
      <c r="M2" s="78" t="s">
        <v>201</v>
      </c>
      <c r="N2" s="78" t="s">
        <v>202</v>
      </c>
      <c r="O2" s="76" t="s">
        <v>203</v>
      </c>
    </row>
    <row r="3">
      <c r="A3" s="1"/>
      <c r="B3" s="1"/>
      <c r="C3" s="1"/>
      <c r="D3" s="1"/>
      <c r="E3" s="9"/>
      <c r="F3" s="9"/>
      <c r="G3" s="11"/>
      <c r="H3" s="11" t="str">
        <f t="shared" ref="H3:N3" si="1">COUNTIF(H35:H200, "완료") &amp; "명 완료"
</f>
        <v>19명 완료</v>
      </c>
      <c r="I3" s="11" t="str">
        <f t="shared" si="1"/>
        <v>18명 완료</v>
      </c>
      <c r="J3" s="11" t="str">
        <f t="shared" si="1"/>
        <v>18명 완료</v>
      </c>
      <c r="K3" s="11" t="str">
        <f t="shared" si="1"/>
        <v>19명 완료</v>
      </c>
      <c r="L3" s="11" t="str">
        <f t="shared" si="1"/>
        <v>19명 완료</v>
      </c>
      <c r="M3" s="11" t="str">
        <f t="shared" si="1"/>
        <v>17명 완료</v>
      </c>
      <c r="N3" s="11" t="str">
        <f t="shared" si="1"/>
        <v>19명 완료</v>
      </c>
      <c r="O3" s="79" t="str">
        <f>COUNTIF(N35:N200, "완료") &amp; "명 완료"
</f>
        <v>19명 완료</v>
      </c>
    </row>
    <row r="4">
      <c r="A4" s="80"/>
      <c r="B4" s="81" t="s">
        <v>20</v>
      </c>
      <c r="C4" s="82" t="s">
        <v>21</v>
      </c>
      <c r="D4" s="82" t="s">
        <v>22</v>
      </c>
      <c r="E4" s="83" t="s">
        <v>23</v>
      </c>
      <c r="F4" s="83" t="s">
        <v>24</v>
      </c>
      <c r="G4" s="84"/>
      <c r="H4" s="84" t="s">
        <v>25</v>
      </c>
      <c r="I4" s="84" t="s">
        <v>25</v>
      </c>
      <c r="J4" s="84" t="s">
        <v>25</v>
      </c>
      <c r="K4" s="84" t="s">
        <v>25</v>
      </c>
      <c r="L4" s="84" t="s">
        <v>25</v>
      </c>
      <c r="M4" s="84" t="s">
        <v>25</v>
      </c>
      <c r="N4" s="84" t="s">
        <v>25</v>
      </c>
      <c r="O4" s="85" t="s">
        <v>25</v>
      </c>
    </row>
    <row r="5">
      <c r="A5" s="86"/>
      <c r="B5" s="22">
        <v>1.0</v>
      </c>
      <c r="C5" s="23" t="s">
        <v>26</v>
      </c>
      <c r="D5" s="87" t="s">
        <v>27</v>
      </c>
      <c r="E5" s="88" t="str">
        <f t="shared" ref="E5:E64" si="2">IF(COUNTIF(G5:N5, "완료")=0, "", COUNTIF($G$4:$N$4, "완료") &amp; "번 중 " &amp; COUNTIF(G5:N5, "완료") &amp; "번 참여")
</f>
        <v>7번 중 7번 참여</v>
      </c>
      <c r="F5" s="89">
        <f t="shared" ref="F5:F64" si="3">IF(COUNTIF($G$4:$N$4, "완료")=0, "", IF(COUNTIF(G5:N5, "완료")=0, "", COUNTIF(G5:N5, "완료") / COUNTIF($G$4:$N$4, "완료")))
</f>
        <v>1</v>
      </c>
      <c r="G5" s="90"/>
      <c r="H5" s="90" t="s">
        <v>25</v>
      </c>
      <c r="I5" s="90" t="s">
        <v>25</v>
      </c>
      <c r="J5" s="90" t="s">
        <v>25</v>
      </c>
      <c r="K5" s="90" t="s">
        <v>25</v>
      </c>
      <c r="L5" s="90" t="s">
        <v>25</v>
      </c>
      <c r="M5" s="90" t="s">
        <v>25</v>
      </c>
      <c r="N5" s="90" t="s">
        <v>25</v>
      </c>
      <c r="O5" s="91" t="s">
        <v>25</v>
      </c>
    </row>
    <row r="6">
      <c r="A6" s="92"/>
      <c r="B6" s="30">
        <v>2.0</v>
      </c>
      <c r="C6" s="93" t="s">
        <v>28</v>
      </c>
      <c r="D6" s="94" t="s">
        <v>29</v>
      </c>
      <c r="E6" s="88" t="str">
        <f t="shared" si="2"/>
        <v>7번 중 7번 참여</v>
      </c>
      <c r="F6" s="89">
        <f t="shared" si="3"/>
        <v>1</v>
      </c>
      <c r="G6" s="90"/>
      <c r="H6" s="90" t="s">
        <v>25</v>
      </c>
      <c r="I6" s="90" t="s">
        <v>25</v>
      </c>
      <c r="J6" s="90" t="s">
        <v>25</v>
      </c>
      <c r="K6" s="90" t="s">
        <v>25</v>
      </c>
      <c r="L6" s="90" t="s">
        <v>25</v>
      </c>
      <c r="M6" s="90" t="s">
        <v>25</v>
      </c>
      <c r="N6" s="90" t="s">
        <v>25</v>
      </c>
      <c r="O6" s="91" t="s">
        <v>25</v>
      </c>
    </row>
    <row r="7">
      <c r="A7" s="86"/>
      <c r="B7" s="22">
        <v>3.0</v>
      </c>
      <c r="C7" s="31" t="s">
        <v>30</v>
      </c>
      <c r="D7" s="31" t="s">
        <v>31</v>
      </c>
      <c r="E7" s="88" t="str">
        <f t="shared" si="2"/>
        <v/>
      </c>
      <c r="F7" s="89" t="str">
        <f t="shared" si="3"/>
        <v/>
      </c>
      <c r="G7" s="90"/>
      <c r="H7" s="90"/>
      <c r="I7" s="90"/>
      <c r="J7" s="90"/>
      <c r="K7" s="90"/>
      <c r="L7" s="90"/>
      <c r="M7" s="90"/>
      <c r="N7" s="90"/>
      <c r="O7" s="37"/>
    </row>
    <row r="8">
      <c r="A8" s="92"/>
      <c r="B8" s="30">
        <v>4.0</v>
      </c>
      <c r="C8" s="23" t="s">
        <v>32</v>
      </c>
      <c r="D8" s="23" t="s">
        <v>33</v>
      </c>
      <c r="E8" s="88" t="str">
        <f t="shared" si="2"/>
        <v/>
      </c>
      <c r="F8" s="89" t="str">
        <f t="shared" si="3"/>
        <v/>
      </c>
      <c r="G8" s="90"/>
      <c r="H8" s="90"/>
      <c r="I8" s="90"/>
      <c r="J8" s="90"/>
      <c r="K8" s="90"/>
      <c r="L8" s="90"/>
      <c r="M8" s="90"/>
      <c r="N8" s="90"/>
      <c r="O8" s="37"/>
    </row>
    <row r="9">
      <c r="A9" s="86"/>
      <c r="B9" s="22">
        <v>5.0</v>
      </c>
      <c r="C9" s="31" t="s">
        <v>34</v>
      </c>
      <c r="D9" s="31" t="s">
        <v>35</v>
      </c>
      <c r="E9" s="88" t="str">
        <f t="shared" si="2"/>
        <v>7번 중 4번 참여</v>
      </c>
      <c r="F9" s="89">
        <f t="shared" si="3"/>
        <v>0.5714285714</v>
      </c>
      <c r="G9" s="90"/>
      <c r="H9" s="90"/>
      <c r="I9" s="90" t="s">
        <v>25</v>
      </c>
      <c r="J9" s="90" t="s">
        <v>25</v>
      </c>
      <c r="K9" s="90" t="s">
        <v>25</v>
      </c>
      <c r="L9" s="90"/>
      <c r="M9" s="90"/>
      <c r="N9" s="90" t="s">
        <v>25</v>
      </c>
      <c r="O9" s="37"/>
    </row>
    <row r="10">
      <c r="A10" s="92"/>
      <c r="B10" s="30">
        <v>6.0</v>
      </c>
      <c r="C10" s="23" t="s">
        <v>36</v>
      </c>
      <c r="D10" s="95" t="s">
        <v>37</v>
      </c>
      <c r="E10" s="88" t="str">
        <f t="shared" si="2"/>
        <v>7번 중 5번 참여</v>
      </c>
      <c r="F10" s="89">
        <f t="shared" si="3"/>
        <v>0.7142857143</v>
      </c>
      <c r="G10" s="90"/>
      <c r="H10" s="90" t="s">
        <v>25</v>
      </c>
      <c r="I10" s="90" t="s">
        <v>25</v>
      </c>
      <c r="J10" s="90" t="s">
        <v>25</v>
      </c>
      <c r="K10" s="90" t="s">
        <v>25</v>
      </c>
      <c r="L10" s="90" t="s">
        <v>25</v>
      </c>
      <c r="M10" s="90"/>
      <c r="N10" s="90"/>
      <c r="O10" s="91"/>
    </row>
    <row r="11">
      <c r="A11" s="86"/>
      <c r="B11" s="22">
        <v>7.0</v>
      </c>
      <c r="C11" s="31" t="s">
        <v>38</v>
      </c>
      <c r="D11" s="31" t="s">
        <v>39</v>
      </c>
      <c r="E11" s="88" t="str">
        <f t="shared" si="2"/>
        <v>7번 중 6번 참여</v>
      </c>
      <c r="F11" s="89">
        <f t="shared" si="3"/>
        <v>0.8571428571</v>
      </c>
      <c r="G11" s="90"/>
      <c r="H11" s="90" t="s">
        <v>25</v>
      </c>
      <c r="I11" s="90" t="s">
        <v>25</v>
      </c>
      <c r="J11" s="90"/>
      <c r="K11" s="90" t="s">
        <v>25</v>
      </c>
      <c r="L11" s="90" t="s">
        <v>25</v>
      </c>
      <c r="M11" s="90" t="s">
        <v>25</v>
      </c>
      <c r="N11" s="90" t="s">
        <v>25</v>
      </c>
      <c r="O11" s="91" t="s">
        <v>25</v>
      </c>
    </row>
    <row r="12">
      <c r="A12" s="92"/>
      <c r="B12" s="30">
        <v>8.0</v>
      </c>
      <c r="C12" s="23" t="s">
        <v>40</v>
      </c>
      <c r="D12" s="23" t="s">
        <v>41</v>
      </c>
      <c r="E12" s="88" t="str">
        <f t="shared" si="2"/>
        <v>7번 중 7번 참여</v>
      </c>
      <c r="F12" s="89">
        <f t="shared" si="3"/>
        <v>1</v>
      </c>
      <c r="G12" s="90"/>
      <c r="H12" s="90" t="s">
        <v>25</v>
      </c>
      <c r="I12" s="90" t="s">
        <v>25</v>
      </c>
      <c r="J12" s="90" t="s">
        <v>25</v>
      </c>
      <c r="K12" s="90" t="s">
        <v>25</v>
      </c>
      <c r="L12" s="90" t="s">
        <v>25</v>
      </c>
      <c r="M12" s="90" t="s">
        <v>25</v>
      </c>
      <c r="N12" s="90" t="s">
        <v>25</v>
      </c>
      <c r="O12" s="91" t="s">
        <v>25</v>
      </c>
    </row>
    <row r="13">
      <c r="A13" s="86"/>
      <c r="B13" s="22">
        <v>9.0</v>
      </c>
      <c r="C13" s="31" t="s">
        <v>42</v>
      </c>
      <c r="D13" s="31" t="s">
        <v>43</v>
      </c>
      <c r="E13" s="88" t="str">
        <f t="shared" si="2"/>
        <v>7번 중 3번 참여</v>
      </c>
      <c r="F13" s="89">
        <f t="shared" si="3"/>
        <v>0.4285714286</v>
      </c>
      <c r="G13" s="90"/>
      <c r="H13" s="90" t="s">
        <v>25</v>
      </c>
      <c r="I13" s="90"/>
      <c r="J13" s="90"/>
      <c r="K13" s="90" t="s">
        <v>25</v>
      </c>
      <c r="L13" s="90"/>
      <c r="M13" s="90"/>
      <c r="N13" s="90" t="s">
        <v>25</v>
      </c>
      <c r="O13" s="91"/>
    </row>
    <row r="14">
      <c r="A14" s="92"/>
      <c r="B14" s="30">
        <v>10.0</v>
      </c>
      <c r="C14" s="23" t="s">
        <v>44</v>
      </c>
      <c r="D14" s="23" t="s">
        <v>45</v>
      </c>
      <c r="E14" s="88" t="str">
        <f t="shared" si="2"/>
        <v>7번 중 7번 참여</v>
      </c>
      <c r="F14" s="89">
        <f t="shared" si="3"/>
        <v>1</v>
      </c>
      <c r="G14" s="90"/>
      <c r="H14" s="90" t="s">
        <v>25</v>
      </c>
      <c r="I14" s="90" t="s">
        <v>25</v>
      </c>
      <c r="J14" s="90" t="s">
        <v>25</v>
      </c>
      <c r="K14" s="90" t="s">
        <v>25</v>
      </c>
      <c r="L14" s="90" t="s">
        <v>25</v>
      </c>
      <c r="M14" s="90" t="s">
        <v>25</v>
      </c>
      <c r="N14" s="90" t="s">
        <v>25</v>
      </c>
      <c r="O14" s="91" t="s">
        <v>25</v>
      </c>
    </row>
    <row r="15">
      <c r="A15" s="86"/>
      <c r="B15" s="22">
        <v>11.0</v>
      </c>
      <c r="C15" s="31" t="s">
        <v>46</v>
      </c>
      <c r="D15" s="31" t="s">
        <v>47</v>
      </c>
      <c r="E15" s="88" t="str">
        <f t="shared" si="2"/>
        <v>7번 중 7번 참여</v>
      </c>
      <c r="F15" s="89">
        <f t="shared" si="3"/>
        <v>1</v>
      </c>
      <c r="G15" s="90"/>
      <c r="H15" s="90" t="s">
        <v>25</v>
      </c>
      <c r="I15" s="90" t="s">
        <v>25</v>
      </c>
      <c r="J15" s="90" t="s">
        <v>25</v>
      </c>
      <c r="K15" s="90" t="s">
        <v>25</v>
      </c>
      <c r="L15" s="90" t="s">
        <v>25</v>
      </c>
      <c r="M15" s="90" t="s">
        <v>25</v>
      </c>
      <c r="N15" s="90" t="s">
        <v>25</v>
      </c>
      <c r="O15" s="91" t="s">
        <v>25</v>
      </c>
    </row>
    <row r="16">
      <c r="A16" s="92"/>
      <c r="B16" s="30">
        <v>12.0</v>
      </c>
      <c r="C16" s="23" t="s">
        <v>48</v>
      </c>
      <c r="D16" s="23" t="s">
        <v>49</v>
      </c>
      <c r="E16" s="88" t="str">
        <f t="shared" si="2"/>
        <v>7번 중 7번 참여</v>
      </c>
      <c r="F16" s="89">
        <f t="shared" si="3"/>
        <v>1</v>
      </c>
      <c r="G16" s="90"/>
      <c r="H16" s="90" t="s">
        <v>25</v>
      </c>
      <c r="I16" s="90" t="s">
        <v>25</v>
      </c>
      <c r="J16" s="90" t="s">
        <v>25</v>
      </c>
      <c r="K16" s="90" t="s">
        <v>25</v>
      </c>
      <c r="L16" s="90" t="s">
        <v>25</v>
      </c>
      <c r="M16" s="90" t="s">
        <v>25</v>
      </c>
      <c r="N16" s="90" t="s">
        <v>25</v>
      </c>
      <c r="O16" s="91" t="s">
        <v>25</v>
      </c>
    </row>
    <row r="17">
      <c r="A17" s="86"/>
      <c r="B17" s="22">
        <v>13.0</v>
      </c>
      <c r="C17" s="31" t="s">
        <v>50</v>
      </c>
      <c r="D17" s="31" t="s">
        <v>51</v>
      </c>
      <c r="E17" s="88" t="str">
        <f t="shared" si="2"/>
        <v>7번 중 2번 참여</v>
      </c>
      <c r="F17" s="89">
        <f t="shared" si="3"/>
        <v>0.2857142857</v>
      </c>
      <c r="G17" s="90"/>
      <c r="H17" s="90" t="s">
        <v>25</v>
      </c>
      <c r="I17" s="90" t="s">
        <v>25</v>
      </c>
      <c r="J17" s="90"/>
      <c r="K17" s="90"/>
      <c r="L17" s="90"/>
      <c r="M17" s="90"/>
      <c r="N17" s="41"/>
      <c r="O17" s="37"/>
    </row>
    <row r="18">
      <c r="A18" s="92"/>
      <c r="B18" s="30">
        <v>14.0</v>
      </c>
      <c r="C18" s="23" t="s">
        <v>52</v>
      </c>
      <c r="D18" s="23" t="s">
        <v>53</v>
      </c>
      <c r="E18" s="88" t="str">
        <f t="shared" si="2"/>
        <v/>
      </c>
      <c r="F18" s="89" t="str">
        <f t="shared" si="3"/>
        <v/>
      </c>
      <c r="G18" s="90"/>
      <c r="H18" s="41"/>
      <c r="I18" s="41"/>
      <c r="J18" s="41"/>
      <c r="K18" s="41"/>
      <c r="L18" s="41"/>
      <c r="M18" s="41"/>
      <c r="N18" s="41"/>
      <c r="O18" s="37"/>
    </row>
    <row r="19">
      <c r="A19" s="86"/>
      <c r="B19" s="22">
        <v>15.0</v>
      </c>
      <c r="C19" s="96" t="s">
        <v>54</v>
      </c>
      <c r="D19" s="96" t="s">
        <v>55</v>
      </c>
      <c r="E19" s="88" t="str">
        <f t="shared" si="2"/>
        <v/>
      </c>
      <c r="F19" s="89" t="str">
        <f t="shared" si="3"/>
        <v/>
      </c>
      <c r="G19" s="90"/>
      <c r="H19" s="90"/>
      <c r="I19" s="90"/>
      <c r="J19" s="90"/>
      <c r="K19" s="90"/>
      <c r="L19" s="90"/>
      <c r="M19" s="90"/>
      <c r="N19" s="90"/>
      <c r="O19" s="37"/>
    </row>
    <row r="20">
      <c r="A20" s="92"/>
      <c r="B20" s="30">
        <v>16.0</v>
      </c>
      <c r="C20" s="23" t="s">
        <v>56</v>
      </c>
      <c r="D20" s="23" t="s">
        <v>57</v>
      </c>
      <c r="E20" s="88" t="str">
        <f t="shared" si="2"/>
        <v>7번 중 7번 참여</v>
      </c>
      <c r="F20" s="89">
        <f t="shared" si="3"/>
        <v>1</v>
      </c>
      <c r="G20" s="90"/>
      <c r="H20" s="90" t="s">
        <v>25</v>
      </c>
      <c r="I20" s="90" t="s">
        <v>25</v>
      </c>
      <c r="J20" s="90" t="s">
        <v>25</v>
      </c>
      <c r="K20" s="90" t="s">
        <v>25</v>
      </c>
      <c r="L20" s="90" t="s">
        <v>25</v>
      </c>
      <c r="M20" s="90" t="s">
        <v>25</v>
      </c>
      <c r="N20" s="90" t="s">
        <v>25</v>
      </c>
      <c r="O20" s="91" t="s">
        <v>25</v>
      </c>
    </row>
    <row r="21">
      <c r="A21" s="86"/>
      <c r="B21" s="22">
        <v>17.0</v>
      </c>
      <c r="C21" s="31" t="s">
        <v>58</v>
      </c>
      <c r="D21" s="97" t="s">
        <v>59</v>
      </c>
      <c r="E21" s="88" t="str">
        <f t="shared" si="2"/>
        <v/>
      </c>
      <c r="F21" s="89" t="str">
        <f t="shared" si="3"/>
        <v/>
      </c>
      <c r="G21" s="90"/>
      <c r="H21" s="41"/>
      <c r="I21" s="41"/>
      <c r="J21" s="41"/>
      <c r="K21" s="41"/>
      <c r="L21" s="41"/>
      <c r="M21" s="41"/>
      <c r="N21" s="41"/>
      <c r="O21" s="37"/>
    </row>
    <row r="22">
      <c r="A22" s="92"/>
      <c r="B22" s="30">
        <v>18.0</v>
      </c>
      <c r="C22" s="23" t="s">
        <v>60</v>
      </c>
      <c r="D22" s="87" t="s">
        <v>61</v>
      </c>
      <c r="E22" s="88" t="str">
        <f t="shared" si="2"/>
        <v/>
      </c>
      <c r="F22" s="89" t="str">
        <f t="shared" si="3"/>
        <v/>
      </c>
      <c r="G22" s="90"/>
      <c r="H22" s="90"/>
      <c r="I22" s="90"/>
      <c r="J22" s="90"/>
      <c r="K22" s="41"/>
      <c r="L22" s="41"/>
      <c r="M22" s="41"/>
      <c r="N22" s="41"/>
      <c r="O22" s="37"/>
    </row>
    <row r="23">
      <c r="A23" s="86"/>
      <c r="B23" s="22">
        <v>19.0</v>
      </c>
      <c r="C23" s="98" t="s">
        <v>62</v>
      </c>
      <c r="D23" s="99" t="s">
        <v>63</v>
      </c>
      <c r="E23" s="88" t="str">
        <f t="shared" si="2"/>
        <v/>
      </c>
      <c r="F23" s="89" t="str">
        <f t="shared" si="3"/>
        <v/>
      </c>
      <c r="G23" s="90"/>
      <c r="H23" s="90"/>
      <c r="I23" s="90"/>
      <c r="J23" s="90"/>
      <c r="K23" s="90"/>
      <c r="L23" s="90"/>
      <c r="M23" s="90"/>
      <c r="N23" s="90"/>
      <c r="O23" s="37"/>
    </row>
    <row r="24">
      <c r="A24" s="92"/>
      <c r="B24" s="30">
        <v>20.0</v>
      </c>
      <c r="C24" s="23" t="s">
        <v>64</v>
      </c>
      <c r="D24" s="100" t="s">
        <v>65</v>
      </c>
      <c r="E24" s="88" t="str">
        <f t="shared" si="2"/>
        <v/>
      </c>
      <c r="F24" s="89" t="str">
        <f t="shared" si="3"/>
        <v/>
      </c>
      <c r="G24" s="90"/>
      <c r="H24" s="41"/>
      <c r="I24" s="41"/>
      <c r="J24" s="41"/>
      <c r="K24" s="41"/>
      <c r="L24" s="41"/>
      <c r="M24" s="41"/>
      <c r="N24" s="41"/>
      <c r="O24" s="37"/>
    </row>
    <row r="25">
      <c r="A25" s="86"/>
      <c r="B25" s="22">
        <v>21.0</v>
      </c>
      <c r="C25" s="101" t="s">
        <v>66</v>
      </c>
      <c r="D25" s="102" t="s">
        <v>67</v>
      </c>
      <c r="E25" s="88" t="str">
        <f t="shared" si="2"/>
        <v/>
      </c>
      <c r="F25" s="89" t="str">
        <f t="shared" si="3"/>
        <v/>
      </c>
      <c r="G25" s="90"/>
      <c r="H25" s="90"/>
      <c r="I25" s="90"/>
      <c r="J25" s="90"/>
      <c r="K25" s="90"/>
      <c r="L25" s="90"/>
      <c r="M25" s="90"/>
      <c r="N25" s="90"/>
      <c r="O25" s="37"/>
    </row>
    <row r="26">
      <c r="A26" s="92"/>
      <c r="B26" s="30">
        <v>22.0</v>
      </c>
      <c r="C26" s="103" t="s">
        <v>68</v>
      </c>
      <c r="D26" s="104" t="s">
        <v>69</v>
      </c>
      <c r="E26" s="88" t="str">
        <f t="shared" si="2"/>
        <v/>
      </c>
      <c r="F26" s="89" t="str">
        <f t="shared" si="3"/>
        <v/>
      </c>
      <c r="G26" s="90"/>
      <c r="H26" s="41"/>
      <c r="I26" s="41"/>
      <c r="J26" s="41"/>
      <c r="K26" s="41"/>
      <c r="L26" s="41"/>
      <c r="M26" s="41"/>
      <c r="N26" s="41"/>
      <c r="O26" s="37"/>
    </row>
    <row r="27">
      <c r="A27" s="86"/>
      <c r="B27" s="22">
        <v>23.0</v>
      </c>
      <c r="C27" s="23" t="s">
        <v>26</v>
      </c>
      <c r="D27" s="105" t="s">
        <v>27</v>
      </c>
      <c r="E27" s="88" t="str">
        <f t="shared" si="2"/>
        <v/>
      </c>
      <c r="F27" s="89" t="str">
        <f t="shared" si="3"/>
        <v/>
      </c>
      <c r="G27" s="90"/>
      <c r="H27" s="90"/>
      <c r="I27" s="90"/>
      <c r="J27" s="90"/>
      <c r="K27" s="41"/>
      <c r="L27" s="41"/>
      <c r="M27" s="41"/>
      <c r="N27" s="41"/>
      <c r="O27" s="37"/>
    </row>
    <row r="28">
      <c r="A28" s="92"/>
      <c r="B28" s="30">
        <v>24.0</v>
      </c>
      <c r="C28" s="93" t="s">
        <v>28</v>
      </c>
      <c r="D28" s="94" t="s">
        <v>70</v>
      </c>
      <c r="E28" s="88" t="str">
        <f t="shared" si="2"/>
        <v>7번 중 7번 참여</v>
      </c>
      <c r="F28" s="89">
        <f t="shared" si="3"/>
        <v>1</v>
      </c>
      <c r="G28" s="90"/>
      <c r="H28" s="90" t="s">
        <v>25</v>
      </c>
      <c r="I28" s="90" t="s">
        <v>25</v>
      </c>
      <c r="J28" s="90" t="s">
        <v>25</v>
      </c>
      <c r="K28" s="90" t="s">
        <v>25</v>
      </c>
      <c r="L28" s="90" t="s">
        <v>25</v>
      </c>
      <c r="M28" s="90" t="s">
        <v>25</v>
      </c>
      <c r="N28" s="90" t="s">
        <v>25</v>
      </c>
      <c r="O28" s="91" t="s">
        <v>25</v>
      </c>
    </row>
    <row r="29">
      <c r="A29" s="86"/>
      <c r="B29" s="22">
        <v>25.0</v>
      </c>
      <c r="C29" s="31" t="s">
        <v>30</v>
      </c>
      <c r="D29" s="31" t="s">
        <v>31</v>
      </c>
      <c r="E29" s="88" t="str">
        <f t="shared" si="2"/>
        <v/>
      </c>
      <c r="F29" s="89" t="str">
        <f t="shared" si="3"/>
        <v/>
      </c>
      <c r="G29" s="41"/>
      <c r="H29" s="41"/>
      <c r="I29" s="41"/>
      <c r="J29" s="41"/>
      <c r="K29" s="41"/>
      <c r="L29" s="41"/>
      <c r="M29" s="41"/>
      <c r="N29" s="41"/>
      <c r="O29" s="37"/>
    </row>
    <row r="30">
      <c r="A30" s="92"/>
      <c r="B30" s="30">
        <v>26.0</v>
      </c>
      <c r="C30" s="23" t="s">
        <v>32</v>
      </c>
      <c r="D30" s="23" t="s">
        <v>33</v>
      </c>
      <c r="E30" s="88" t="str">
        <f t="shared" si="2"/>
        <v/>
      </c>
      <c r="F30" s="89" t="str">
        <f t="shared" si="3"/>
        <v/>
      </c>
      <c r="G30" s="41"/>
      <c r="H30" s="41"/>
      <c r="I30" s="41"/>
      <c r="J30" s="41"/>
      <c r="K30" s="41"/>
      <c r="L30" s="41"/>
      <c r="M30" s="41"/>
      <c r="N30" s="41"/>
      <c r="O30" s="37"/>
    </row>
    <row r="31">
      <c r="A31" s="86"/>
      <c r="B31" s="22">
        <v>27.0</v>
      </c>
      <c r="C31" s="31" t="s">
        <v>34</v>
      </c>
      <c r="D31" s="101" t="s">
        <v>71</v>
      </c>
      <c r="E31" s="88" t="str">
        <f t="shared" si="2"/>
        <v/>
      </c>
      <c r="F31" s="89" t="str">
        <f t="shared" si="3"/>
        <v/>
      </c>
      <c r="G31" s="41"/>
      <c r="H31" s="41"/>
      <c r="I31" s="41"/>
      <c r="J31" s="41"/>
      <c r="K31" s="41"/>
      <c r="L31" s="41"/>
      <c r="M31" s="41"/>
      <c r="N31" s="41"/>
      <c r="O31" s="37"/>
    </row>
    <row r="32">
      <c r="A32" s="92"/>
      <c r="B32" s="30">
        <v>28.0</v>
      </c>
      <c r="C32" s="23" t="s">
        <v>36</v>
      </c>
      <c r="D32" s="23" t="s">
        <v>72</v>
      </c>
      <c r="E32" s="88" t="str">
        <f t="shared" si="2"/>
        <v/>
      </c>
      <c r="F32" s="89" t="str">
        <f t="shared" si="3"/>
        <v/>
      </c>
      <c r="G32" s="41"/>
      <c r="H32" s="41"/>
      <c r="I32" s="41"/>
      <c r="J32" s="41"/>
      <c r="K32" s="41"/>
      <c r="L32" s="41"/>
      <c r="M32" s="41"/>
      <c r="N32" s="41"/>
      <c r="O32" s="37"/>
    </row>
    <row r="33">
      <c r="A33" s="86"/>
      <c r="B33" s="22">
        <v>29.0</v>
      </c>
      <c r="C33" s="31" t="s">
        <v>38</v>
      </c>
      <c r="D33" s="31" t="s">
        <v>39</v>
      </c>
      <c r="E33" s="88" t="str">
        <f t="shared" si="2"/>
        <v/>
      </c>
      <c r="F33" s="89" t="str">
        <f t="shared" si="3"/>
        <v/>
      </c>
      <c r="G33" s="41"/>
      <c r="H33" s="41"/>
      <c r="I33" s="41"/>
      <c r="J33" s="41"/>
      <c r="K33" s="41"/>
      <c r="L33" s="41"/>
      <c r="M33" s="41"/>
      <c r="N33" s="41"/>
      <c r="O33" s="37"/>
    </row>
    <row r="34">
      <c r="A34" s="92"/>
      <c r="B34" s="30">
        <v>30.0</v>
      </c>
      <c r="C34" s="23" t="s">
        <v>40</v>
      </c>
      <c r="D34" s="23" t="s">
        <v>41</v>
      </c>
      <c r="E34" s="88" t="str">
        <f t="shared" si="2"/>
        <v/>
      </c>
      <c r="F34" s="89" t="str">
        <f t="shared" si="3"/>
        <v/>
      </c>
      <c r="G34" s="41"/>
      <c r="H34" s="41"/>
      <c r="I34" s="41"/>
      <c r="J34" s="41"/>
      <c r="K34" s="41"/>
      <c r="L34" s="41"/>
      <c r="M34" s="41"/>
      <c r="N34" s="41"/>
      <c r="O34" s="37"/>
    </row>
    <row r="35">
      <c r="A35" s="86"/>
      <c r="B35" s="22">
        <v>31.0</v>
      </c>
      <c r="C35" s="31" t="s">
        <v>42</v>
      </c>
      <c r="D35" s="101" t="s">
        <v>73</v>
      </c>
      <c r="E35" s="88" t="str">
        <f t="shared" si="2"/>
        <v/>
      </c>
      <c r="F35" s="89" t="str">
        <f t="shared" si="3"/>
        <v/>
      </c>
      <c r="G35" s="41"/>
      <c r="H35" s="41"/>
      <c r="I35" s="41"/>
      <c r="J35" s="41"/>
      <c r="K35" s="41"/>
      <c r="L35" s="41"/>
      <c r="M35" s="41"/>
      <c r="N35" s="41"/>
      <c r="O35" s="37"/>
    </row>
    <row r="36">
      <c r="A36" s="92"/>
      <c r="B36" s="30">
        <v>32.0</v>
      </c>
      <c r="C36" s="23" t="s">
        <v>44</v>
      </c>
      <c r="D36" s="23" t="s">
        <v>45</v>
      </c>
      <c r="E36" s="88" t="str">
        <f t="shared" si="2"/>
        <v/>
      </c>
      <c r="F36" s="89" t="str">
        <f t="shared" si="3"/>
        <v/>
      </c>
      <c r="G36" s="41"/>
      <c r="H36" s="41"/>
      <c r="I36" s="41"/>
      <c r="J36" s="41"/>
      <c r="K36" s="41"/>
      <c r="L36" s="41"/>
      <c r="M36" s="41"/>
      <c r="N36" s="41"/>
      <c r="O36" s="37"/>
    </row>
    <row r="37">
      <c r="A37" s="86"/>
      <c r="B37" s="22">
        <v>33.0</v>
      </c>
      <c r="C37" s="31" t="s">
        <v>46</v>
      </c>
      <c r="D37" s="31" t="s">
        <v>47</v>
      </c>
      <c r="E37" s="88" t="str">
        <f t="shared" si="2"/>
        <v/>
      </c>
      <c r="F37" s="89" t="str">
        <f t="shared" si="3"/>
        <v/>
      </c>
      <c r="G37" s="41"/>
      <c r="H37" s="41"/>
      <c r="I37" s="41"/>
      <c r="J37" s="41"/>
      <c r="K37" s="41"/>
      <c r="L37" s="41"/>
      <c r="M37" s="41"/>
      <c r="N37" s="41"/>
      <c r="O37" s="37"/>
    </row>
    <row r="38">
      <c r="A38" s="92"/>
      <c r="B38" s="30">
        <v>34.0</v>
      </c>
      <c r="C38" s="23" t="s">
        <v>48</v>
      </c>
      <c r="D38" s="23" t="s">
        <v>49</v>
      </c>
      <c r="E38" s="88" t="str">
        <f t="shared" si="2"/>
        <v/>
      </c>
      <c r="F38" s="89" t="str">
        <f t="shared" si="3"/>
        <v/>
      </c>
      <c r="G38" s="41"/>
      <c r="H38" s="41"/>
      <c r="I38" s="41"/>
      <c r="J38" s="41"/>
      <c r="K38" s="41"/>
      <c r="L38" s="41"/>
      <c r="M38" s="41"/>
      <c r="N38" s="41"/>
      <c r="O38" s="37"/>
    </row>
    <row r="39">
      <c r="A39" s="86"/>
      <c r="B39" s="22">
        <v>35.0</v>
      </c>
      <c r="C39" s="31" t="s">
        <v>50</v>
      </c>
      <c r="D39" s="31" t="s">
        <v>51</v>
      </c>
      <c r="E39" s="88" t="str">
        <f t="shared" si="2"/>
        <v/>
      </c>
      <c r="F39" s="89" t="str">
        <f t="shared" si="3"/>
        <v/>
      </c>
      <c r="G39" s="41"/>
      <c r="H39" s="41"/>
      <c r="I39" s="41"/>
      <c r="J39" s="41"/>
      <c r="K39" s="41"/>
      <c r="L39" s="41"/>
      <c r="M39" s="41"/>
      <c r="N39" s="41"/>
      <c r="O39" s="37"/>
    </row>
    <row r="40">
      <c r="A40" s="92"/>
      <c r="B40" s="30">
        <v>36.0</v>
      </c>
      <c r="C40" s="23" t="s">
        <v>52</v>
      </c>
      <c r="D40" s="23" t="s">
        <v>53</v>
      </c>
      <c r="E40" s="88" t="str">
        <f t="shared" si="2"/>
        <v/>
      </c>
      <c r="F40" s="89" t="str">
        <f t="shared" si="3"/>
        <v/>
      </c>
      <c r="G40" s="41"/>
      <c r="H40" s="41"/>
      <c r="I40" s="41"/>
      <c r="J40" s="41"/>
      <c r="K40" s="41"/>
      <c r="L40" s="41"/>
      <c r="M40" s="41"/>
      <c r="N40" s="41"/>
      <c r="O40" s="37"/>
    </row>
    <row r="41">
      <c r="A41" s="86"/>
      <c r="B41" s="22">
        <v>37.0</v>
      </c>
      <c r="C41" s="96" t="s">
        <v>54</v>
      </c>
      <c r="D41" s="96" t="s">
        <v>55</v>
      </c>
      <c r="E41" s="88" t="str">
        <f t="shared" si="2"/>
        <v/>
      </c>
      <c r="F41" s="89" t="str">
        <f t="shared" si="3"/>
        <v/>
      </c>
      <c r="G41" s="41"/>
      <c r="H41" s="41"/>
      <c r="I41" s="41"/>
      <c r="J41" s="41"/>
      <c r="K41" s="41"/>
      <c r="L41" s="41"/>
      <c r="M41" s="41"/>
      <c r="N41" s="41"/>
      <c r="O41" s="37"/>
    </row>
    <row r="42">
      <c r="A42" s="92"/>
      <c r="B42" s="30">
        <v>38.0</v>
      </c>
      <c r="C42" s="23" t="s">
        <v>56</v>
      </c>
      <c r="D42" s="23" t="s">
        <v>57</v>
      </c>
      <c r="E42" s="88" t="str">
        <f t="shared" si="2"/>
        <v/>
      </c>
      <c r="F42" s="89" t="str">
        <f t="shared" si="3"/>
        <v/>
      </c>
      <c r="G42" s="41"/>
      <c r="H42" s="41"/>
      <c r="I42" s="41"/>
      <c r="J42" s="41"/>
      <c r="K42" s="41"/>
      <c r="L42" s="41"/>
      <c r="M42" s="41"/>
      <c r="N42" s="41"/>
      <c r="O42" s="37"/>
    </row>
    <row r="43">
      <c r="A43" s="86"/>
      <c r="B43" s="22">
        <v>39.0</v>
      </c>
      <c r="C43" s="31" t="s">
        <v>58</v>
      </c>
      <c r="D43" s="97" t="s">
        <v>59</v>
      </c>
      <c r="E43" s="88" t="str">
        <f t="shared" si="2"/>
        <v/>
      </c>
      <c r="F43" s="89" t="str">
        <f t="shared" si="3"/>
        <v/>
      </c>
      <c r="G43" s="41"/>
      <c r="H43" s="41"/>
      <c r="I43" s="41"/>
      <c r="J43" s="41"/>
      <c r="K43" s="41"/>
      <c r="L43" s="41"/>
      <c r="M43" s="41"/>
      <c r="N43" s="41"/>
      <c r="O43" s="37"/>
    </row>
    <row r="44">
      <c r="A44" s="92"/>
      <c r="B44" s="30">
        <v>40.0</v>
      </c>
      <c r="C44" s="23" t="s">
        <v>60</v>
      </c>
      <c r="D44" s="105" t="s">
        <v>61</v>
      </c>
      <c r="E44" s="88" t="str">
        <f t="shared" si="2"/>
        <v/>
      </c>
      <c r="F44" s="89" t="str">
        <f t="shared" si="3"/>
        <v/>
      </c>
      <c r="G44" s="41"/>
      <c r="H44" s="41"/>
      <c r="I44" s="41"/>
      <c r="J44" s="41"/>
      <c r="K44" s="41"/>
      <c r="L44" s="41"/>
      <c r="M44" s="41"/>
      <c r="N44" s="41"/>
      <c r="O44" s="37"/>
    </row>
    <row r="45">
      <c r="A45" s="86"/>
      <c r="B45" s="22">
        <v>41.0</v>
      </c>
      <c r="C45" s="98" t="s">
        <v>62</v>
      </c>
      <c r="D45" s="106"/>
      <c r="E45" s="88" t="str">
        <f t="shared" si="2"/>
        <v/>
      </c>
      <c r="F45" s="89" t="str">
        <f t="shared" si="3"/>
        <v/>
      </c>
      <c r="G45" s="41"/>
      <c r="H45" s="41"/>
      <c r="I45" s="41"/>
      <c r="J45" s="41"/>
      <c r="K45" s="41"/>
      <c r="L45" s="41"/>
      <c r="M45" s="41"/>
      <c r="N45" s="41"/>
      <c r="O45" s="37"/>
    </row>
    <row r="46">
      <c r="A46" s="92"/>
      <c r="B46" s="30">
        <v>42.0</v>
      </c>
      <c r="C46" s="23" t="s">
        <v>64</v>
      </c>
      <c r="D46" s="100" t="s">
        <v>65</v>
      </c>
      <c r="E46" s="88" t="str">
        <f t="shared" si="2"/>
        <v/>
      </c>
      <c r="F46" s="89" t="str">
        <f t="shared" si="3"/>
        <v/>
      </c>
      <c r="G46" s="41"/>
      <c r="H46" s="41"/>
      <c r="I46" s="41"/>
      <c r="J46" s="41"/>
      <c r="K46" s="41"/>
      <c r="L46" s="41"/>
      <c r="M46" s="41"/>
      <c r="N46" s="41"/>
      <c r="O46" s="37"/>
    </row>
    <row r="47">
      <c r="A47" s="86"/>
      <c r="B47" s="22">
        <v>43.0</v>
      </c>
      <c r="C47" s="101" t="s">
        <v>66</v>
      </c>
      <c r="D47" s="102" t="s">
        <v>67</v>
      </c>
      <c r="E47" s="88" t="str">
        <f t="shared" si="2"/>
        <v/>
      </c>
      <c r="F47" s="89" t="str">
        <f t="shared" si="3"/>
        <v/>
      </c>
      <c r="G47" s="90"/>
      <c r="H47" s="90"/>
      <c r="I47" s="90"/>
      <c r="J47" s="90"/>
      <c r="K47" s="90"/>
      <c r="L47" s="90"/>
      <c r="M47" s="90"/>
      <c r="N47" s="90"/>
      <c r="O47" s="37"/>
    </row>
    <row r="48">
      <c r="A48" s="92"/>
      <c r="B48" s="30">
        <v>44.0</v>
      </c>
      <c r="C48" s="103" t="s">
        <v>68</v>
      </c>
      <c r="D48" s="104" t="s">
        <v>69</v>
      </c>
      <c r="E48" s="88" t="str">
        <f t="shared" si="2"/>
        <v/>
      </c>
      <c r="F48" s="89" t="str">
        <f t="shared" si="3"/>
        <v/>
      </c>
      <c r="G48" s="41"/>
      <c r="H48" s="41"/>
      <c r="I48" s="41"/>
      <c r="J48" s="41"/>
      <c r="K48" s="41"/>
      <c r="L48" s="41"/>
      <c r="M48" s="41"/>
      <c r="N48" s="41"/>
      <c r="O48" s="37"/>
    </row>
    <row r="49">
      <c r="A49" s="86"/>
      <c r="B49" s="22">
        <v>45.0</v>
      </c>
      <c r="C49" s="31" t="s">
        <v>74</v>
      </c>
      <c r="D49" s="97" t="s">
        <v>75</v>
      </c>
      <c r="E49" s="88" t="str">
        <f t="shared" si="2"/>
        <v/>
      </c>
      <c r="F49" s="89" t="str">
        <f t="shared" si="3"/>
        <v/>
      </c>
      <c r="G49" s="90"/>
      <c r="H49" s="41"/>
      <c r="I49" s="90"/>
      <c r="J49" s="41"/>
      <c r="K49" s="41"/>
      <c r="L49" s="41"/>
      <c r="M49" s="41"/>
      <c r="N49" s="41"/>
      <c r="O49" s="37"/>
    </row>
    <row r="50">
      <c r="A50" s="92"/>
      <c r="B50" s="30">
        <v>46.0</v>
      </c>
      <c r="C50" s="23" t="s">
        <v>76</v>
      </c>
      <c r="D50" s="87" t="s">
        <v>77</v>
      </c>
      <c r="E50" s="88" t="str">
        <f t="shared" si="2"/>
        <v/>
      </c>
      <c r="F50" s="89" t="str">
        <f t="shared" si="3"/>
        <v/>
      </c>
      <c r="G50" s="90"/>
      <c r="H50" s="41"/>
      <c r="I50" s="41"/>
      <c r="J50" s="41"/>
      <c r="K50" s="41"/>
      <c r="L50" s="41"/>
      <c r="M50" s="41"/>
      <c r="N50" s="41"/>
      <c r="O50" s="37"/>
    </row>
    <row r="51">
      <c r="A51" s="86"/>
      <c r="B51" s="22">
        <v>47.0</v>
      </c>
      <c r="C51" s="31" t="s">
        <v>78</v>
      </c>
      <c r="D51" s="107" t="s">
        <v>79</v>
      </c>
      <c r="E51" s="88" t="str">
        <f t="shared" si="2"/>
        <v>7번 중 1번 참여</v>
      </c>
      <c r="F51" s="89">
        <f t="shared" si="3"/>
        <v>0.1428571429</v>
      </c>
      <c r="G51" s="90"/>
      <c r="H51" s="90"/>
      <c r="I51" s="90" t="s">
        <v>25</v>
      </c>
      <c r="J51" s="90"/>
      <c r="K51" s="90"/>
      <c r="L51" s="90"/>
      <c r="M51" s="90"/>
      <c r="N51" s="90"/>
      <c r="O51" s="91" t="s">
        <v>80</v>
      </c>
    </row>
    <row r="52">
      <c r="A52" s="92"/>
      <c r="B52" s="30">
        <v>48.0</v>
      </c>
      <c r="C52" s="31" t="s">
        <v>81</v>
      </c>
      <c r="D52" s="31" t="s">
        <v>82</v>
      </c>
      <c r="E52" s="88" t="str">
        <f t="shared" si="2"/>
        <v>7번 중 6번 참여</v>
      </c>
      <c r="F52" s="89">
        <f t="shared" si="3"/>
        <v>0.8571428571</v>
      </c>
      <c r="G52" s="90"/>
      <c r="H52" s="90" t="s">
        <v>25</v>
      </c>
      <c r="I52" s="90" t="s">
        <v>25</v>
      </c>
      <c r="J52" s="90" t="s">
        <v>25</v>
      </c>
      <c r="K52" s="90" t="s">
        <v>25</v>
      </c>
      <c r="L52" s="90"/>
      <c r="M52" s="90" t="s">
        <v>25</v>
      </c>
      <c r="N52" s="90" t="s">
        <v>25</v>
      </c>
      <c r="O52" s="91" t="s">
        <v>25</v>
      </c>
    </row>
    <row r="53">
      <c r="A53" s="86"/>
      <c r="B53" s="22">
        <v>49.0</v>
      </c>
      <c r="C53" s="93" t="s">
        <v>83</v>
      </c>
      <c r="D53" s="108" t="s">
        <v>84</v>
      </c>
      <c r="E53" s="88" t="str">
        <f t="shared" si="2"/>
        <v/>
      </c>
      <c r="F53" s="89" t="str">
        <f t="shared" si="3"/>
        <v/>
      </c>
      <c r="G53" s="41"/>
      <c r="H53" s="41"/>
      <c r="I53" s="41"/>
      <c r="J53" s="41"/>
      <c r="K53" s="90"/>
      <c r="L53" s="41"/>
      <c r="M53" s="41"/>
      <c r="N53" s="41"/>
      <c r="O53" s="37"/>
    </row>
    <row r="54">
      <c r="A54" s="92"/>
      <c r="B54" s="30">
        <v>50.0</v>
      </c>
      <c r="C54" s="31" t="s">
        <v>85</v>
      </c>
      <c r="D54" s="97" t="s">
        <v>86</v>
      </c>
      <c r="E54" s="88" t="str">
        <f t="shared" si="2"/>
        <v/>
      </c>
      <c r="F54" s="89" t="str">
        <f t="shared" si="3"/>
        <v/>
      </c>
      <c r="G54" s="90"/>
      <c r="H54" s="90"/>
      <c r="I54" s="90"/>
      <c r="J54" s="90"/>
      <c r="K54" s="90"/>
      <c r="L54" s="90"/>
      <c r="M54" s="90"/>
      <c r="N54" s="90"/>
      <c r="O54" s="37"/>
    </row>
    <row r="55">
      <c r="A55" s="86"/>
      <c r="B55" s="22">
        <v>51.0</v>
      </c>
      <c r="C55" s="23" t="s">
        <v>87</v>
      </c>
      <c r="D55" s="87" t="s">
        <v>88</v>
      </c>
      <c r="E55" s="88" t="str">
        <f t="shared" si="2"/>
        <v/>
      </c>
      <c r="F55" s="89" t="str">
        <f t="shared" si="3"/>
        <v/>
      </c>
      <c r="G55" s="41"/>
      <c r="H55" s="90"/>
      <c r="I55" s="90"/>
      <c r="J55" s="41"/>
      <c r="K55" s="90"/>
      <c r="L55" s="90"/>
      <c r="M55" s="90"/>
      <c r="N55" s="90"/>
      <c r="O55" s="37"/>
    </row>
    <row r="56">
      <c r="A56" s="92"/>
      <c r="B56" s="30">
        <v>52.0</v>
      </c>
      <c r="C56" s="109" t="s">
        <v>89</v>
      </c>
      <c r="D56" s="110" t="s">
        <v>90</v>
      </c>
      <c r="E56" s="88" t="str">
        <f t="shared" si="2"/>
        <v/>
      </c>
      <c r="F56" s="89" t="str">
        <f t="shared" si="3"/>
        <v/>
      </c>
      <c r="G56" s="41"/>
      <c r="H56" s="41"/>
      <c r="I56" s="41"/>
      <c r="J56" s="41"/>
      <c r="K56" s="41"/>
      <c r="L56" s="41"/>
      <c r="M56" s="90"/>
      <c r="N56" s="41"/>
      <c r="O56" s="37"/>
    </row>
    <row r="57">
      <c r="A57" s="86"/>
      <c r="B57" s="22">
        <v>53.0</v>
      </c>
      <c r="C57" s="61" t="s">
        <v>91</v>
      </c>
      <c r="D57" s="61" t="s">
        <v>92</v>
      </c>
      <c r="E57" s="88" t="str">
        <f t="shared" si="2"/>
        <v>7번 중 5번 참여</v>
      </c>
      <c r="F57" s="89">
        <f t="shared" si="3"/>
        <v>0.7142857143</v>
      </c>
      <c r="G57" s="90"/>
      <c r="H57" s="90" t="s">
        <v>25</v>
      </c>
      <c r="I57" s="90" t="s">
        <v>80</v>
      </c>
      <c r="J57" s="90" t="s">
        <v>25</v>
      </c>
      <c r="K57" s="90" t="s">
        <v>25</v>
      </c>
      <c r="L57" s="90" t="s">
        <v>25</v>
      </c>
      <c r="M57" s="90"/>
      <c r="N57" s="90" t="s">
        <v>25</v>
      </c>
      <c r="O57" s="37"/>
    </row>
    <row r="58">
      <c r="A58" s="92"/>
      <c r="B58" s="30">
        <v>54.0</v>
      </c>
      <c r="C58" s="31" t="s">
        <v>93</v>
      </c>
      <c r="D58" s="31" t="s">
        <v>94</v>
      </c>
      <c r="E58" s="88" t="str">
        <f t="shared" si="2"/>
        <v/>
      </c>
      <c r="F58" s="89" t="str">
        <f t="shared" si="3"/>
        <v/>
      </c>
      <c r="G58" s="41"/>
      <c r="H58" s="41"/>
      <c r="I58" s="41"/>
      <c r="J58" s="41"/>
      <c r="K58" s="41"/>
      <c r="L58" s="41"/>
      <c r="M58" s="41"/>
      <c r="N58" s="41"/>
      <c r="O58" s="37"/>
    </row>
    <row r="59">
      <c r="A59" s="86"/>
      <c r="B59" s="22">
        <v>55.0</v>
      </c>
      <c r="C59" s="23" t="s">
        <v>95</v>
      </c>
      <c r="D59" s="23" t="s">
        <v>96</v>
      </c>
      <c r="E59" s="88" t="str">
        <f t="shared" si="2"/>
        <v>7번 중 4번 참여</v>
      </c>
      <c r="F59" s="89">
        <f t="shared" si="3"/>
        <v>0.5714285714</v>
      </c>
      <c r="G59" s="90"/>
      <c r="H59" s="90"/>
      <c r="I59" s="90" t="s">
        <v>25</v>
      </c>
      <c r="J59" s="90"/>
      <c r="K59" s="90"/>
      <c r="L59" s="90" t="s">
        <v>25</v>
      </c>
      <c r="M59" s="90" t="s">
        <v>25</v>
      </c>
      <c r="N59" s="90" t="s">
        <v>25</v>
      </c>
      <c r="O59" s="91" t="s">
        <v>25</v>
      </c>
    </row>
    <row r="60">
      <c r="A60" s="92"/>
      <c r="B60" s="30">
        <v>56.0</v>
      </c>
      <c r="C60" s="31" t="s">
        <v>97</v>
      </c>
      <c r="D60" s="31" t="s">
        <v>98</v>
      </c>
      <c r="E60" s="88" t="str">
        <f t="shared" si="2"/>
        <v/>
      </c>
      <c r="F60" s="89" t="str">
        <f t="shared" si="3"/>
        <v/>
      </c>
      <c r="G60" s="90"/>
      <c r="H60" s="90"/>
      <c r="I60" s="90"/>
      <c r="J60" s="90"/>
      <c r="K60" s="90"/>
      <c r="L60" s="90"/>
      <c r="M60" s="90"/>
      <c r="N60" s="41"/>
      <c r="O60" s="37"/>
    </row>
    <row r="61">
      <c r="A61" s="86"/>
      <c r="B61" s="22">
        <v>57.0</v>
      </c>
      <c r="C61" s="23" t="s">
        <v>99</v>
      </c>
      <c r="D61" s="23" t="s">
        <v>100</v>
      </c>
      <c r="E61" s="88" t="str">
        <f t="shared" si="2"/>
        <v>7번 중 3번 참여</v>
      </c>
      <c r="F61" s="89">
        <f t="shared" si="3"/>
        <v>0.4285714286</v>
      </c>
      <c r="G61" s="90"/>
      <c r="H61" s="90" t="s">
        <v>80</v>
      </c>
      <c r="I61" s="90" t="s">
        <v>80</v>
      </c>
      <c r="J61" s="90" t="s">
        <v>80</v>
      </c>
      <c r="K61" s="90" t="s">
        <v>80</v>
      </c>
      <c r="L61" s="90" t="s">
        <v>25</v>
      </c>
      <c r="M61" s="90" t="s">
        <v>25</v>
      </c>
      <c r="N61" s="90" t="s">
        <v>25</v>
      </c>
      <c r="O61" s="37"/>
    </row>
    <row r="62">
      <c r="A62" s="92"/>
      <c r="B62" s="30">
        <v>58.0</v>
      </c>
      <c r="C62" s="31" t="s">
        <v>101</v>
      </c>
      <c r="D62" s="97" t="s">
        <v>102</v>
      </c>
      <c r="E62" s="88" t="str">
        <f t="shared" si="2"/>
        <v>7번 중 7번 참여</v>
      </c>
      <c r="F62" s="89">
        <f t="shared" si="3"/>
        <v>1</v>
      </c>
      <c r="G62" s="90"/>
      <c r="H62" s="90" t="s">
        <v>25</v>
      </c>
      <c r="I62" s="90" t="s">
        <v>25</v>
      </c>
      <c r="J62" s="90" t="s">
        <v>25</v>
      </c>
      <c r="K62" s="90" t="s">
        <v>25</v>
      </c>
      <c r="L62" s="90" t="s">
        <v>25</v>
      </c>
      <c r="M62" s="90" t="s">
        <v>25</v>
      </c>
      <c r="N62" s="90" t="s">
        <v>25</v>
      </c>
      <c r="O62" s="37"/>
    </row>
    <row r="63">
      <c r="A63" s="86"/>
      <c r="B63" s="22">
        <v>59.0</v>
      </c>
      <c r="C63" s="23" t="s">
        <v>103</v>
      </c>
      <c r="D63" s="23" t="s">
        <v>104</v>
      </c>
      <c r="E63" s="88" t="str">
        <f t="shared" si="2"/>
        <v>7번 중 7번 참여</v>
      </c>
      <c r="F63" s="89">
        <f t="shared" si="3"/>
        <v>1</v>
      </c>
      <c r="G63" s="90"/>
      <c r="H63" s="90" t="s">
        <v>25</v>
      </c>
      <c r="I63" s="90" t="s">
        <v>25</v>
      </c>
      <c r="J63" s="90" t="s">
        <v>25</v>
      </c>
      <c r="K63" s="90" t="s">
        <v>25</v>
      </c>
      <c r="L63" s="90" t="s">
        <v>25</v>
      </c>
      <c r="M63" s="90" t="s">
        <v>25</v>
      </c>
      <c r="N63" s="90" t="s">
        <v>25</v>
      </c>
      <c r="O63" s="91" t="s">
        <v>25</v>
      </c>
    </row>
    <row r="64">
      <c r="A64" s="92"/>
      <c r="B64" s="30">
        <v>60.0</v>
      </c>
      <c r="C64" s="111" t="s">
        <v>105</v>
      </c>
      <c r="D64" s="112" t="s">
        <v>106</v>
      </c>
      <c r="E64" s="88" t="str">
        <f t="shared" si="2"/>
        <v/>
      </c>
      <c r="F64" s="89" t="str">
        <f t="shared" si="3"/>
        <v/>
      </c>
      <c r="G64" s="90"/>
      <c r="H64" s="90"/>
      <c r="I64" s="90"/>
      <c r="J64" s="90"/>
      <c r="K64" s="90"/>
      <c r="L64" s="90"/>
      <c r="M64" s="41"/>
      <c r="N64" s="41"/>
      <c r="O64" s="37"/>
    </row>
    <row r="65">
      <c r="A65" s="86"/>
      <c r="B65" s="22">
        <v>61.0</v>
      </c>
      <c r="C65" s="113" t="s">
        <v>107</v>
      </c>
      <c r="D65" s="114" t="s">
        <v>108</v>
      </c>
      <c r="E65" s="88" t="str">
        <f t="shared" ref="E65:E66" si="4">IF(COUNTIF(G65:I65, "완료")=0, "", COUNTIF($G$4:$N$4, "완료") &amp; "번 중 " &amp; COUNTIF(G65:I65, "완료") &amp; "번 참여")
</f>
        <v/>
      </c>
      <c r="F65" s="89" t="str">
        <f t="shared" ref="F65:F66" si="5">IF(COUNTIF($G$4:$N$4, "완료")=0, "", IF(COUNTIF(G65:I65, "완료")=0, "", COUNTIF(G65:I65, "완료") / COUNTIF($G$4:$N$4, "완료")))
</f>
        <v/>
      </c>
      <c r="G65" s="41"/>
      <c r="H65" s="41"/>
      <c r="I65" s="41"/>
      <c r="J65" s="90"/>
      <c r="K65" s="41"/>
      <c r="L65" s="41"/>
      <c r="M65" s="41"/>
      <c r="N65" s="41"/>
      <c r="O65" s="41"/>
    </row>
    <row r="66">
      <c r="A66" s="92"/>
      <c r="B66" s="30">
        <v>62.0</v>
      </c>
      <c r="C66" s="95" t="s">
        <v>109</v>
      </c>
      <c r="D66" s="95" t="s">
        <v>110</v>
      </c>
      <c r="E66" s="88" t="str">
        <f t="shared" si="4"/>
        <v/>
      </c>
      <c r="F66" s="89" t="str">
        <f t="shared" si="5"/>
        <v/>
      </c>
      <c r="G66" s="90"/>
      <c r="H66" s="90"/>
      <c r="I66" s="90"/>
      <c r="J66" s="90"/>
      <c r="K66" s="90"/>
      <c r="L66" s="90"/>
      <c r="M66" s="90"/>
      <c r="N66" s="90"/>
      <c r="O66" s="41"/>
    </row>
    <row r="67">
      <c r="A67" s="86"/>
      <c r="B67" s="22">
        <v>63.0</v>
      </c>
      <c r="C67" s="31" t="s">
        <v>111</v>
      </c>
      <c r="D67" s="31" t="s">
        <v>112</v>
      </c>
      <c r="E67" s="88" t="str">
        <f t="shared" ref="E67:E77" si="6">IF(COUNTIF(G67:N67, "완료")=0, "", COUNTIF($G$4:$N$4, "완료") &amp; "번 중 " &amp; COUNTIF(G67:N67, "완료") &amp; "번 참여")
</f>
        <v/>
      </c>
      <c r="F67" s="89" t="str">
        <f t="shared" ref="F67:F77" si="7">IF(COUNTIF($G$4:$N$4, "완료")=0, "", IF(COUNTIF(G67:N67, "완료")=0, "", COUNTIF(G67:N67, "완료") / COUNTIF($G$4:$N$4, "완료")))
</f>
        <v/>
      </c>
      <c r="G67" s="41"/>
      <c r="H67" s="41"/>
      <c r="I67" s="41"/>
      <c r="J67" s="90"/>
      <c r="K67" s="41"/>
      <c r="L67" s="41"/>
      <c r="M67" s="41"/>
      <c r="N67" s="90"/>
      <c r="O67" s="37"/>
    </row>
    <row r="68">
      <c r="A68" s="92"/>
      <c r="B68" s="30">
        <v>64.0</v>
      </c>
      <c r="C68" s="23" t="s">
        <v>113</v>
      </c>
      <c r="D68" s="23" t="s">
        <v>114</v>
      </c>
      <c r="E68" s="88" t="str">
        <f t="shared" si="6"/>
        <v>7번 중 7번 참여</v>
      </c>
      <c r="F68" s="89">
        <f t="shared" si="7"/>
        <v>1</v>
      </c>
      <c r="G68" s="90"/>
      <c r="H68" s="90" t="s">
        <v>25</v>
      </c>
      <c r="I68" s="90" t="s">
        <v>25</v>
      </c>
      <c r="J68" s="90" t="s">
        <v>25</v>
      </c>
      <c r="K68" s="90" t="s">
        <v>25</v>
      </c>
      <c r="L68" s="90" t="s">
        <v>25</v>
      </c>
      <c r="M68" s="90" t="s">
        <v>25</v>
      </c>
      <c r="N68" s="90" t="s">
        <v>25</v>
      </c>
      <c r="O68" s="91" t="s">
        <v>25</v>
      </c>
    </row>
    <row r="69">
      <c r="A69" s="86"/>
      <c r="B69" s="22">
        <v>65.0</v>
      </c>
      <c r="C69" s="115" t="s">
        <v>115</v>
      </c>
      <c r="D69" s="116" t="s">
        <v>116</v>
      </c>
      <c r="E69" s="88" t="str">
        <f t="shared" si="6"/>
        <v/>
      </c>
      <c r="F69" s="89" t="str">
        <f t="shared" si="7"/>
        <v/>
      </c>
      <c r="G69" s="41"/>
      <c r="H69" s="41"/>
      <c r="I69" s="41"/>
      <c r="J69" s="41"/>
      <c r="K69" s="41"/>
      <c r="L69" s="41"/>
      <c r="M69" s="41"/>
      <c r="N69" s="41"/>
      <c r="O69" s="37"/>
    </row>
    <row r="70">
      <c r="A70" s="117" t="s">
        <v>204</v>
      </c>
      <c r="B70" s="118">
        <v>66.0</v>
      </c>
      <c r="C70" s="119" t="s">
        <v>118</v>
      </c>
      <c r="D70" s="120" t="s">
        <v>119</v>
      </c>
      <c r="E70" s="88" t="str">
        <f t="shared" si="6"/>
        <v>7번 중 7번 참여</v>
      </c>
      <c r="F70" s="89">
        <f t="shared" si="7"/>
        <v>1</v>
      </c>
      <c r="G70" s="90"/>
      <c r="H70" s="90" t="s">
        <v>25</v>
      </c>
      <c r="I70" s="90" t="s">
        <v>25</v>
      </c>
      <c r="J70" s="90" t="s">
        <v>25</v>
      </c>
      <c r="K70" s="90" t="s">
        <v>25</v>
      </c>
      <c r="L70" s="90" t="s">
        <v>25</v>
      </c>
      <c r="M70" s="90" t="s">
        <v>25</v>
      </c>
      <c r="N70" s="90" t="s">
        <v>25</v>
      </c>
      <c r="O70" s="91" t="s">
        <v>25</v>
      </c>
    </row>
    <row r="71">
      <c r="A71" s="117"/>
      <c r="B71" s="121">
        <v>67.0</v>
      </c>
      <c r="C71" s="94" t="s">
        <v>120</v>
      </c>
      <c r="D71" s="93" t="s">
        <v>121</v>
      </c>
      <c r="E71" s="88" t="str">
        <f t="shared" si="6"/>
        <v>7번 중 7번 참여</v>
      </c>
      <c r="F71" s="89">
        <f t="shared" si="7"/>
        <v>1</v>
      </c>
      <c r="G71" s="90"/>
      <c r="H71" s="90" t="s">
        <v>25</v>
      </c>
      <c r="I71" s="90" t="s">
        <v>25</v>
      </c>
      <c r="J71" s="90" t="s">
        <v>25</v>
      </c>
      <c r="K71" s="90" t="s">
        <v>25</v>
      </c>
      <c r="L71" s="90" t="s">
        <v>25</v>
      </c>
      <c r="M71" s="90" t="s">
        <v>25</v>
      </c>
      <c r="N71" s="90" t="s">
        <v>25</v>
      </c>
      <c r="O71" s="91" t="s">
        <v>25</v>
      </c>
    </row>
    <row r="72">
      <c r="A72" s="92"/>
      <c r="B72" s="30">
        <v>68.0</v>
      </c>
      <c r="C72" s="101" t="s">
        <v>122</v>
      </c>
      <c r="D72" s="122" t="s">
        <v>123</v>
      </c>
      <c r="E72" s="88" t="str">
        <f t="shared" si="6"/>
        <v/>
      </c>
      <c r="F72" s="89" t="str">
        <f t="shared" si="7"/>
        <v/>
      </c>
      <c r="G72" s="41"/>
      <c r="H72" s="41"/>
      <c r="I72" s="41"/>
      <c r="J72" s="41"/>
      <c r="K72" s="41"/>
      <c r="L72" s="41"/>
      <c r="M72" s="41"/>
      <c r="N72" s="41"/>
      <c r="O72" s="37"/>
    </row>
    <row r="73">
      <c r="A73" s="86"/>
      <c r="B73" s="22">
        <v>69.0</v>
      </c>
      <c r="C73" s="23" t="s">
        <v>124</v>
      </c>
      <c r="D73" s="23" t="s">
        <v>125</v>
      </c>
      <c r="E73" s="88" t="str">
        <f t="shared" si="6"/>
        <v>7번 중 4번 참여</v>
      </c>
      <c r="F73" s="89">
        <f t="shared" si="7"/>
        <v>0.5714285714</v>
      </c>
      <c r="G73" s="90"/>
      <c r="H73" s="90" t="s">
        <v>25</v>
      </c>
      <c r="I73" s="90" t="s">
        <v>25</v>
      </c>
      <c r="J73" s="90" t="s">
        <v>25</v>
      </c>
      <c r="K73" s="90" t="s">
        <v>25</v>
      </c>
      <c r="L73" s="90"/>
      <c r="M73" s="90"/>
      <c r="N73" s="90"/>
      <c r="O73" s="91"/>
    </row>
    <row r="74">
      <c r="A74" s="92"/>
      <c r="B74" s="30">
        <v>70.0</v>
      </c>
      <c r="C74" s="61" t="s">
        <v>126</v>
      </c>
      <c r="D74" s="123" t="s">
        <v>127</v>
      </c>
      <c r="E74" s="88" t="str">
        <f t="shared" si="6"/>
        <v/>
      </c>
      <c r="F74" s="89" t="str">
        <f t="shared" si="7"/>
        <v/>
      </c>
      <c r="G74" s="41"/>
      <c r="H74" s="90"/>
      <c r="I74" s="90"/>
      <c r="J74" s="90"/>
      <c r="K74" s="41"/>
      <c r="L74" s="41"/>
      <c r="M74" s="41"/>
      <c r="N74" s="41"/>
      <c r="O74" s="37"/>
    </row>
    <row r="75">
      <c r="A75" s="86"/>
      <c r="B75" s="22">
        <v>71.0</v>
      </c>
      <c r="C75" s="95" t="s">
        <v>128</v>
      </c>
      <c r="D75" s="124" t="s">
        <v>129</v>
      </c>
      <c r="E75" s="88" t="str">
        <f t="shared" si="6"/>
        <v/>
      </c>
      <c r="F75" s="89" t="str">
        <f t="shared" si="7"/>
        <v/>
      </c>
      <c r="G75" s="90"/>
      <c r="H75" s="90"/>
      <c r="I75" s="90"/>
      <c r="J75" s="90"/>
      <c r="K75" s="90"/>
      <c r="L75" s="90"/>
      <c r="M75" s="90"/>
      <c r="N75" s="90"/>
      <c r="O75" s="37"/>
    </row>
    <row r="76">
      <c r="A76" s="120"/>
      <c r="B76" s="94">
        <v>72.0</v>
      </c>
      <c r="C76" s="94" t="s">
        <v>130</v>
      </c>
      <c r="D76" s="101" t="s">
        <v>131</v>
      </c>
      <c r="E76" s="88" t="str">
        <f t="shared" si="6"/>
        <v/>
      </c>
      <c r="F76" s="89" t="str">
        <f t="shared" si="7"/>
        <v/>
      </c>
      <c r="G76" s="41"/>
      <c r="H76" s="41"/>
      <c r="I76" s="41"/>
      <c r="J76" s="41"/>
      <c r="K76" s="41"/>
      <c r="L76" s="41"/>
      <c r="M76" s="41"/>
      <c r="N76" s="41"/>
      <c r="O76" s="37"/>
    </row>
    <row r="77">
      <c r="A77" s="94"/>
      <c r="B77" s="94">
        <v>73.0</v>
      </c>
      <c r="C77" s="93" t="s">
        <v>132</v>
      </c>
      <c r="D77" s="23" t="s">
        <v>133</v>
      </c>
      <c r="E77" s="88" t="str">
        <f t="shared" si="6"/>
        <v/>
      </c>
      <c r="F77" s="89" t="str">
        <f t="shared" si="7"/>
        <v/>
      </c>
      <c r="G77" s="90"/>
      <c r="H77" s="41"/>
      <c r="I77" s="41"/>
      <c r="J77" s="41"/>
      <c r="K77" s="41"/>
      <c r="L77" s="41"/>
      <c r="M77" s="41"/>
      <c r="N77" s="41"/>
      <c r="O77" s="37"/>
    </row>
    <row r="78">
      <c r="A78" s="92"/>
      <c r="B78" s="30">
        <v>74.0</v>
      </c>
      <c r="C78" s="98"/>
      <c r="D78" s="98"/>
      <c r="E78" s="88"/>
      <c r="F78" s="89"/>
      <c r="G78" s="90"/>
      <c r="H78" s="90"/>
      <c r="I78" s="90"/>
      <c r="J78" s="90"/>
      <c r="K78" s="90"/>
      <c r="L78" s="90"/>
      <c r="M78" s="90"/>
      <c r="N78" s="90"/>
      <c r="O78" s="37"/>
    </row>
    <row r="79">
      <c r="A79" s="86"/>
      <c r="B79" s="22">
        <v>75.0</v>
      </c>
      <c r="C79" s="101" t="s">
        <v>136</v>
      </c>
      <c r="D79" s="31" t="s">
        <v>137</v>
      </c>
      <c r="E79" s="88" t="str">
        <f t="shared" ref="E79:E124" si="8">IF(COUNTIF(G79:N79, "완료")=0, "", COUNTIF($G$4:$N$4, "완료") &amp; "번 중 " &amp; COUNTIF(G79:N79, "완료") &amp; "번 참여")
</f>
        <v/>
      </c>
      <c r="F79" s="89" t="str">
        <f t="shared" ref="F79:F124" si="9">IF(COUNTIF($G$4:$N$4, "완료")=0, "", IF(COUNTIF(G79:N79, "완료")=0, "", COUNTIF(G79:N79, "완료") / COUNTIF($G$4:$N$4, "완료")))
</f>
        <v/>
      </c>
      <c r="G79" s="41"/>
      <c r="H79" s="41"/>
      <c r="I79" s="41"/>
      <c r="J79" s="41"/>
      <c r="K79" s="41"/>
      <c r="L79" s="41"/>
      <c r="M79" s="41"/>
      <c r="N79" s="41"/>
      <c r="O79" s="37"/>
    </row>
    <row r="80">
      <c r="A80" s="92"/>
      <c r="B80" s="30">
        <v>76.0</v>
      </c>
      <c r="C80" s="95" t="s">
        <v>138</v>
      </c>
      <c r="D80" s="23" t="s">
        <v>139</v>
      </c>
      <c r="E80" s="88" t="str">
        <f t="shared" si="8"/>
        <v/>
      </c>
      <c r="F80" s="89" t="str">
        <f t="shared" si="9"/>
        <v/>
      </c>
      <c r="G80" s="41"/>
      <c r="H80" s="41"/>
      <c r="I80" s="41"/>
      <c r="J80" s="41"/>
      <c r="K80" s="41"/>
      <c r="L80" s="41"/>
      <c r="M80" s="41"/>
      <c r="N80" s="41"/>
      <c r="O80" s="37"/>
    </row>
    <row r="81">
      <c r="A81" s="86"/>
      <c r="B81" s="22">
        <v>77.0</v>
      </c>
      <c r="C81" s="93" t="s">
        <v>140</v>
      </c>
      <c r="D81" s="23" t="s">
        <v>141</v>
      </c>
      <c r="E81" s="88" t="str">
        <f t="shared" si="8"/>
        <v/>
      </c>
      <c r="F81" s="89" t="str">
        <f t="shared" si="9"/>
        <v/>
      </c>
      <c r="G81" s="90"/>
      <c r="H81" s="90"/>
      <c r="I81" s="90"/>
      <c r="J81" s="90"/>
      <c r="K81" s="90"/>
      <c r="L81" s="90"/>
      <c r="M81" s="90"/>
      <c r="N81" s="90"/>
      <c r="O81" s="37"/>
    </row>
    <row r="82">
      <c r="A82" s="92"/>
      <c r="B82" s="30">
        <v>78.0</v>
      </c>
      <c r="C82" s="23" t="s">
        <v>142</v>
      </c>
      <c r="D82" s="23" t="s">
        <v>143</v>
      </c>
      <c r="E82" s="88" t="str">
        <f t="shared" si="8"/>
        <v/>
      </c>
      <c r="F82" s="89" t="str">
        <f t="shared" si="9"/>
        <v/>
      </c>
      <c r="G82" s="41"/>
      <c r="H82" s="41"/>
      <c r="I82" s="41"/>
      <c r="J82" s="41"/>
      <c r="K82" s="41"/>
      <c r="L82" s="41"/>
      <c r="M82" s="41"/>
      <c r="N82" s="41"/>
      <c r="O82" s="37"/>
    </row>
    <row r="83">
      <c r="A83" s="86"/>
      <c r="B83" s="22">
        <v>79.0</v>
      </c>
      <c r="C83" s="31" t="s">
        <v>144</v>
      </c>
      <c r="D83" s="31" t="s">
        <v>145</v>
      </c>
      <c r="E83" s="88" t="str">
        <f t="shared" si="8"/>
        <v/>
      </c>
      <c r="F83" s="89" t="str">
        <f t="shared" si="9"/>
        <v/>
      </c>
      <c r="G83" s="41"/>
      <c r="H83" s="41"/>
      <c r="I83" s="41"/>
      <c r="J83" s="41"/>
      <c r="K83" s="41"/>
      <c r="L83" s="41"/>
      <c r="M83" s="41"/>
      <c r="N83" s="41"/>
      <c r="O83" s="37"/>
    </row>
    <row r="84">
      <c r="A84" s="92"/>
      <c r="B84" s="30">
        <v>80.0</v>
      </c>
      <c r="C84" s="23" t="s">
        <v>146</v>
      </c>
      <c r="D84" s="23" t="s">
        <v>147</v>
      </c>
      <c r="E84" s="88" t="str">
        <f t="shared" si="8"/>
        <v>7번 중 7번 참여</v>
      </c>
      <c r="F84" s="89">
        <f t="shared" si="9"/>
        <v>1</v>
      </c>
      <c r="G84" s="90"/>
      <c r="H84" s="90" t="s">
        <v>25</v>
      </c>
      <c r="I84" s="90" t="s">
        <v>25</v>
      </c>
      <c r="J84" s="90" t="s">
        <v>25</v>
      </c>
      <c r="K84" s="90" t="s">
        <v>25</v>
      </c>
      <c r="L84" s="90" t="s">
        <v>25</v>
      </c>
      <c r="M84" s="90" t="s">
        <v>25</v>
      </c>
      <c r="N84" s="90" t="s">
        <v>25</v>
      </c>
      <c r="O84" s="91" t="s">
        <v>25</v>
      </c>
    </row>
    <row r="85">
      <c r="A85" s="86"/>
      <c r="B85" s="22">
        <v>81.0</v>
      </c>
      <c r="C85" s="31" t="s">
        <v>148</v>
      </c>
      <c r="D85" s="31" t="s">
        <v>149</v>
      </c>
      <c r="E85" s="88" t="str">
        <f t="shared" si="8"/>
        <v>7번 중 7번 참여</v>
      </c>
      <c r="F85" s="89">
        <f t="shared" si="9"/>
        <v>1</v>
      </c>
      <c r="G85" s="90"/>
      <c r="H85" s="90" t="s">
        <v>25</v>
      </c>
      <c r="I85" s="90" t="s">
        <v>25</v>
      </c>
      <c r="J85" s="90" t="s">
        <v>25</v>
      </c>
      <c r="K85" s="90" t="s">
        <v>25</v>
      </c>
      <c r="L85" s="90" t="s">
        <v>25</v>
      </c>
      <c r="M85" s="90" t="s">
        <v>25</v>
      </c>
      <c r="N85" s="90" t="s">
        <v>25</v>
      </c>
      <c r="O85" s="91" t="s">
        <v>25</v>
      </c>
    </row>
    <row r="86">
      <c r="A86" s="92"/>
      <c r="B86" s="30">
        <v>82.0</v>
      </c>
      <c r="C86" s="31" t="s">
        <v>150</v>
      </c>
      <c r="D86" s="107" t="s">
        <v>151</v>
      </c>
      <c r="E86" s="88" t="str">
        <f t="shared" si="8"/>
        <v/>
      </c>
      <c r="F86" s="89" t="str">
        <f t="shared" si="9"/>
        <v/>
      </c>
      <c r="G86" s="41"/>
      <c r="H86" s="41"/>
      <c r="I86" s="41"/>
      <c r="J86" s="41"/>
      <c r="K86" s="41"/>
      <c r="L86" s="41"/>
      <c r="M86" s="41"/>
      <c r="N86" s="41"/>
      <c r="O86" s="37"/>
    </row>
    <row r="87">
      <c r="A87" s="86"/>
      <c r="B87" s="22">
        <v>83.0</v>
      </c>
      <c r="C87" s="23" t="s">
        <v>152</v>
      </c>
      <c r="D87" s="23" t="s">
        <v>153</v>
      </c>
      <c r="E87" s="88" t="str">
        <f t="shared" si="8"/>
        <v/>
      </c>
      <c r="F87" s="89" t="str">
        <f t="shared" si="9"/>
        <v/>
      </c>
      <c r="G87" s="41"/>
      <c r="H87" s="90"/>
      <c r="I87" s="90"/>
      <c r="J87" s="90"/>
      <c r="K87" s="41"/>
      <c r="L87" s="41"/>
      <c r="M87" s="41"/>
      <c r="N87" s="41"/>
      <c r="O87" s="37"/>
    </row>
    <row r="88">
      <c r="A88" s="92"/>
      <c r="B88" s="30">
        <v>84.0</v>
      </c>
      <c r="C88" s="31" t="s">
        <v>154</v>
      </c>
      <c r="D88" s="31" t="s">
        <v>155</v>
      </c>
      <c r="E88" s="88" t="str">
        <f t="shared" si="8"/>
        <v>7번 중 7번 참여</v>
      </c>
      <c r="F88" s="89">
        <f t="shared" si="9"/>
        <v>1</v>
      </c>
      <c r="G88" s="90"/>
      <c r="H88" s="90" t="s">
        <v>25</v>
      </c>
      <c r="I88" s="90" t="s">
        <v>25</v>
      </c>
      <c r="J88" s="90" t="s">
        <v>25</v>
      </c>
      <c r="K88" s="90" t="s">
        <v>25</v>
      </c>
      <c r="L88" s="90" t="s">
        <v>25</v>
      </c>
      <c r="M88" s="90" t="s">
        <v>25</v>
      </c>
      <c r="N88" s="90" t="s">
        <v>25</v>
      </c>
      <c r="O88" s="91" t="s">
        <v>25</v>
      </c>
    </row>
    <row r="89">
      <c r="A89" s="86"/>
      <c r="B89" s="22">
        <v>85.0</v>
      </c>
      <c r="C89" s="23" t="s">
        <v>156</v>
      </c>
      <c r="D89" s="23" t="s">
        <v>157</v>
      </c>
      <c r="E89" s="88" t="str">
        <f t="shared" si="8"/>
        <v>7번 중 6번 참여</v>
      </c>
      <c r="F89" s="89">
        <f t="shared" si="9"/>
        <v>0.8571428571</v>
      </c>
      <c r="G89" s="90"/>
      <c r="H89" s="90" t="s">
        <v>25</v>
      </c>
      <c r="I89" s="90" t="s">
        <v>25</v>
      </c>
      <c r="J89" s="90" t="s">
        <v>25</v>
      </c>
      <c r="K89" s="90" t="s">
        <v>25</v>
      </c>
      <c r="L89" s="90" t="s">
        <v>25</v>
      </c>
      <c r="M89" s="90"/>
      <c r="N89" s="90" t="s">
        <v>25</v>
      </c>
      <c r="O89" s="91" t="s">
        <v>25</v>
      </c>
    </row>
    <row r="90">
      <c r="A90" s="92"/>
      <c r="B90" s="30">
        <v>86.0</v>
      </c>
      <c r="C90" s="125" t="s">
        <v>158</v>
      </c>
      <c r="D90" s="125" t="s">
        <v>159</v>
      </c>
      <c r="E90" s="88" t="str">
        <f t="shared" si="8"/>
        <v>7번 중 7번 참여</v>
      </c>
      <c r="F90" s="89">
        <f t="shared" si="9"/>
        <v>1</v>
      </c>
      <c r="G90" s="90"/>
      <c r="H90" s="90" t="s">
        <v>25</v>
      </c>
      <c r="I90" s="90" t="s">
        <v>25</v>
      </c>
      <c r="J90" s="90" t="s">
        <v>25</v>
      </c>
      <c r="K90" s="126" t="s">
        <v>25</v>
      </c>
      <c r="L90" s="90" t="s">
        <v>25</v>
      </c>
      <c r="M90" s="90" t="s">
        <v>25</v>
      </c>
      <c r="N90" s="90" t="s">
        <v>25</v>
      </c>
      <c r="O90" s="91" t="s">
        <v>25</v>
      </c>
    </row>
    <row r="91">
      <c r="A91" s="86"/>
      <c r="B91" s="22">
        <v>87.0</v>
      </c>
      <c r="C91" s="127" t="s">
        <v>160</v>
      </c>
      <c r="D91" s="127" t="s">
        <v>161</v>
      </c>
      <c r="E91" s="88" t="str">
        <f t="shared" si="8"/>
        <v>7번 중 7번 참여</v>
      </c>
      <c r="F91" s="89">
        <f t="shared" si="9"/>
        <v>1</v>
      </c>
      <c r="G91" s="90"/>
      <c r="H91" s="90" t="s">
        <v>25</v>
      </c>
      <c r="I91" s="90" t="s">
        <v>25</v>
      </c>
      <c r="J91" s="90" t="s">
        <v>25</v>
      </c>
      <c r="K91" s="90" t="s">
        <v>25</v>
      </c>
      <c r="L91" s="90" t="s">
        <v>25</v>
      </c>
      <c r="M91" s="90" t="s">
        <v>25</v>
      </c>
      <c r="N91" s="90" t="s">
        <v>25</v>
      </c>
      <c r="O91" s="91" t="s">
        <v>25</v>
      </c>
    </row>
    <row r="92">
      <c r="A92" s="92"/>
      <c r="B92" s="30">
        <v>88.0</v>
      </c>
      <c r="C92" s="31" t="s">
        <v>162</v>
      </c>
      <c r="D92" s="31" t="s">
        <v>163</v>
      </c>
      <c r="E92" s="88" t="str">
        <f t="shared" si="8"/>
        <v>7번 중 6번 참여</v>
      </c>
      <c r="F92" s="89">
        <f t="shared" si="9"/>
        <v>0.8571428571</v>
      </c>
      <c r="G92" s="90"/>
      <c r="H92" s="90" t="s">
        <v>25</v>
      </c>
      <c r="I92" s="90" t="s">
        <v>25</v>
      </c>
      <c r="J92" s="90"/>
      <c r="K92" s="90" t="s">
        <v>25</v>
      </c>
      <c r="L92" s="90" t="s">
        <v>25</v>
      </c>
      <c r="M92" s="90" t="s">
        <v>25</v>
      </c>
      <c r="N92" s="90" t="s">
        <v>25</v>
      </c>
      <c r="O92" s="91" t="s">
        <v>25</v>
      </c>
    </row>
    <row r="93">
      <c r="A93" s="86"/>
      <c r="B93" s="22">
        <v>89.0</v>
      </c>
      <c r="C93" s="23" t="s">
        <v>164</v>
      </c>
      <c r="D93" s="23" t="s">
        <v>165</v>
      </c>
      <c r="E93" s="88" t="str">
        <f t="shared" si="8"/>
        <v/>
      </c>
      <c r="F93" s="89" t="str">
        <f t="shared" si="9"/>
        <v/>
      </c>
      <c r="G93" s="90"/>
      <c r="H93" s="90"/>
      <c r="I93" s="90"/>
      <c r="J93" s="90"/>
      <c r="K93" s="90"/>
      <c r="L93" s="90"/>
      <c r="M93" s="90"/>
      <c r="N93" s="90"/>
      <c r="O93" s="37"/>
    </row>
    <row r="94">
      <c r="A94" s="92"/>
      <c r="B94" s="30">
        <v>90.0</v>
      </c>
      <c r="C94" s="125" t="s">
        <v>166</v>
      </c>
      <c r="D94" s="125" t="s">
        <v>167</v>
      </c>
      <c r="E94" s="88" t="str">
        <f t="shared" si="8"/>
        <v>7번 중 4번 참여</v>
      </c>
      <c r="F94" s="89">
        <f t="shared" si="9"/>
        <v>0.5714285714</v>
      </c>
      <c r="G94" s="90"/>
      <c r="H94" s="90" t="s">
        <v>25</v>
      </c>
      <c r="I94" s="90"/>
      <c r="J94" s="90" t="s">
        <v>25</v>
      </c>
      <c r="K94" s="90" t="s">
        <v>25</v>
      </c>
      <c r="L94" s="90" t="s">
        <v>25</v>
      </c>
      <c r="M94" s="90"/>
      <c r="N94" s="90"/>
      <c r="O94" s="91" t="s">
        <v>25</v>
      </c>
    </row>
    <row r="95">
      <c r="A95" s="86"/>
      <c r="B95" s="22">
        <v>91.0</v>
      </c>
      <c r="C95" s="23" t="s">
        <v>168</v>
      </c>
      <c r="D95" s="100" t="s">
        <v>169</v>
      </c>
      <c r="E95" s="88" t="str">
        <f t="shared" si="8"/>
        <v/>
      </c>
      <c r="F95" s="89" t="str">
        <f t="shared" si="9"/>
        <v/>
      </c>
      <c r="G95" s="90"/>
      <c r="H95" s="90"/>
      <c r="I95" s="90"/>
      <c r="J95" s="90"/>
      <c r="K95" s="90"/>
      <c r="L95" s="90"/>
      <c r="M95" s="90"/>
      <c r="N95" s="41"/>
      <c r="O95" s="37"/>
    </row>
    <row r="96">
      <c r="A96" s="92"/>
      <c r="B96" s="30">
        <v>92.0</v>
      </c>
      <c r="C96" s="31" t="s">
        <v>170</v>
      </c>
      <c r="D96" s="31" t="s">
        <v>171</v>
      </c>
      <c r="E96" s="88" t="str">
        <f t="shared" si="8"/>
        <v/>
      </c>
      <c r="F96" s="89" t="str">
        <f t="shared" si="9"/>
        <v/>
      </c>
      <c r="G96" s="90"/>
      <c r="H96" s="90"/>
      <c r="I96" s="90"/>
      <c r="J96" s="90"/>
      <c r="K96" s="90"/>
      <c r="L96" s="90"/>
      <c r="M96" s="90"/>
      <c r="N96" s="90"/>
      <c r="O96" s="37"/>
    </row>
    <row r="97">
      <c r="A97" s="86"/>
      <c r="B97" s="22">
        <v>93.0</v>
      </c>
      <c r="C97" s="23" t="s">
        <v>172</v>
      </c>
      <c r="D97" s="100" t="s">
        <v>173</v>
      </c>
      <c r="E97" s="88" t="str">
        <f t="shared" si="8"/>
        <v/>
      </c>
      <c r="F97" s="89" t="str">
        <f t="shared" si="9"/>
        <v/>
      </c>
      <c r="G97" s="90"/>
      <c r="H97" s="90"/>
      <c r="I97" s="90"/>
      <c r="J97" s="90"/>
      <c r="K97" s="90"/>
      <c r="L97" s="90"/>
      <c r="M97" s="90"/>
      <c r="N97" s="90"/>
      <c r="O97" s="37"/>
    </row>
    <row r="98">
      <c r="A98" s="92"/>
      <c r="B98" s="30">
        <v>94.0</v>
      </c>
      <c r="C98" s="31" t="s">
        <v>174</v>
      </c>
      <c r="D98" s="128" t="s">
        <v>175</v>
      </c>
      <c r="E98" s="88" t="str">
        <f t="shared" si="8"/>
        <v/>
      </c>
      <c r="F98" s="89" t="str">
        <f t="shared" si="9"/>
        <v/>
      </c>
      <c r="G98" s="41"/>
      <c r="H98" s="90"/>
      <c r="I98" s="90"/>
      <c r="J98" s="41"/>
      <c r="K98" s="90"/>
      <c r="L98" s="41"/>
      <c r="M98" s="41"/>
      <c r="N98" s="41"/>
      <c r="O98" s="37"/>
    </row>
    <row r="99">
      <c r="A99" s="86"/>
      <c r="B99" s="22">
        <v>95.0</v>
      </c>
      <c r="C99" s="109" t="s">
        <v>176</v>
      </c>
      <c r="D99" s="110" t="s">
        <v>177</v>
      </c>
      <c r="E99" s="88" t="str">
        <f t="shared" si="8"/>
        <v>7번 중 7번 참여</v>
      </c>
      <c r="F99" s="89">
        <f t="shared" si="9"/>
        <v>1</v>
      </c>
      <c r="G99" s="90"/>
      <c r="H99" s="90" t="s">
        <v>25</v>
      </c>
      <c r="I99" s="90" t="s">
        <v>25</v>
      </c>
      <c r="J99" s="90" t="s">
        <v>25</v>
      </c>
      <c r="K99" s="90" t="s">
        <v>25</v>
      </c>
      <c r="L99" s="90" t="s">
        <v>25</v>
      </c>
      <c r="M99" s="90" t="s">
        <v>25</v>
      </c>
      <c r="N99" s="90" t="s">
        <v>25</v>
      </c>
      <c r="O99" s="37"/>
    </row>
    <row r="100">
      <c r="A100" s="92"/>
      <c r="B100" s="30">
        <v>96.0</v>
      </c>
      <c r="C100" s="94" t="s">
        <v>178</v>
      </c>
      <c r="D100" s="129" t="s">
        <v>179</v>
      </c>
      <c r="E100" s="88" t="str">
        <f t="shared" si="8"/>
        <v/>
      </c>
      <c r="F100" s="89" t="str">
        <f t="shared" si="9"/>
        <v/>
      </c>
      <c r="G100" s="90"/>
      <c r="H100" s="90"/>
      <c r="I100" s="90"/>
      <c r="J100" s="90"/>
      <c r="K100" s="90"/>
      <c r="L100" s="90"/>
      <c r="M100" s="90"/>
      <c r="N100" s="41"/>
      <c r="O100" s="37"/>
    </row>
    <row r="101">
      <c r="A101" s="86"/>
      <c r="B101" s="22">
        <v>97.0</v>
      </c>
      <c r="C101" s="23" t="s">
        <v>180</v>
      </c>
      <c r="D101" s="100" t="s">
        <v>181</v>
      </c>
      <c r="E101" s="88" t="str">
        <f t="shared" si="8"/>
        <v>7번 중 7번 참여</v>
      </c>
      <c r="F101" s="89">
        <f t="shared" si="9"/>
        <v>1</v>
      </c>
      <c r="G101" s="90"/>
      <c r="H101" s="90" t="s">
        <v>25</v>
      </c>
      <c r="I101" s="90" t="s">
        <v>25</v>
      </c>
      <c r="J101" s="90" t="s">
        <v>25</v>
      </c>
      <c r="K101" s="90" t="s">
        <v>25</v>
      </c>
      <c r="L101" s="90" t="s">
        <v>25</v>
      </c>
      <c r="M101" s="90" t="s">
        <v>25</v>
      </c>
      <c r="N101" s="90" t="s">
        <v>25</v>
      </c>
      <c r="O101" s="91" t="s">
        <v>25</v>
      </c>
    </row>
    <row r="102">
      <c r="A102" s="92"/>
      <c r="B102" s="30">
        <v>98.0</v>
      </c>
      <c r="C102" s="130" t="s">
        <v>205</v>
      </c>
      <c r="D102" s="113" t="s">
        <v>206</v>
      </c>
      <c r="E102" s="88" t="str">
        <f t="shared" si="8"/>
        <v/>
      </c>
      <c r="F102" s="89" t="str">
        <f t="shared" si="9"/>
        <v/>
      </c>
      <c r="G102" s="90"/>
      <c r="H102" s="41"/>
      <c r="I102" s="90"/>
      <c r="J102" s="41"/>
      <c r="K102" s="41"/>
      <c r="L102" s="41"/>
      <c r="M102" s="90"/>
      <c r="N102" s="41"/>
      <c r="O102" s="37"/>
    </row>
    <row r="103">
      <c r="A103" s="86"/>
      <c r="B103" s="22">
        <v>99.0</v>
      </c>
      <c r="C103" s="50" t="s">
        <v>182</v>
      </c>
      <c r="D103" s="131" t="s">
        <v>183</v>
      </c>
      <c r="E103" s="88" t="str">
        <f t="shared" si="8"/>
        <v>7번 중 6번 참여</v>
      </c>
      <c r="F103" s="89">
        <f t="shared" si="9"/>
        <v>0.8571428571</v>
      </c>
      <c r="G103" s="90"/>
      <c r="H103" s="90" t="s">
        <v>25</v>
      </c>
      <c r="I103" s="90"/>
      <c r="J103" s="90" t="s">
        <v>25</v>
      </c>
      <c r="K103" s="90" t="s">
        <v>25</v>
      </c>
      <c r="L103" s="90" t="s">
        <v>25</v>
      </c>
      <c r="M103" s="90" t="s">
        <v>25</v>
      </c>
      <c r="N103" s="90" t="s">
        <v>25</v>
      </c>
      <c r="O103" s="91"/>
    </row>
    <row r="104">
      <c r="A104" s="92"/>
      <c r="B104" s="30">
        <v>100.0</v>
      </c>
      <c r="C104" s="101" t="s">
        <v>184</v>
      </c>
      <c r="D104" s="101" t="s">
        <v>185</v>
      </c>
      <c r="E104" s="88" t="str">
        <f t="shared" si="8"/>
        <v/>
      </c>
      <c r="F104" s="89" t="str">
        <f t="shared" si="9"/>
        <v/>
      </c>
      <c r="G104" s="90"/>
      <c r="H104" s="90"/>
      <c r="I104" s="90"/>
      <c r="J104" s="90"/>
      <c r="K104" s="90"/>
      <c r="L104" s="90"/>
      <c r="M104" s="90"/>
      <c r="N104" s="90"/>
      <c r="O104" s="37"/>
    </row>
    <row r="105">
      <c r="A105" s="86"/>
      <c r="B105" s="22">
        <v>101.0</v>
      </c>
      <c r="C105" s="132"/>
      <c r="D105" s="124"/>
      <c r="E105" s="88" t="str">
        <f t="shared" si="8"/>
        <v/>
      </c>
      <c r="F105" s="89" t="str">
        <f t="shared" si="9"/>
        <v/>
      </c>
      <c r="G105" s="41"/>
      <c r="H105" s="41"/>
      <c r="I105" s="41"/>
      <c r="J105" s="41"/>
      <c r="K105" s="41"/>
      <c r="L105" s="41"/>
      <c r="M105" s="41"/>
      <c r="N105" s="41"/>
      <c r="O105" s="37"/>
    </row>
    <row r="106">
      <c r="A106" s="92"/>
      <c r="B106" s="30">
        <v>102.0</v>
      </c>
      <c r="C106" s="133"/>
      <c r="D106" s="95"/>
      <c r="E106" s="88" t="str">
        <f t="shared" si="8"/>
        <v/>
      </c>
      <c r="F106" s="89" t="str">
        <f t="shared" si="9"/>
        <v/>
      </c>
      <c r="G106" s="41"/>
      <c r="H106" s="41"/>
      <c r="I106" s="41"/>
      <c r="J106" s="41"/>
      <c r="K106" s="41"/>
      <c r="L106" s="41"/>
      <c r="M106" s="41"/>
      <c r="N106" s="41"/>
      <c r="O106" s="37"/>
    </row>
    <row r="107">
      <c r="A107" s="86"/>
      <c r="B107" s="22">
        <v>103.0</v>
      </c>
      <c r="C107" s="134"/>
      <c r="D107" s="135"/>
      <c r="E107" s="88" t="str">
        <f t="shared" si="8"/>
        <v/>
      </c>
      <c r="F107" s="89" t="str">
        <f t="shared" si="9"/>
        <v/>
      </c>
      <c r="G107" s="41"/>
      <c r="H107" s="41"/>
      <c r="I107" s="41"/>
      <c r="J107" s="41"/>
      <c r="K107" s="41"/>
      <c r="L107" s="41"/>
      <c r="M107" s="41"/>
      <c r="N107" s="41"/>
      <c r="O107" s="37"/>
    </row>
    <row r="108">
      <c r="A108" s="92"/>
      <c r="B108" s="30">
        <v>104.0</v>
      </c>
      <c r="C108" s="136"/>
      <c r="D108" s="122"/>
      <c r="E108" s="88" t="str">
        <f t="shared" si="8"/>
        <v/>
      </c>
      <c r="F108" s="89" t="str">
        <f t="shared" si="9"/>
        <v/>
      </c>
      <c r="G108" s="41"/>
      <c r="H108" s="41"/>
      <c r="I108" s="41"/>
      <c r="J108" s="41"/>
      <c r="K108" s="41"/>
      <c r="L108" s="41"/>
      <c r="M108" s="41"/>
      <c r="N108" s="41"/>
      <c r="O108" s="37"/>
    </row>
    <row r="109">
      <c r="A109" s="86"/>
      <c r="B109" s="22">
        <v>105.0</v>
      </c>
      <c r="C109" s="68"/>
      <c r="D109" s="68"/>
      <c r="E109" s="88" t="str">
        <f t="shared" si="8"/>
        <v/>
      </c>
      <c r="F109" s="89" t="str">
        <f t="shared" si="9"/>
        <v/>
      </c>
      <c r="G109" s="41"/>
      <c r="H109" s="41"/>
      <c r="I109" s="41"/>
      <c r="J109" s="41"/>
      <c r="K109" s="41"/>
      <c r="L109" s="41"/>
      <c r="M109" s="41"/>
      <c r="N109" s="41"/>
      <c r="O109" s="37"/>
    </row>
    <row r="110">
      <c r="A110" s="92"/>
      <c r="B110" s="30">
        <v>106.0</v>
      </c>
      <c r="C110" s="67"/>
      <c r="D110" s="67"/>
      <c r="E110" s="88" t="str">
        <f t="shared" si="8"/>
        <v/>
      </c>
      <c r="F110" s="89" t="str">
        <f t="shared" si="9"/>
        <v/>
      </c>
      <c r="G110" s="41"/>
      <c r="H110" s="41"/>
      <c r="I110" s="41"/>
      <c r="J110" s="41"/>
      <c r="K110" s="41"/>
      <c r="L110" s="41"/>
      <c r="M110" s="41"/>
      <c r="N110" s="41"/>
      <c r="O110" s="37"/>
    </row>
    <row r="111">
      <c r="A111" s="86"/>
      <c r="B111" s="22">
        <v>107.0</v>
      </c>
      <c r="C111" s="68"/>
      <c r="D111" s="68"/>
      <c r="E111" s="88" t="str">
        <f t="shared" si="8"/>
        <v/>
      </c>
      <c r="F111" s="89" t="str">
        <f t="shared" si="9"/>
        <v/>
      </c>
      <c r="G111" s="41"/>
      <c r="H111" s="41"/>
      <c r="I111" s="41"/>
      <c r="J111" s="41"/>
      <c r="K111" s="41"/>
      <c r="L111" s="41"/>
      <c r="M111" s="41"/>
      <c r="N111" s="41"/>
      <c r="O111" s="37"/>
    </row>
    <row r="112">
      <c r="A112" s="92"/>
      <c r="B112" s="30">
        <v>108.0</v>
      </c>
      <c r="C112" s="67"/>
      <c r="D112" s="67"/>
      <c r="E112" s="88" t="str">
        <f t="shared" si="8"/>
        <v/>
      </c>
      <c r="F112" s="89" t="str">
        <f t="shared" si="9"/>
        <v/>
      </c>
      <c r="G112" s="41"/>
      <c r="H112" s="41"/>
      <c r="I112" s="41"/>
      <c r="J112" s="41"/>
      <c r="K112" s="41"/>
      <c r="L112" s="41"/>
      <c r="M112" s="41"/>
      <c r="N112" s="41"/>
      <c r="O112" s="37"/>
    </row>
    <row r="113">
      <c r="A113" s="86"/>
      <c r="B113" s="22">
        <v>109.0</v>
      </c>
      <c r="C113" s="68"/>
      <c r="D113" s="68"/>
      <c r="E113" s="88" t="str">
        <f t="shared" si="8"/>
        <v/>
      </c>
      <c r="F113" s="89" t="str">
        <f t="shared" si="9"/>
        <v/>
      </c>
      <c r="G113" s="41"/>
      <c r="H113" s="41"/>
      <c r="I113" s="41"/>
      <c r="J113" s="41"/>
      <c r="K113" s="41"/>
      <c r="L113" s="41"/>
      <c r="M113" s="41"/>
      <c r="N113" s="41"/>
      <c r="O113" s="37"/>
    </row>
    <row r="114">
      <c r="A114" s="92"/>
      <c r="B114" s="30">
        <v>110.0</v>
      </c>
      <c r="C114" s="67"/>
      <c r="D114" s="67"/>
      <c r="E114" s="88" t="str">
        <f t="shared" si="8"/>
        <v/>
      </c>
      <c r="F114" s="89" t="str">
        <f t="shared" si="9"/>
        <v/>
      </c>
      <c r="G114" s="41"/>
      <c r="H114" s="41"/>
      <c r="I114" s="41"/>
      <c r="J114" s="41"/>
      <c r="K114" s="41"/>
      <c r="L114" s="41"/>
      <c r="M114" s="41"/>
      <c r="N114" s="41"/>
      <c r="O114" s="37"/>
    </row>
    <row r="115">
      <c r="A115" s="86"/>
      <c r="B115" s="22">
        <v>111.0</v>
      </c>
      <c r="C115" s="68"/>
      <c r="D115" s="68"/>
      <c r="E115" s="88" t="str">
        <f t="shared" si="8"/>
        <v/>
      </c>
      <c r="F115" s="89" t="str">
        <f t="shared" si="9"/>
        <v/>
      </c>
      <c r="G115" s="41"/>
      <c r="H115" s="41"/>
      <c r="I115" s="41"/>
      <c r="J115" s="41"/>
      <c r="K115" s="41"/>
      <c r="L115" s="41"/>
      <c r="M115" s="41"/>
      <c r="N115" s="41"/>
      <c r="O115" s="37"/>
    </row>
    <row r="116">
      <c r="A116" s="92"/>
      <c r="B116" s="30">
        <v>112.0</v>
      </c>
      <c r="C116" s="67"/>
      <c r="D116" s="67"/>
      <c r="E116" s="88" t="str">
        <f t="shared" si="8"/>
        <v/>
      </c>
      <c r="F116" s="89" t="str">
        <f t="shared" si="9"/>
        <v/>
      </c>
      <c r="G116" s="41"/>
      <c r="H116" s="41"/>
      <c r="I116" s="41"/>
      <c r="J116" s="41"/>
      <c r="K116" s="41"/>
      <c r="L116" s="41"/>
      <c r="M116" s="41"/>
      <c r="N116" s="41"/>
      <c r="O116" s="37"/>
    </row>
    <row r="117">
      <c r="A117" s="86"/>
      <c r="B117" s="22">
        <v>113.0</v>
      </c>
      <c r="C117" s="68"/>
      <c r="D117" s="68"/>
      <c r="E117" s="88" t="str">
        <f t="shared" si="8"/>
        <v/>
      </c>
      <c r="F117" s="89" t="str">
        <f t="shared" si="9"/>
        <v/>
      </c>
      <c r="G117" s="41"/>
      <c r="H117" s="41"/>
      <c r="I117" s="41"/>
      <c r="J117" s="41"/>
      <c r="K117" s="41"/>
      <c r="L117" s="41"/>
      <c r="M117" s="41"/>
      <c r="N117" s="41"/>
      <c r="O117" s="37"/>
    </row>
    <row r="118">
      <c r="A118" s="92"/>
      <c r="B118" s="30">
        <v>114.0</v>
      </c>
      <c r="C118" s="67"/>
      <c r="D118" s="67"/>
      <c r="E118" s="88" t="str">
        <f t="shared" si="8"/>
        <v/>
      </c>
      <c r="F118" s="89" t="str">
        <f t="shared" si="9"/>
        <v/>
      </c>
      <c r="G118" s="41"/>
      <c r="H118" s="41"/>
      <c r="I118" s="41"/>
      <c r="J118" s="41"/>
      <c r="K118" s="41"/>
      <c r="L118" s="41"/>
      <c r="M118" s="41"/>
      <c r="N118" s="41"/>
      <c r="O118" s="37"/>
    </row>
    <row r="119">
      <c r="A119" s="86"/>
      <c r="B119" s="22">
        <v>115.0</v>
      </c>
      <c r="C119" s="68"/>
      <c r="D119" s="68"/>
      <c r="E119" s="88" t="str">
        <f t="shared" si="8"/>
        <v/>
      </c>
      <c r="F119" s="89" t="str">
        <f t="shared" si="9"/>
        <v/>
      </c>
      <c r="G119" s="41"/>
      <c r="H119" s="41"/>
      <c r="I119" s="41"/>
      <c r="J119" s="41"/>
      <c r="K119" s="41"/>
      <c r="L119" s="41"/>
      <c r="M119" s="41"/>
      <c r="N119" s="41"/>
      <c r="O119" s="37"/>
    </row>
    <row r="120">
      <c r="A120" s="92"/>
      <c r="B120" s="30">
        <v>116.0</v>
      </c>
      <c r="C120" s="67"/>
      <c r="D120" s="67"/>
      <c r="E120" s="88" t="str">
        <f t="shared" si="8"/>
        <v/>
      </c>
      <c r="F120" s="89" t="str">
        <f t="shared" si="9"/>
        <v/>
      </c>
      <c r="G120" s="41"/>
      <c r="H120" s="41"/>
      <c r="I120" s="41"/>
      <c r="J120" s="41"/>
      <c r="K120" s="41"/>
      <c r="L120" s="41"/>
      <c r="M120" s="41"/>
      <c r="N120" s="41"/>
      <c r="O120" s="37"/>
    </row>
    <row r="121">
      <c r="A121" s="86"/>
      <c r="B121" s="22">
        <v>117.0</v>
      </c>
      <c r="C121" s="68"/>
      <c r="D121" s="68"/>
      <c r="E121" s="88" t="str">
        <f t="shared" si="8"/>
        <v/>
      </c>
      <c r="F121" s="89" t="str">
        <f t="shared" si="9"/>
        <v/>
      </c>
      <c r="G121" s="41"/>
      <c r="H121" s="41"/>
      <c r="I121" s="41"/>
      <c r="J121" s="41"/>
      <c r="K121" s="41"/>
      <c r="L121" s="41"/>
      <c r="M121" s="41"/>
      <c r="N121" s="41"/>
      <c r="O121" s="37"/>
    </row>
    <row r="122">
      <c r="A122" s="137"/>
      <c r="B122" s="69">
        <v>118.0</v>
      </c>
      <c r="C122" s="70"/>
      <c r="D122" s="70"/>
      <c r="E122" s="88" t="str">
        <f t="shared" si="8"/>
        <v/>
      </c>
      <c r="F122" s="89" t="str">
        <f t="shared" si="9"/>
        <v/>
      </c>
      <c r="G122" s="73"/>
      <c r="H122" s="73"/>
      <c r="I122" s="73"/>
      <c r="J122" s="73"/>
      <c r="K122" s="73"/>
      <c r="L122" s="73"/>
      <c r="M122" s="73"/>
      <c r="N122" s="73"/>
      <c r="O122" s="1"/>
    </row>
    <row r="123">
      <c r="A123" s="137"/>
      <c r="B123" s="69">
        <v>119.0</v>
      </c>
      <c r="C123" s="70"/>
      <c r="D123" s="70"/>
      <c r="E123" s="88" t="str">
        <f t="shared" si="8"/>
        <v/>
      </c>
      <c r="F123" s="89" t="str">
        <f t="shared" si="9"/>
        <v/>
      </c>
      <c r="G123" s="73"/>
      <c r="H123" s="73"/>
      <c r="I123" s="73"/>
      <c r="J123" s="73"/>
      <c r="K123" s="73"/>
      <c r="L123" s="73"/>
      <c r="M123" s="73"/>
      <c r="N123" s="73"/>
      <c r="O123" s="1"/>
    </row>
    <row r="124">
      <c r="A124" s="137"/>
      <c r="B124" s="69">
        <v>120.0</v>
      </c>
      <c r="C124" s="70"/>
      <c r="D124" s="70"/>
      <c r="E124" s="88" t="str">
        <f t="shared" si="8"/>
        <v/>
      </c>
      <c r="F124" s="89" t="str">
        <f t="shared" si="9"/>
        <v/>
      </c>
      <c r="G124" s="73"/>
      <c r="H124" s="73"/>
      <c r="I124" s="73"/>
      <c r="J124" s="73"/>
      <c r="K124" s="73"/>
      <c r="L124" s="73"/>
      <c r="M124" s="73"/>
      <c r="N124" s="73"/>
      <c r="O124" s="1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</row>
  </sheetData>
  <mergeCells count="2">
    <mergeCell ref="B1:D2"/>
    <mergeCell ref="E1:F2"/>
  </mergeCells>
  <dataValidations>
    <dataValidation type="list" allowBlank="1" showErrorMessage="1" sqref="G4:O124">
      <formula1>"선택,완료"</formula1>
    </dataValidation>
  </dataValidations>
  <hyperlinks>
    <hyperlink r:id="rId1" ref="D5"/>
    <hyperlink r:id="rId2" ref="D22"/>
    <hyperlink r:id="rId3" ref="D23"/>
    <hyperlink r:id="rId4" ref="D27"/>
    <hyperlink r:id="rId5" ref="D44"/>
    <hyperlink r:id="rId6" ref="D50"/>
    <hyperlink r:id="rId7" ref="D51"/>
    <hyperlink r:id="rId8" ref="D55"/>
    <hyperlink r:id="rId9" ref="D64"/>
    <hyperlink r:id="rId10" ref="D69"/>
    <hyperlink r:id="rId11" ref="D86"/>
    <hyperlink r:id="rId12" ref="D98"/>
  </hyperlinks>
  <drawing r:id="rId13"/>
  <tableParts count="1"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13"/>
    <col customWidth="1" min="2" max="2" width="4.88"/>
    <col customWidth="1" min="3" max="3" width="18.63"/>
    <col customWidth="1" min="4" max="4" width="21.13"/>
  </cols>
  <sheetData>
    <row r="1">
      <c r="A1" s="74"/>
      <c r="B1" s="75" t="s">
        <v>0</v>
      </c>
      <c r="E1" s="3" t="s">
        <v>1</v>
      </c>
      <c r="G1" s="76" t="s">
        <v>207</v>
      </c>
      <c r="H1" s="76" t="s">
        <v>208</v>
      </c>
      <c r="I1" s="76" t="s">
        <v>209</v>
      </c>
      <c r="J1" s="76" t="s">
        <v>210</v>
      </c>
      <c r="K1" s="76" t="s">
        <v>211</v>
      </c>
      <c r="L1" s="76" t="s">
        <v>212</v>
      </c>
      <c r="M1" s="76" t="s">
        <v>213</v>
      </c>
      <c r="N1" s="76" t="s">
        <v>214</v>
      </c>
      <c r="O1" s="76" t="s">
        <v>215</v>
      </c>
    </row>
    <row r="2">
      <c r="A2" s="77"/>
      <c r="G2" s="78" t="s">
        <v>216</v>
      </c>
      <c r="H2" s="78" t="s">
        <v>217</v>
      </c>
      <c r="I2" s="78" t="s">
        <v>218</v>
      </c>
      <c r="J2" s="78" t="s">
        <v>219</v>
      </c>
      <c r="K2" s="78" t="s">
        <v>220</v>
      </c>
      <c r="L2" s="78" t="s">
        <v>221</v>
      </c>
      <c r="M2" s="78" t="s">
        <v>222</v>
      </c>
      <c r="N2" s="78" t="s">
        <v>223</v>
      </c>
      <c r="O2" s="76" t="s">
        <v>224</v>
      </c>
    </row>
    <row r="3">
      <c r="A3" s="1"/>
      <c r="B3" s="1"/>
      <c r="C3" s="1"/>
      <c r="D3" s="1"/>
      <c r="E3" s="9"/>
      <c r="F3" s="9"/>
      <c r="G3" s="11" t="str">
        <f t="shared" ref="G3:N3" si="1">COUNTIF(G35:G200, "완료") &amp; "명 완료"
</f>
        <v>24명 완료</v>
      </c>
      <c r="H3" s="11" t="str">
        <f t="shared" si="1"/>
        <v>26명 완료</v>
      </c>
      <c r="I3" s="11" t="str">
        <f t="shared" si="1"/>
        <v>26명 완료</v>
      </c>
      <c r="J3" s="11" t="str">
        <f t="shared" si="1"/>
        <v>25명 완료</v>
      </c>
      <c r="K3" s="11" t="str">
        <f t="shared" si="1"/>
        <v>24명 완료</v>
      </c>
      <c r="L3" s="11" t="str">
        <f t="shared" si="1"/>
        <v>23명 완료</v>
      </c>
      <c r="M3" s="11" t="str">
        <f t="shared" si="1"/>
        <v>22명 완료</v>
      </c>
      <c r="N3" s="11" t="str">
        <f t="shared" si="1"/>
        <v>16명 완료</v>
      </c>
      <c r="O3" s="138" t="b">
        <f>COUNTIF(N35:N200, "완료") &amp; "명 완료"=COUNTIF(O35:O200, "완료") &amp; "명 완료"</f>
        <v>0</v>
      </c>
    </row>
    <row r="4">
      <c r="A4" s="80"/>
      <c r="B4" s="81" t="s">
        <v>20</v>
      </c>
      <c r="C4" s="82" t="s">
        <v>21</v>
      </c>
      <c r="D4" s="82" t="s">
        <v>22</v>
      </c>
      <c r="E4" s="83" t="s">
        <v>23</v>
      </c>
      <c r="F4" s="83" t="s">
        <v>24</v>
      </c>
      <c r="G4" s="84" t="s">
        <v>25</v>
      </c>
      <c r="H4" s="84" t="s">
        <v>25</v>
      </c>
      <c r="I4" s="84" t="s">
        <v>25</v>
      </c>
      <c r="J4" s="84" t="s">
        <v>25</v>
      </c>
      <c r="K4" s="84" t="s">
        <v>25</v>
      </c>
      <c r="L4" s="84" t="s">
        <v>25</v>
      </c>
      <c r="M4" s="84" t="s">
        <v>25</v>
      </c>
      <c r="N4" s="84" t="s">
        <v>25</v>
      </c>
      <c r="O4" s="85" t="s">
        <v>25</v>
      </c>
    </row>
    <row r="5">
      <c r="A5" s="86"/>
      <c r="B5" s="22">
        <v>1.0</v>
      </c>
      <c r="C5" s="23" t="s">
        <v>26</v>
      </c>
      <c r="D5" s="87" t="s">
        <v>27</v>
      </c>
      <c r="E5" s="88" t="str">
        <f t="shared" ref="E5:E64" si="2">IF(COUNTIF(G5:N5, "완료")=0, "", COUNTIF($G$4:$N$4, "완료") &amp; "번 중 " &amp; COUNTIF(G5:N5, "완료") &amp; "번 참여")
</f>
        <v>8번 중 8번 참여</v>
      </c>
      <c r="F5" s="89">
        <f t="shared" ref="F5:F64" si="3">IF(COUNTIF($G$4:$N$4, "완료")=0, "", IF(COUNTIF(G5:N5, "완료")=0, "", COUNTIF(G5:N5, "완료") / COUNTIF($G$4:$N$4, "완료")))
</f>
        <v>1</v>
      </c>
      <c r="G5" s="90" t="s">
        <v>25</v>
      </c>
      <c r="H5" s="90" t="s">
        <v>25</v>
      </c>
      <c r="I5" s="90" t="s">
        <v>25</v>
      </c>
      <c r="J5" s="90" t="s">
        <v>25</v>
      </c>
      <c r="K5" s="90" t="s">
        <v>25</v>
      </c>
      <c r="L5" s="90" t="s">
        <v>25</v>
      </c>
      <c r="M5" s="90" t="s">
        <v>25</v>
      </c>
      <c r="N5" s="90" t="s">
        <v>25</v>
      </c>
      <c r="O5" s="91" t="s">
        <v>25</v>
      </c>
    </row>
    <row r="6">
      <c r="A6" s="92"/>
      <c r="B6" s="30">
        <v>2.0</v>
      </c>
      <c r="C6" s="93" t="s">
        <v>28</v>
      </c>
      <c r="D6" s="94" t="s">
        <v>225</v>
      </c>
      <c r="E6" s="88" t="str">
        <f t="shared" si="2"/>
        <v>8번 중 8번 참여</v>
      </c>
      <c r="F6" s="89">
        <f t="shared" si="3"/>
        <v>1</v>
      </c>
      <c r="G6" s="90" t="s">
        <v>25</v>
      </c>
      <c r="H6" s="90" t="s">
        <v>25</v>
      </c>
      <c r="I6" s="90" t="s">
        <v>25</v>
      </c>
      <c r="J6" s="90" t="s">
        <v>25</v>
      </c>
      <c r="K6" s="90" t="s">
        <v>25</v>
      </c>
      <c r="L6" s="90" t="s">
        <v>25</v>
      </c>
      <c r="M6" s="90" t="s">
        <v>25</v>
      </c>
      <c r="N6" s="90" t="s">
        <v>25</v>
      </c>
      <c r="O6" s="91" t="s">
        <v>25</v>
      </c>
    </row>
    <row r="7">
      <c r="A7" s="86"/>
      <c r="B7" s="22">
        <v>3.0</v>
      </c>
      <c r="C7" s="31" t="s">
        <v>30</v>
      </c>
      <c r="D7" s="31" t="s">
        <v>31</v>
      </c>
      <c r="E7" s="88" t="str">
        <f t="shared" si="2"/>
        <v/>
      </c>
      <c r="F7" s="89" t="str">
        <f t="shared" si="3"/>
        <v/>
      </c>
      <c r="G7" s="90"/>
      <c r="H7" s="90"/>
      <c r="I7" s="90"/>
      <c r="J7" s="90"/>
      <c r="K7" s="90"/>
      <c r="L7" s="90"/>
      <c r="M7" s="90"/>
      <c r="N7" s="90"/>
      <c r="O7" s="37"/>
    </row>
    <row r="8">
      <c r="A8" s="92"/>
      <c r="B8" s="30">
        <v>4.0</v>
      </c>
      <c r="C8" s="23" t="s">
        <v>32</v>
      </c>
      <c r="D8" s="23" t="s">
        <v>33</v>
      </c>
      <c r="E8" s="88" t="str">
        <f t="shared" si="2"/>
        <v/>
      </c>
      <c r="F8" s="89" t="str">
        <f t="shared" si="3"/>
        <v/>
      </c>
      <c r="G8" s="90"/>
      <c r="H8" s="90"/>
      <c r="I8" s="90"/>
      <c r="J8" s="90"/>
      <c r="K8" s="90"/>
      <c r="L8" s="90"/>
      <c r="M8" s="90"/>
      <c r="N8" s="90"/>
      <c r="O8" s="37"/>
    </row>
    <row r="9">
      <c r="A9" s="86"/>
      <c r="B9" s="22">
        <v>5.0</v>
      </c>
      <c r="C9" s="31" t="s">
        <v>34</v>
      </c>
      <c r="D9" s="31" t="s">
        <v>35</v>
      </c>
      <c r="E9" s="88" t="str">
        <f t="shared" si="2"/>
        <v>8번 중 7번 참여</v>
      </c>
      <c r="F9" s="89">
        <f t="shared" si="3"/>
        <v>0.875</v>
      </c>
      <c r="G9" s="90" t="s">
        <v>25</v>
      </c>
      <c r="H9" s="90" t="s">
        <v>25</v>
      </c>
      <c r="I9" s="90" t="s">
        <v>25</v>
      </c>
      <c r="J9" s="90" t="s">
        <v>25</v>
      </c>
      <c r="K9" s="90" t="s">
        <v>25</v>
      </c>
      <c r="L9" s="90" t="s">
        <v>25</v>
      </c>
      <c r="M9" s="90" t="s">
        <v>25</v>
      </c>
      <c r="N9" s="90"/>
      <c r="O9" s="37"/>
    </row>
    <row r="10">
      <c r="A10" s="92"/>
      <c r="B10" s="30">
        <v>6.0</v>
      </c>
      <c r="C10" s="23" t="s">
        <v>36</v>
      </c>
      <c r="D10" s="95" t="s">
        <v>37</v>
      </c>
      <c r="E10" s="88" t="str">
        <f t="shared" si="2"/>
        <v>8번 중 8번 참여</v>
      </c>
      <c r="F10" s="89">
        <f t="shared" si="3"/>
        <v>1</v>
      </c>
      <c r="G10" s="90" t="s">
        <v>25</v>
      </c>
      <c r="H10" s="90" t="s">
        <v>25</v>
      </c>
      <c r="I10" s="90" t="s">
        <v>25</v>
      </c>
      <c r="J10" s="90" t="s">
        <v>25</v>
      </c>
      <c r="K10" s="90" t="s">
        <v>25</v>
      </c>
      <c r="L10" s="90" t="s">
        <v>25</v>
      </c>
      <c r="M10" s="90" t="s">
        <v>25</v>
      </c>
      <c r="N10" s="90" t="s">
        <v>25</v>
      </c>
      <c r="O10" s="91" t="s">
        <v>25</v>
      </c>
    </row>
    <row r="11">
      <c r="A11" s="86"/>
      <c r="B11" s="22">
        <v>7.0</v>
      </c>
      <c r="C11" s="31" t="s">
        <v>38</v>
      </c>
      <c r="D11" s="31" t="s">
        <v>39</v>
      </c>
      <c r="E11" s="88" t="str">
        <f t="shared" si="2"/>
        <v>8번 중 8번 참여</v>
      </c>
      <c r="F11" s="89">
        <f t="shared" si="3"/>
        <v>1</v>
      </c>
      <c r="G11" s="90" t="s">
        <v>25</v>
      </c>
      <c r="H11" s="90" t="s">
        <v>25</v>
      </c>
      <c r="I11" s="90" t="s">
        <v>25</v>
      </c>
      <c r="J11" s="90" t="s">
        <v>25</v>
      </c>
      <c r="K11" s="90" t="s">
        <v>25</v>
      </c>
      <c r="L11" s="90" t="s">
        <v>25</v>
      </c>
      <c r="M11" s="90" t="s">
        <v>25</v>
      </c>
      <c r="N11" s="90" t="s">
        <v>25</v>
      </c>
      <c r="O11" s="91" t="s">
        <v>25</v>
      </c>
    </row>
    <row r="12">
      <c r="A12" s="92"/>
      <c r="B12" s="30">
        <v>8.0</v>
      </c>
      <c r="C12" s="23" t="s">
        <v>40</v>
      </c>
      <c r="D12" s="23" t="s">
        <v>41</v>
      </c>
      <c r="E12" s="88" t="str">
        <f t="shared" si="2"/>
        <v>8번 중 8번 참여</v>
      </c>
      <c r="F12" s="89">
        <f t="shared" si="3"/>
        <v>1</v>
      </c>
      <c r="G12" s="90" t="s">
        <v>25</v>
      </c>
      <c r="H12" s="90" t="s">
        <v>25</v>
      </c>
      <c r="I12" s="90" t="s">
        <v>25</v>
      </c>
      <c r="J12" s="90" t="s">
        <v>25</v>
      </c>
      <c r="K12" s="90" t="s">
        <v>25</v>
      </c>
      <c r="L12" s="90" t="s">
        <v>25</v>
      </c>
      <c r="M12" s="90" t="s">
        <v>25</v>
      </c>
      <c r="N12" s="90" t="s">
        <v>25</v>
      </c>
      <c r="O12" s="91" t="s">
        <v>25</v>
      </c>
    </row>
    <row r="13">
      <c r="A13" s="86"/>
      <c r="B13" s="22">
        <v>9.0</v>
      </c>
      <c r="C13" s="31" t="s">
        <v>42</v>
      </c>
      <c r="D13" s="31" t="s">
        <v>43</v>
      </c>
      <c r="E13" s="88" t="str">
        <f t="shared" si="2"/>
        <v>8번 중 4번 참여</v>
      </c>
      <c r="F13" s="89">
        <f t="shared" si="3"/>
        <v>0.5</v>
      </c>
      <c r="G13" s="90"/>
      <c r="H13" s="90" t="s">
        <v>25</v>
      </c>
      <c r="I13" s="90"/>
      <c r="J13" s="90" t="s">
        <v>25</v>
      </c>
      <c r="K13" s="90"/>
      <c r="L13" s="90" t="s">
        <v>25</v>
      </c>
      <c r="M13" s="90"/>
      <c r="N13" s="90" t="s">
        <v>25</v>
      </c>
      <c r="O13" s="91" t="s">
        <v>25</v>
      </c>
    </row>
    <row r="14">
      <c r="A14" s="92"/>
      <c r="B14" s="30">
        <v>10.0</v>
      </c>
      <c r="C14" s="23" t="s">
        <v>44</v>
      </c>
      <c r="D14" s="23" t="s">
        <v>45</v>
      </c>
      <c r="E14" s="88" t="str">
        <f t="shared" si="2"/>
        <v>8번 중 8번 참여</v>
      </c>
      <c r="F14" s="89">
        <f t="shared" si="3"/>
        <v>1</v>
      </c>
      <c r="G14" s="90" t="s">
        <v>25</v>
      </c>
      <c r="H14" s="90" t="s">
        <v>25</v>
      </c>
      <c r="I14" s="90" t="s">
        <v>25</v>
      </c>
      <c r="J14" s="90" t="s">
        <v>25</v>
      </c>
      <c r="K14" s="90" t="s">
        <v>25</v>
      </c>
      <c r="L14" s="90" t="s">
        <v>25</v>
      </c>
      <c r="M14" s="90" t="s">
        <v>25</v>
      </c>
      <c r="N14" s="90" t="s">
        <v>25</v>
      </c>
      <c r="O14" s="91" t="s">
        <v>80</v>
      </c>
    </row>
    <row r="15">
      <c r="A15" s="86"/>
      <c r="B15" s="22">
        <v>11.0</v>
      </c>
      <c r="C15" s="31" t="s">
        <v>46</v>
      </c>
      <c r="D15" s="31" t="s">
        <v>47</v>
      </c>
      <c r="E15" s="88" t="str">
        <f t="shared" si="2"/>
        <v>8번 중 8번 참여</v>
      </c>
      <c r="F15" s="89">
        <f t="shared" si="3"/>
        <v>1</v>
      </c>
      <c r="G15" s="90" t="s">
        <v>25</v>
      </c>
      <c r="H15" s="90" t="s">
        <v>25</v>
      </c>
      <c r="I15" s="90" t="s">
        <v>25</v>
      </c>
      <c r="J15" s="90" t="s">
        <v>25</v>
      </c>
      <c r="K15" s="90" t="s">
        <v>25</v>
      </c>
      <c r="L15" s="90" t="s">
        <v>25</v>
      </c>
      <c r="M15" s="90" t="s">
        <v>25</v>
      </c>
      <c r="N15" s="90" t="s">
        <v>25</v>
      </c>
      <c r="O15" s="91" t="s">
        <v>25</v>
      </c>
    </row>
    <row r="16">
      <c r="A16" s="92"/>
      <c r="B16" s="30">
        <v>12.0</v>
      </c>
      <c r="C16" s="23" t="s">
        <v>48</v>
      </c>
      <c r="D16" s="23" t="s">
        <v>49</v>
      </c>
      <c r="E16" s="88" t="str">
        <f t="shared" si="2"/>
        <v>8번 중 6번 참여</v>
      </c>
      <c r="F16" s="89">
        <f t="shared" si="3"/>
        <v>0.75</v>
      </c>
      <c r="G16" s="90" t="s">
        <v>25</v>
      </c>
      <c r="H16" s="90" t="s">
        <v>25</v>
      </c>
      <c r="I16" s="90" t="s">
        <v>25</v>
      </c>
      <c r="J16" s="90" t="s">
        <v>25</v>
      </c>
      <c r="K16" s="90"/>
      <c r="L16" s="90" t="s">
        <v>25</v>
      </c>
      <c r="M16" s="90" t="s">
        <v>25</v>
      </c>
      <c r="N16" s="90"/>
      <c r="O16" s="91" t="s">
        <v>25</v>
      </c>
    </row>
    <row r="17">
      <c r="A17" s="86"/>
      <c r="B17" s="22">
        <v>13.0</v>
      </c>
      <c r="C17" s="31" t="s">
        <v>50</v>
      </c>
      <c r="D17" s="31" t="s">
        <v>51</v>
      </c>
      <c r="E17" s="88" t="str">
        <f t="shared" si="2"/>
        <v>8번 중 5번 참여</v>
      </c>
      <c r="F17" s="89">
        <f t="shared" si="3"/>
        <v>0.625</v>
      </c>
      <c r="G17" s="90" t="s">
        <v>25</v>
      </c>
      <c r="H17" s="90"/>
      <c r="I17" s="90"/>
      <c r="J17" s="90" t="s">
        <v>25</v>
      </c>
      <c r="K17" s="90" t="s">
        <v>25</v>
      </c>
      <c r="L17" s="90" t="s">
        <v>25</v>
      </c>
      <c r="M17" s="90" t="s">
        <v>25</v>
      </c>
      <c r="N17" s="41"/>
      <c r="O17" s="37"/>
    </row>
    <row r="18">
      <c r="A18" s="92"/>
      <c r="B18" s="30">
        <v>14.0</v>
      </c>
      <c r="C18" s="23" t="s">
        <v>52</v>
      </c>
      <c r="D18" s="23" t="s">
        <v>53</v>
      </c>
      <c r="E18" s="88" t="str">
        <f t="shared" si="2"/>
        <v/>
      </c>
      <c r="F18" s="89" t="str">
        <f t="shared" si="3"/>
        <v/>
      </c>
      <c r="G18" s="90"/>
      <c r="H18" s="41"/>
      <c r="I18" s="41"/>
      <c r="J18" s="41"/>
      <c r="K18" s="41"/>
      <c r="L18" s="41"/>
      <c r="M18" s="41"/>
      <c r="N18" s="41"/>
      <c r="O18" s="37"/>
    </row>
    <row r="19">
      <c r="A19" s="86"/>
      <c r="B19" s="22">
        <v>15.0</v>
      </c>
      <c r="C19" s="96" t="s">
        <v>54</v>
      </c>
      <c r="D19" s="96" t="s">
        <v>55</v>
      </c>
      <c r="E19" s="88" t="str">
        <f t="shared" si="2"/>
        <v>8번 중 1번 참여</v>
      </c>
      <c r="F19" s="89">
        <f t="shared" si="3"/>
        <v>0.125</v>
      </c>
      <c r="G19" s="90"/>
      <c r="H19" s="90" t="s">
        <v>25</v>
      </c>
      <c r="I19" s="90"/>
      <c r="J19" s="90"/>
      <c r="K19" s="90"/>
      <c r="L19" s="90"/>
      <c r="M19" s="90"/>
      <c r="N19" s="90"/>
      <c r="O19" s="37"/>
    </row>
    <row r="20">
      <c r="A20" s="92"/>
      <c r="B20" s="30">
        <v>16.0</v>
      </c>
      <c r="C20" s="23" t="s">
        <v>56</v>
      </c>
      <c r="D20" s="23" t="s">
        <v>57</v>
      </c>
      <c r="E20" s="88" t="str">
        <f t="shared" si="2"/>
        <v>8번 중 8번 참여</v>
      </c>
      <c r="F20" s="89">
        <f t="shared" si="3"/>
        <v>1</v>
      </c>
      <c r="G20" s="90" t="s">
        <v>25</v>
      </c>
      <c r="H20" s="90" t="s">
        <v>25</v>
      </c>
      <c r="I20" s="90" t="s">
        <v>25</v>
      </c>
      <c r="J20" s="90" t="s">
        <v>25</v>
      </c>
      <c r="K20" s="90" t="s">
        <v>25</v>
      </c>
      <c r="L20" s="90" t="s">
        <v>25</v>
      </c>
      <c r="M20" s="90" t="s">
        <v>25</v>
      </c>
      <c r="N20" s="90" t="s">
        <v>25</v>
      </c>
      <c r="O20" s="91" t="s">
        <v>25</v>
      </c>
    </row>
    <row r="21">
      <c r="A21" s="86"/>
      <c r="B21" s="22">
        <v>17.0</v>
      </c>
      <c r="C21" s="31" t="s">
        <v>58</v>
      </c>
      <c r="D21" s="97" t="s">
        <v>59</v>
      </c>
      <c r="E21" s="88" t="str">
        <f t="shared" si="2"/>
        <v/>
      </c>
      <c r="F21" s="89" t="str">
        <f t="shared" si="3"/>
        <v/>
      </c>
      <c r="G21" s="90"/>
      <c r="H21" s="41"/>
      <c r="I21" s="41"/>
      <c r="J21" s="41"/>
      <c r="K21" s="41"/>
      <c r="L21" s="41"/>
      <c r="M21" s="41"/>
      <c r="N21" s="41"/>
      <c r="O21" s="37"/>
    </row>
    <row r="22">
      <c r="A22" s="92"/>
      <c r="B22" s="30">
        <v>18.0</v>
      </c>
      <c r="C22" s="23" t="s">
        <v>60</v>
      </c>
      <c r="D22" s="87" t="s">
        <v>61</v>
      </c>
      <c r="E22" s="88" t="str">
        <f t="shared" si="2"/>
        <v>8번 중 2번 참여</v>
      </c>
      <c r="F22" s="89">
        <f t="shared" si="3"/>
        <v>0.25</v>
      </c>
      <c r="G22" s="90" t="s">
        <v>25</v>
      </c>
      <c r="H22" s="90"/>
      <c r="I22" s="90"/>
      <c r="J22" s="90" t="s">
        <v>25</v>
      </c>
      <c r="K22" s="41"/>
      <c r="L22" s="41"/>
      <c r="M22" s="41"/>
      <c r="N22" s="41"/>
      <c r="O22" s="37"/>
    </row>
    <row r="23">
      <c r="A23" s="86"/>
      <c r="B23" s="22">
        <v>19.0</v>
      </c>
      <c r="C23" s="98" t="s">
        <v>62</v>
      </c>
      <c r="D23" s="99" t="s">
        <v>63</v>
      </c>
      <c r="E23" s="88" t="str">
        <f t="shared" si="2"/>
        <v/>
      </c>
      <c r="F23" s="89" t="str">
        <f t="shared" si="3"/>
        <v/>
      </c>
      <c r="G23" s="90"/>
      <c r="H23" s="90"/>
      <c r="I23" s="90"/>
      <c r="J23" s="90"/>
      <c r="K23" s="90"/>
      <c r="L23" s="90"/>
      <c r="M23" s="90"/>
      <c r="N23" s="90"/>
      <c r="O23" s="37"/>
    </row>
    <row r="24">
      <c r="A24" s="92"/>
      <c r="B24" s="30">
        <v>20.0</v>
      </c>
      <c r="C24" s="23" t="s">
        <v>64</v>
      </c>
      <c r="D24" s="100" t="s">
        <v>65</v>
      </c>
      <c r="E24" s="88" t="str">
        <f t="shared" si="2"/>
        <v/>
      </c>
      <c r="F24" s="89" t="str">
        <f t="shared" si="3"/>
        <v/>
      </c>
      <c r="G24" s="90"/>
      <c r="H24" s="41"/>
      <c r="I24" s="41"/>
      <c r="J24" s="41"/>
      <c r="K24" s="41"/>
      <c r="L24" s="41"/>
      <c r="M24" s="41"/>
      <c r="N24" s="41"/>
      <c r="O24" s="37"/>
    </row>
    <row r="25">
      <c r="A25" s="86"/>
      <c r="B25" s="22">
        <v>21.0</v>
      </c>
      <c r="C25" s="101" t="s">
        <v>66</v>
      </c>
      <c r="D25" s="102" t="s">
        <v>67</v>
      </c>
      <c r="E25" s="88" t="str">
        <f t="shared" si="2"/>
        <v>8번 중 5번 참여</v>
      </c>
      <c r="F25" s="89">
        <f t="shared" si="3"/>
        <v>0.625</v>
      </c>
      <c r="G25" s="90" t="s">
        <v>25</v>
      </c>
      <c r="H25" s="90" t="s">
        <v>25</v>
      </c>
      <c r="I25" s="90" t="s">
        <v>25</v>
      </c>
      <c r="J25" s="90" t="s">
        <v>25</v>
      </c>
      <c r="K25" s="90" t="s">
        <v>25</v>
      </c>
      <c r="L25" s="90"/>
      <c r="M25" s="90"/>
      <c r="N25" s="90"/>
      <c r="O25" s="37"/>
    </row>
    <row r="26">
      <c r="A26" s="92"/>
      <c r="B26" s="30">
        <v>22.0</v>
      </c>
      <c r="C26" s="103" t="s">
        <v>68</v>
      </c>
      <c r="D26" s="104" t="s">
        <v>69</v>
      </c>
      <c r="E26" s="88" t="str">
        <f t="shared" si="2"/>
        <v/>
      </c>
      <c r="F26" s="89" t="str">
        <f t="shared" si="3"/>
        <v/>
      </c>
      <c r="G26" s="90"/>
      <c r="H26" s="41"/>
      <c r="I26" s="41"/>
      <c r="J26" s="41"/>
      <c r="K26" s="41"/>
      <c r="L26" s="41"/>
      <c r="M26" s="41"/>
      <c r="N26" s="41"/>
      <c r="O26" s="37"/>
    </row>
    <row r="27">
      <c r="A27" s="86"/>
      <c r="B27" s="22">
        <v>23.0</v>
      </c>
      <c r="C27" s="23" t="s">
        <v>26</v>
      </c>
      <c r="D27" s="105" t="s">
        <v>27</v>
      </c>
      <c r="E27" s="88" t="str">
        <f t="shared" si="2"/>
        <v/>
      </c>
      <c r="F27" s="89" t="str">
        <f t="shared" si="3"/>
        <v/>
      </c>
      <c r="G27" s="90"/>
      <c r="H27" s="90"/>
      <c r="I27" s="90"/>
      <c r="J27" s="90"/>
      <c r="K27" s="41"/>
      <c r="L27" s="41"/>
      <c r="M27" s="41"/>
      <c r="N27" s="41"/>
      <c r="O27" s="37"/>
    </row>
    <row r="28">
      <c r="A28" s="92"/>
      <c r="B28" s="30">
        <v>24.0</v>
      </c>
      <c r="C28" s="93" t="s">
        <v>28</v>
      </c>
      <c r="D28" s="94" t="s">
        <v>70</v>
      </c>
      <c r="E28" s="88" t="str">
        <f t="shared" si="2"/>
        <v>8번 중 8번 참여</v>
      </c>
      <c r="F28" s="89">
        <f t="shared" si="3"/>
        <v>1</v>
      </c>
      <c r="G28" s="90" t="s">
        <v>25</v>
      </c>
      <c r="H28" s="90" t="s">
        <v>25</v>
      </c>
      <c r="I28" s="90" t="s">
        <v>25</v>
      </c>
      <c r="J28" s="90" t="s">
        <v>25</v>
      </c>
      <c r="K28" s="90" t="s">
        <v>25</v>
      </c>
      <c r="L28" s="90" t="s">
        <v>25</v>
      </c>
      <c r="M28" s="90" t="s">
        <v>25</v>
      </c>
      <c r="N28" s="90" t="s">
        <v>25</v>
      </c>
      <c r="O28" s="91" t="s">
        <v>25</v>
      </c>
    </row>
    <row r="29">
      <c r="A29" s="86"/>
      <c r="B29" s="22">
        <v>25.0</v>
      </c>
      <c r="C29" s="31" t="s">
        <v>30</v>
      </c>
      <c r="D29" s="31" t="s">
        <v>31</v>
      </c>
      <c r="E29" s="88" t="str">
        <f t="shared" si="2"/>
        <v/>
      </c>
      <c r="F29" s="89" t="str">
        <f t="shared" si="3"/>
        <v/>
      </c>
      <c r="G29" s="41"/>
      <c r="H29" s="41"/>
      <c r="I29" s="41"/>
      <c r="J29" s="41"/>
      <c r="K29" s="41"/>
      <c r="L29" s="41"/>
      <c r="M29" s="41"/>
      <c r="N29" s="41"/>
      <c r="O29" s="37"/>
    </row>
    <row r="30">
      <c r="A30" s="92"/>
      <c r="B30" s="30">
        <v>26.0</v>
      </c>
      <c r="C30" s="23" t="s">
        <v>32</v>
      </c>
      <c r="D30" s="23" t="s">
        <v>33</v>
      </c>
      <c r="E30" s="88" t="str">
        <f t="shared" si="2"/>
        <v/>
      </c>
      <c r="F30" s="89" t="str">
        <f t="shared" si="3"/>
        <v/>
      </c>
      <c r="G30" s="41"/>
      <c r="H30" s="41"/>
      <c r="I30" s="41"/>
      <c r="J30" s="41"/>
      <c r="K30" s="41"/>
      <c r="L30" s="41"/>
      <c r="M30" s="41"/>
      <c r="N30" s="41"/>
      <c r="O30" s="37"/>
    </row>
    <row r="31">
      <c r="A31" s="86"/>
      <c r="B31" s="22">
        <v>27.0</v>
      </c>
      <c r="C31" s="31" t="s">
        <v>34</v>
      </c>
      <c r="D31" s="101" t="s">
        <v>71</v>
      </c>
      <c r="E31" s="88" t="str">
        <f t="shared" si="2"/>
        <v/>
      </c>
      <c r="F31" s="89" t="str">
        <f t="shared" si="3"/>
        <v/>
      </c>
      <c r="G31" s="41"/>
      <c r="H31" s="41"/>
      <c r="I31" s="41"/>
      <c r="J31" s="41"/>
      <c r="K31" s="41"/>
      <c r="L31" s="41"/>
      <c r="M31" s="41"/>
      <c r="N31" s="41"/>
      <c r="O31" s="37"/>
    </row>
    <row r="32">
      <c r="A32" s="92"/>
      <c r="B32" s="30">
        <v>28.0</v>
      </c>
      <c r="C32" s="23" t="s">
        <v>36</v>
      </c>
      <c r="D32" s="23" t="s">
        <v>72</v>
      </c>
      <c r="E32" s="88" t="str">
        <f t="shared" si="2"/>
        <v/>
      </c>
      <c r="F32" s="89" t="str">
        <f t="shared" si="3"/>
        <v/>
      </c>
      <c r="G32" s="41"/>
      <c r="H32" s="41"/>
      <c r="I32" s="41"/>
      <c r="J32" s="41"/>
      <c r="K32" s="41"/>
      <c r="L32" s="41"/>
      <c r="M32" s="41"/>
      <c r="N32" s="41"/>
      <c r="O32" s="37"/>
    </row>
    <row r="33">
      <c r="A33" s="86"/>
      <c r="B33" s="22">
        <v>29.0</v>
      </c>
      <c r="C33" s="31" t="s">
        <v>38</v>
      </c>
      <c r="D33" s="31" t="s">
        <v>39</v>
      </c>
      <c r="E33" s="88" t="str">
        <f t="shared" si="2"/>
        <v/>
      </c>
      <c r="F33" s="89" t="str">
        <f t="shared" si="3"/>
        <v/>
      </c>
      <c r="G33" s="41"/>
      <c r="H33" s="41"/>
      <c r="I33" s="41"/>
      <c r="J33" s="41"/>
      <c r="K33" s="41"/>
      <c r="L33" s="41"/>
      <c r="M33" s="41"/>
      <c r="N33" s="41"/>
      <c r="O33" s="37"/>
    </row>
    <row r="34">
      <c r="A34" s="92"/>
      <c r="B34" s="30">
        <v>30.0</v>
      </c>
      <c r="C34" s="23" t="s">
        <v>40</v>
      </c>
      <c r="D34" s="23" t="s">
        <v>41</v>
      </c>
      <c r="E34" s="88" t="str">
        <f t="shared" si="2"/>
        <v/>
      </c>
      <c r="F34" s="89" t="str">
        <f t="shared" si="3"/>
        <v/>
      </c>
      <c r="G34" s="41"/>
      <c r="H34" s="41"/>
      <c r="I34" s="41"/>
      <c r="J34" s="41"/>
      <c r="K34" s="41"/>
      <c r="L34" s="41"/>
      <c r="M34" s="41"/>
      <c r="N34" s="41"/>
      <c r="O34" s="37"/>
    </row>
    <row r="35">
      <c r="A35" s="86"/>
      <c r="B35" s="22">
        <v>31.0</v>
      </c>
      <c r="C35" s="31" t="s">
        <v>42</v>
      </c>
      <c r="D35" s="101" t="s">
        <v>73</v>
      </c>
      <c r="E35" s="88" t="str">
        <f t="shared" si="2"/>
        <v/>
      </c>
      <c r="F35" s="89" t="str">
        <f t="shared" si="3"/>
        <v/>
      </c>
      <c r="G35" s="41"/>
      <c r="H35" s="41"/>
      <c r="I35" s="41"/>
      <c r="J35" s="41"/>
      <c r="K35" s="41"/>
      <c r="L35" s="41"/>
      <c r="M35" s="41"/>
      <c r="N35" s="41"/>
      <c r="O35" s="37"/>
    </row>
    <row r="36">
      <c r="A36" s="92"/>
      <c r="B36" s="30">
        <v>32.0</v>
      </c>
      <c r="C36" s="23" t="s">
        <v>44</v>
      </c>
      <c r="D36" s="23" t="s">
        <v>45</v>
      </c>
      <c r="E36" s="88" t="str">
        <f t="shared" si="2"/>
        <v/>
      </c>
      <c r="F36" s="89" t="str">
        <f t="shared" si="3"/>
        <v/>
      </c>
      <c r="G36" s="41"/>
      <c r="H36" s="41"/>
      <c r="I36" s="41"/>
      <c r="J36" s="41"/>
      <c r="K36" s="41"/>
      <c r="L36" s="41"/>
      <c r="M36" s="41"/>
      <c r="N36" s="41"/>
      <c r="O36" s="37"/>
    </row>
    <row r="37">
      <c r="A37" s="86"/>
      <c r="B37" s="22">
        <v>33.0</v>
      </c>
      <c r="C37" s="31" t="s">
        <v>46</v>
      </c>
      <c r="D37" s="31" t="s">
        <v>47</v>
      </c>
      <c r="E37" s="88" t="str">
        <f t="shared" si="2"/>
        <v/>
      </c>
      <c r="F37" s="89" t="str">
        <f t="shared" si="3"/>
        <v/>
      </c>
      <c r="G37" s="41"/>
      <c r="H37" s="41"/>
      <c r="I37" s="41"/>
      <c r="J37" s="41"/>
      <c r="K37" s="41"/>
      <c r="L37" s="41"/>
      <c r="M37" s="41"/>
      <c r="N37" s="41"/>
      <c r="O37" s="37"/>
    </row>
    <row r="38">
      <c r="A38" s="92"/>
      <c r="B38" s="30">
        <v>34.0</v>
      </c>
      <c r="C38" s="23" t="s">
        <v>48</v>
      </c>
      <c r="D38" s="23" t="s">
        <v>49</v>
      </c>
      <c r="E38" s="88" t="str">
        <f t="shared" si="2"/>
        <v/>
      </c>
      <c r="F38" s="89" t="str">
        <f t="shared" si="3"/>
        <v/>
      </c>
      <c r="G38" s="41"/>
      <c r="H38" s="41"/>
      <c r="I38" s="41"/>
      <c r="J38" s="41"/>
      <c r="K38" s="41"/>
      <c r="L38" s="41"/>
      <c r="M38" s="41"/>
      <c r="N38" s="41"/>
      <c r="O38" s="37"/>
    </row>
    <row r="39">
      <c r="A39" s="86"/>
      <c r="B39" s="22">
        <v>35.0</v>
      </c>
      <c r="C39" s="31" t="s">
        <v>50</v>
      </c>
      <c r="D39" s="31" t="s">
        <v>51</v>
      </c>
      <c r="E39" s="88" t="str">
        <f t="shared" si="2"/>
        <v/>
      </c>
      <c r="F39" s="89" t="str">
        <f t="shared" si="3"/>
        <v/>
      </c>
      <c r="G39" s="41"/>
      <c r="H39" s="41"/>
      <c r="I39" s="41"/>
      <c r="J39" s="41"/>
      <c r="K39" s="41"/>
      <c r="L39" s="41"/>
      <c r="M39" s="41"/>
      <c r="N39" s="41"/>
      <c r="O39" s="37"/>
    </row>
    <row r="40">
      <c r="A40" s="92"/>
      <c r="B40" s="30">
        <v>36.0</v>
      </c>
      <c r="C40" s="23" t="s">
        <v>52</v>
      </c>
      <c r="D40" s="23" t="s">
        <v>53</v>
      </c>
      <c r="E40" s="88" t="str">
        <f t="shared" si="2"/>
        <v/>
      </c>
      <c r="F40" s="89" t="str">
        <f t="shared" si="3"/>
        <v/>
      </c>
      <c r="G40" s="41"/>
      <c r="H40" s="41"/>
      <c r="I40" s="41"/>
      <c r="J40" s="41"/>
      <c r="K40" s="41"/>
      <c r="L40" s="41"/>
      <c r="M40" s="41"/>
      <c r="N40" s="41"/>
      <c r="O40" s="37"/>
    </row>
    <row r="41">
      <c r="A41" s="86"/>
      <c r="B41" s="22">
        <v>37.0</v>
      </c>
      <c r="C41" s="96" t="s">
        <v>54</v>
      </c>
      <c r="D41" s="96" t="s">
        <v>55</v>
      </c>
      <c r="E41" s="88" t="str">
        <f t="shared" si="2"/>
        <v/>
      </c>
      <c r="F41" s="89" t="str">
        <f t="shared" si="3"/>
        <v/>
      </c>
      <c r="G41" s="41"/>
      <c r="H41" s="41"/>
      <c r="I41" s="41"/>
      <c r="J41" s="41"/>
      <c r="K41" s="41"/>
      <c r="L41" s="41"/>
      <c r="M41" s="41"/>
      <c r="N41" s="41"/>
      <c r="O41" s="37"/>
    </row>
    <row r="42">
      <c r="A42" s="92"/>
      <c r="B42" s="30">
        <v>38.0</v>
      </c>
      <c r="C42" s="23" t="s">
        <v>56</v>
      </c>
      <c r="D42" s="23" t="s">
        <v>57</v>
      </c>
      <c r="E42" s="88" t="str">
        <f t="shared" si="2"/>
        <v/>
      </c>
      <c r="F42" s="89" t="str">
        <f t="shared" si="3"/>
        <v/>
      </c>
      <c r="G42" s="41"/>
      <c r="H42" s="41"/>
      <c r="I42" s="41"/>
      <c r="J42" s="41"/>
      <c r="K42" s="41"/>
      <c r="L42" s="41"/>
      <c r="M42" s="41"/>
      <c r="N42" s="41"/>
      <c r="O42" s="37"/>
    </row>
    <row r="43">
      <c r="A43" s="86"/>
      <c r="B43" s="22">
        <v>39.0</v>
      </c>
      <c r="C43" s="31" t="s">
        <v>58</v>
      </c>
      <c r="D43" s="97" t="s">
        <v>59</v>
      </c>
      <c r="E43" s="88" t="str">
        <f t="shared" si="2"/>
        <v/>
      </c>
      <c r="F43" s="89" t="str">
        <f t="shared" si="3"/>
        <v/>
      </c>
      <c r="G43" s="41"/>
      <c r="H43" s="41"/>
      <c r="I43" s="41"/>
      <c r="J43" s="41"/>
      <c r="K43" s="41"/>
      <c r="L43" s="41"/>
      <c r="M43" s="41"/>
      <c r="N43" s="41"/>
      <c r="O43" s="37"/>
    </row>
    <row r="44">
      <c r="A44" s="92"/>
      <c r="B44" s="30">
        <v>40.0</v>
      </c>
      <c r="C44" s="23" t="s">
        <v>60</v>
      </c>
      <c r="D44" s="105" t="s">
        <v>61</v>
      </c>
      <c r="E44" s="88" t="str">
        <f t="shared" si="2"/>
        <v/>
      </c>
      <c r="F44" s="89" t="str">
        <f t="shared" si="3"/>
        <v/>
      </c>
      <c r="G44" s="41"/>
      <c r="H44" s="41"/>
      <c r="I44" s="41"/>
      <c r="J44" s="41"/>
      <c r="K44" s="41"/>
      <c r="L44" s="41"/>
      <c r="M44" s="41"/>
      <c r="N44" s="41"/>
      <c r="O44" s="37"/>
    </row>
    <row r="45">
      <c r="A45" s="86"/>
      <c r="B45" s="22">
        <v>41.0</v>
      </c>
      <c r="C45" s="98" t="s">
        <v>62</v>
      </c>
      <c r="D45" s="106"/>
      <c r="E45" s="88" t="str">
        <f t="shared" si="2"/>
        <v/>
      </c>
      <c r="F45" s="89" t="str">
        <f t="shared" si="3"/>
        <v/>
      </c>
      <c r="G45" s="41"/>
      <c r="H45" s="41"/>
      <c r="I45" s="41"/>
      <c r="J45" s="41"/>
      <c r="K45" s="41"/>
      <c r="L45" s="41"/>
      <c r="M45" s="41"/>
      <c r="N45" s="41"/>
      <c r="O45" s="37"/>
    </row>
    <row r="46">
      <c r="A46" s="92"/>
      <c r="B46" s="30">
        <v>42.0</v>
      </c>
      <c r="C46" s="23" t="s">
        <v>64</v>
      </c>
      <c r="D46" s="100" t="s">
        <v>65</v>
      </c>
      <c r="E46" s="88" t="str">
        <f t="shared" si="2"/>
        <v/>
      </c>
      <c r="F46" s="89" t="str">
        <f t="shared" si="3"/>
        <v/>
      </c>
      <c r="G46" s="41"/>
      <c r="H46" s="41"/>
      <c r="I46" s="41"/>
      <c r="J46" s="41"/>
      <c r="K46" s="41"/>
      <c r="L46" s="41"/>
      <c r="M46" s="41"/>
      <c r="N46" s="41"/>
      <c r="O46" s="37"/>
    </row>
    <row r="47">
      <c r="A47" s="86"/>
      <c r="B47" s="22">
        <v>43.0</v>
      </c>
      <c r="C47" s="101" t="s">
        <v>66</v>
      </c>
      <c r="D47" s="102" t="s">
        <v>67</v>
      </c>
      <c r="E47" s="88" t="str">
        <f t="shared" si="2"/>
        <v>8번 중 8번 참여</v>
      </c>
      <c r="F47" s="89">
        <f t="shared" si="3"/>
        <v>1</v>
      </c>
      <c r="G47" s="90" t="s">
        <v>25</v>
      </c>
      <c r="H47" s="90" t="s">
        <v>25</v>
      </c>
      <c r="I47" s="90" t="s">
        <v>25</v>
      </c>
      <c r="J47" s="90" t="s">
        <v>25</v>
      </c>
      <c r="K47" s="90" t="s">
        <v>25</v>
      </c>
      <c r="L47" s="90" t="s">
        <v>25</v>
      </c>
      <c r="M47" s="90" t="s">
        <v>25</v>
      </c>
      <c r="N47" s="90" t="s">
        <v>25</v>
      </c>
      <c r="O47" s="37"/>
    </row>
    <row r="48">
      <c r="A48" s="92"/>
      <c r="B48" s="30">
        <v>44.0</v>
      </c>
      <c r="C48" s="103" t="s">
        <v>68</v>
      </c>
      <c r="D48" s="104" t="s">
        <v>69</v>
      </c>
      <c r="E48" s="88" t="str">
        <f t="shared" si="2"/>
        <v/>
      </c>
      <c r="F48" s="89" t="str">
        <f t="shared" si="3"/>
        <v/>
      </c>
      <c r="G48" s="41"/>
      <c r="H48" s="41"/>
      <c r="I48" s="41"/>
      <c r="J48" s="41"/>
      <c r="K48" s="41"/>
      <c r="L48" s="41"/>
      <c r="M48" s="41"/>
      <c r="N48" s="41"/>
      <c r="O48" s="37"/>
    </row>
    <row r="49">
      <c r="A49" s="86"/>
      <c r="B49" s="22">
        <v>45.0</v>
      </c>
      <c r="C49" s="31" t="s">
        <v>74</v>
      </c>
      <c r="D49" s="97" t="s">
        <v>75</v>
      </c>
      <c r="E49" s="88" t="str">
        <f t="shared" si="2"/>
        <v/>
      </c>
      <c r="F49" s="89" t="str">
        <f t="shared" si="3"/>
        <v/>
      </c>
      <c r="G49" s="90"/>
      <c r="H49" s="41"/>
      <c r="I49" s="90"/>
      <c r="J49" s="41"/>
      <c r="K49" s="41"/>
      <c r="L49" s="41"/>
      <c r="M49" s="41"/>
      <c r="N49" s="41"/>
      <c r="O49" s="37"/>
    </row>
    <row r="50">
      <c r="A50" s="92"/>
      <c r="B50" s="30">
        <v>46.0</v>
      </c>
      <c r="C50" s="23" t="s">
        <v>76</v>
      </c>
      <c r="D50" s="87" t="s">
        <v>77</v>
      </c>
      <c r="E50" s="88" t="str">
        <f t="shared" si="2"/>
        <v/>
      </c>
      <c r="F50" s="89" t="str">
        <f t="shared" si="3"/>
        <v/>
      </c>
      <c r="G50" s="90"/>
      <c r="H50" s="41"/>
      <c r="I50" s="41"/>
      <c r="J50" s="41"/>
      <c r="K50" s="41"/>
      <c r="L50" s="41"/>
      <c r="M50" s="41"/>
      <c r="N50" s="41"/>
      <c r="O50" s="37"/>
    </row>
    <row r="51">
      <c r="A51" s="86"/>
      <c r="B51" s="22">
        <v>47.0</v>
      </c>
      <c r="C51" s="31" t="s">
        <v>78</v>
      </c>
      <c r="D51" s="107" t="s">
        <v>79</v>
      </c>
      <c r="E51" s="88" t="str">
        <f t="shared" si="2"/>
        <v>8번 중 7번 참여</v>
      </c>
      <c r="F51" s="89">
        <f t="shared" si="3"/>
        <v>0.875</v>
      </c>
      <c r="G51" s="90" t="s">
        <v>25</v>
      </c>
      <c r="H51" s="90" t="s">
        <v>25</v>
      </c>
      <c r="I51" s="90" t="s">
        <v>25</v>
      </c>
      <c r="J51" s="90" t="s">
        <v>25</v>
      </c>
      <c r="K51" s="90" t="s">
        <v>25</v>
      </c>
      <c r="L51" s="90" t="s">
        <v>25</v>
      </c>
      <c r="M51" s="90" t="s">
        <v>25</v>
      </c>
      <c r="N51" s="90"/>
      <c r="O51" s="91" t="s">
        <v>25</v>
      </c>
    </row>
    <row r="52">
      <c r="A52" s="92"/>
      <c r="B52" s="30">
        <v>48.0</v>
      </c>
      <c r="C52" s="31" t="s">
        <v>81</v>
      </c>
      <c r="D52" s="31" t="s">
        <v>82</v>
      </c>
      <c r="E52" s="88" t="str">
        <f t="shared" si="2"/>
        <v>8번 중 7번 참여</v>
      </c>
      <c r="F52" s="89">
        <f t="shared" si="3"/>
        <v>0.875</v>
      </c>
      <c r="G52" s="90"/>
      <c r="H52" s="90" t="s">
        <v>25</v>
      </c>
      <c r="I52" s="90" t="s">
        <v>25</v>
      </c>
      <c r="J52" s="90" t="s">
        <v>25</v>
      </c>
      <c r="K52" s="90" t="s">
        <v>25</v>
      </c>
      <c r="L52" s="90" t="s">
        <v>25</v>
      </c>
      <c r="M52" s="90" t="s">
        <v>25</v>
      </c>
      <c r="N52" s="90" t="s">
        <v>25</v>
      </c>
      <c r="O52" s="91" t="s">
        <v>25</v>
      </c>
    </row>
    <row r="53">
      <c r="A53" s="86"/>
      <c r="B53" s="22">
        <v>49.0</v>
      </c>
      <c r="C53" s="93" t="s">
        <v>83</v>
      </c>
      <c r="D53" s="108" t="s">
        <v>84</v>
      </c>
      <c r="E53" s="88" t="str">
        <f t="shared" si="2"/>
        <v/>
      </c>
      <c r="F53" s="89" t="str">
        <f t="shared" si="3"/>
        <v/>
      </c>
      <c r="G53" s="41"/>
      <c r="H53" s="41"/>
      <c r="I53" s="41"/>
      <c r="J53" s="41"/>
      <c r="K53" s="90"/>
      <c r="L53" s="41"/>
      <c r="M53" s="41"/>
      <c r="N53" s="41"/>
      <c r="O53" s="37"/>
    </row>
    <row r="54">
      <c r="A54" s="92"/>
      <c r="B54" s="30">
        <v>50.0</v>
      </c>
      <c r="C54" s="31" t="s">
        <v>85</v>
      </c>
      <c r="D54" s="97" t="s">
        <v>86</v>
      </c>
      <c r="E54" s="88" t="str">
        <f t="shared" si="2"/>
        <v/>
      </c>
      <c r="F54" s="89" t="str">
        <f t="shared" si="3"/>
        <v/>
      </c>
      <c r="G54" s="90"/>
      <c r="H54" s="90"/>
      <c r="I54" s="90"/>
      <c r="J54" s="90"/>
      <c r="K54" s="90"/>
      <c r="L54" s="90"/>
      <c r="M54" s="90"/>
      <c r="N54" s="90"/>
      <c r="O54" s="37"/>
    </row>
    <row r="55">
      <c r="A55" s="86"/>
      <c r="B55" s="22">
        <v>51.0</v>
      </c>
      <c r="C55" s="23" t="s">
        <v>87</v>
      </c>
      <c r="D55" s="87" t="s">
        <v>88</v>
      </c>
      <c r="E55" s="88" t="str">
        <f t="shared" si="2"/>
        <v/>
      </c>
      <c r="F55" s="89" t="str">
        <f t="shared" si="3"/>
        <v/>
      </c>
      <c r="G55" s="41"/>
      <c r="H55" s="90"/>
      <c r="I55" s="90"/>
      <c r="J55" s="41"/>
      <c r="K55" s="90"/>
      <c r="L55" s="90"/>
      <c r="M55" s="90"/>
      <c r="N55" s="90"/>
      <c r="O55" s="37"/>
    </row>
    <row r="56">
      <c r="A56" s="92"/>
      <c r="B56" s="30">
        <v>52.0</v>
      </c>
      <c r="C56" s="109" t="s">
        <v>89</v>
      </c>
      <c r="D56" s="110" t="s">
        <v>90</v>
      </c>
      <c r="E56" s="88" t="str">
        <f t="shared" si="2"/>
        <v/>
      </c>
      <c r="F56" s="89" t="str">
        <f t="shared" si="3"/>
        <v/>
      </c>
      <c r="G56" s="41"/>
      <c r="H56" s="41"/>
      <c r="I56" s="41"/>
      <c r="J56" s="41"/>
      <c r="K56" s="41"/>
      <c r="L56" s="41"/>
      <c r="M56" s="90"/>
      <c r="N56" s="41"/>
      <c r="O56" s="37"/>
    </row>
    <row r="57">
      <c r="A57" s="86"/>
      <c r="B57" s="22">
        <v>53.0</v>
      </c>
      <c r="C57" s="61" t="s">
        <v>91</v>
      </c>
      <c r="D57" s="61" t="s">
        <v>92</v>
      </c>
      <c r="E57" s="88" t="str">
        <f t="shared" si="2"/>
        <v>8번 중 5번 참여</v>
      </c>
      <c r="F57" s="89">
        <f t="shared" si="3"/>
        <v>0.625</v>
      </c>
      <c r="G57" s="90" t="s">
        <v>25</v>
      </c>
      <c r="H57" s="90" t="s">
        <v>25</v>
      </c>
      <c r="I57" s="90" t="s">
        <v>25</v>
      </c>
      <c r="J57" s="90"/>
      <c r="K57" s="90" t="s">
        <v>25</v>
      </c>
      <c r="L57" s="90" t="s">
        <v>25</v>
      </c>
      <c r="M57" s="90"/>
      <c r="N57" s="90"/>
      <c r="O57" s="37"/>
    </row>
    <row r="58">
      <c r="A58" s="92"/>
      <c r="B58" s="30">
        <v>54.0</v>
      </c>
      <c r="C58" s="31" t="s">
        <v>93</v>
      </c>
      <c r="D58" s="31" t="s">
        <v>94</v>
      </c>
      <c r="E58" s="88" t="str">
        <f t="shared" si="2"/>
        <v/>
      </c>
      <c r="F58" s="89" t="str">
        <f t="shared" si="3"/>
        <v/>
      </c>
      <c r="G58" s="41"/>
      <c r="H58" s="41"/>
      <c r="I58" s="41"/>
      <c r="J58" s="41"/>
      <c r="K58" s="41"/>
      <c r="L58" s="41"/>
      <c r="M58" s="41"/>
      <c r="N58" s="41"/>
      <c r="O58" s="37"/>
    </row>
    <row r="59">
      <c r="A59" s="86"/>
      <c r="B59" s="22">
        <v>55.0</v>
      </c>
      <c r="C59" s="23" t="s">
        <v>95</v>
      </c>
      <c r="D59" s="23" t="s">
        <v>96</v>
      </c>
      <c r="E59" s="88" t="str">
        <f t="shared" si="2"/>
        <v>8번 중 5번 참여</v>
      </c>
      <c r="F59" s="89">
        <f t="shared" si="3"/>
        <v>0.625</v>
      </c>
      <c r="G59" s="90" t="s">
        <v>25</v>
      </c>
      <c r="H59" s="90" t="s">
        <v>25</v>
      </c>
      <c r="I59" s="90" t="s">
        <v>25</v>
      </c>
      <c r="J59" s="90" t="s">
        <v>25</v>
      </c>
      <c r="K59" s="90"/>
      <c r="L59" s="90" t="s">
        <v>25</v>
      </c>
      <c r="M59" s="90"/>
      <c r="N59" s="90"/>
      <c r="O59" s="37"/>
    </row>
    <row r="60">
      <c r="A60" s="92"/>
      <c r="B60" s="30">
        <v>56.0</v>
      </c>
      <c r="C60" s="31" t="s">
        <v>97</v>
      </c>
      <c r="D60" s="31" t="s">
        <v>98</v>
      </c>
      <c r="E60" s="88" t="str">
        <f t="shared" si="2"/>
        <v>8번 중 3번 참여</v>
      </c>
      <c r="F60" s="89">
        <f t="shared" si="3"/>
        <v>0.375</v>
      </c>
      <c r="G60" s="90" t="s">
        <v>25</v>
      </c>
      <c r="H60" s="90" t="s">
        <v>25</v>
      </c>
      <c r="I60" s="90" t="s">
        <v>25</v>
      </c>
      <c r="J60" s="90"/>
      <c r="K60" s="90"/>
      <c r="L60" s="90"/>
      <c r="M60" s="90"/>
      <c r="N60" s="41"/>
      <c r="O60" s="37"/>
    </row>
    <row r="61">
      <c r="A61" s="86"/>
      <c r="B61" s="22">
        <v>57.0</v>
      </c>
      <c r="C61" s="23" t="s">
        <v>99</v>
      </c>
      <c r="D61" s="23" t="s">
        <v>100</v>
      </c>
      <c r="E61" s="88" t="str">
        <f t="shared" si="2"/>
        <v>8번 중 4번 참여</v>
      </c>
      <c r="F61" s="89">
        <f t="shared" si="3"/>
        <v>0.5</v>
      </c>
      <c r="G61" s="90" t="s">
        <v>25</v>
      </c>
      <c r="H61" s="90" t="s">
        <v>25</v>
      </c>
      <c r="I61" s="90" t="s">
        <v>25</v>
      </c>
      <c r="J61" s="90" t="s">
        <v>25</v>
      </c>
      <c r="K61" s="90"/>
      <c r="L61" s="90"/>
      <c r="M61" s="90"/>
      <c r="N61" s="41"/>
      <c r="O61" s="91" t="s">
        <v>25</v>
      </c>
    </row>
    <row r="62">
      <c r="A62" s="92"/>
      <c r="B62" s="30">
        <v>58.0</v>
      </c>
      <c r="C62" s="31" t="s">
        <v>101</v>
      </c>
      <c r="D62" s="97" t="s">
        <v>102</v>
      </c>
      <c r="E62" s="88" t="str">
        <f t="shared" si="2"/>
        <v>8번 중 6번 참여</v>
      </c>
      <c r="F62" s="89">
        <f t="shared" si="3"/>
        <v>0.75</v>
      </c>
      <c r="G62" s="90" t="s">
        <v>25</v>
      </c>
      <c r="H62" s="90" t="s">
        <v>25</v>
      </c>
      <c r="I62" s="90" t="s">
        <v>25</v>
      </c>
      <c r="J62" s="90" t="s">
        <v>25</v>
      </c>
      <c r="K62" s="90" t="s">
        <v>25</v>
      </c>
      <c r="L62" s="90" t="s">
        <v>25</v>
      </c>
      <c r="M62" s="90"/>
      <c r="N62" s="90"/>
      <c r="O62" s="37"/>
    </row>
    <row r="63">
      <c r="A63" s="86"/>
      <c r="B63" s="22">
        <v>59.0</v>
      </c>
      <c r="C63" s="23" t="s">
        <v>103</v>
      </c>
      <c r="D63" s="23" t="s">
        <v>104</v>
      </c>
      <c r="E63" s="88" t="str">
        <f t="shared" si="2"/>
        <v>8번 중 6번 참여</v>
      </c>
      <c r="F63" s="89">
        <f t="shared" si="3"/>
        <v>0.75</v>
      </c>
      <c r="G63" s="90" t="s">
        <v>25</v>
      </c>
      <c r="H63" s="90" t="s">
        <v>25</v>
      </c>
      <c r="I63" s="90" t="s">
        <v>25</v>
      </c>
      <c r="J63" s="90" t="s">
        <v>25</v>
      </c>
      <c r="K63" s="90" t="s">
        <v>25</v>
      </c>
      <c r="L63" s="90"/>
      <c r="M63" s="90" t="s">
        <v>25</v>
      </c>
      <c r="N63" s="90"/>
      <c r="O63" s="37"/>
    </row>
    <row r="64">
      <c r="A64" s="92"/>
      <c r="B64" s="30">
        <v>60.0</v>
      </c>
      <c r="C64" s="111" t="s">
        <v>105</v>
      </c>
      <c r="D64" s="112" t="s">
        <v>106</v>
      </c>
      <c r="E64" s="88" t="str">
        <f t="shared" si="2"/>
        <v/>
      </c>
      <c r="F64" s="89" t="str">
        <f t="shared" si="3"/>
        <v/>
      </c>
      <c r="G64" s="90"/>
      <c r="H64" s="90"/>
      <c r="I64" s="90"/>
      <c r="J64" s="90"/>
      <c r="K64" s="90"/>
      <c r="L64" s="90"/>
      <c r="M64" s="41"/>
      <c r="N64" s="41"/>
      <c r="O64" s="37"/>
    </row>
    <row r="65">
      <c r="A65" s="86"/>
      <c r="B65" s="22">
        <v>61.0</v>
      </c>
      <c r="C65" s="113" t="s">
        <v>107</v>
      </c>
      <c r="D65" s="114" t="s">
        <v>108</v>
      </c>
      <c r="E65" s="88" t="str">
        <f t="shared" ref="E65:E66" si="4">IF(COUNTIF(G65:I65, "완료")=0, "", COUNTIF($G$4:$N$4, "완료") &amp; "번 중 " &amp; COUNTIF(G65:I65, "완료") &amp; "번 참여")
</f>
        <v/>
      </c>
      <c r="F65" s="89" t="str">
        <f t="shared" ref="F65:F66" si="5">IF(COUNTIF($G$4:$N$4, "완료")=0, "", IF(COUNTIF(G65:I65, "완료")=0, "", COUNTIF(G65:I65, "완료") / COUNTIF($G$4:$N$4, "완료")))
</f>
        <v/>
      </c>
      <c r="G65" s="41"/>
      <c r="H65" s="41"/>
      <c r="I65" s="41"/>
      <c r="J65" s="90"/>
      <c r="K65" s="41"/>
      <c r="L65" s="41"/>
      <c r="M65" s="41"/>
      <c r="N65" s="41"/>
      <c r="O65" s="41"/>
    </row>
    <row r="66">
      <c r="A66" s="92"/>
      <c r="B66" s="30">
        <v>62.0</v>
      </c>
      <c r="C66" s="95" t="s">
        <v>109</v>
      </c>
      <c r="D66" s="95" t="s">
        <v>110</v>
      </c>
      <c r="E66" s="88" t="str">
        <f t="shared" si="4"/>
        <v/>
      </c>
      <c r="F66" s="89" t="str">
        <f t="shared" si="5"/>
        <v/>
      </c>
      <c r="G66" s="90"/>
      <c r="H66" s="90"/>
      <c r="I66" s="90"/>
      <c r="J66" s="90"/>
      <c r="K66" s="90"/>
      <c r="L66" s="90"/>
      <c r="M66" s="90"/>
      <c r="N66" s="90"/>
      <c r="O66" s="41"/>
    </row>
    <row r="67">
      <c r="A67" s="86"/>
      <c r="B67" s="22">
        <v>63.0</v>
      </c>
      <c r="C67" s="31" t="s">
        <v>111</v>
      </c>
      <c r="D67" s="31" t="s">
        <v>112</v>
      </c>
      <c r="E67" s="88" t="str">
        <f t="shared" ref="E67:E77" si="6">IF(COUNTIF(G67:N67, "완료")=0, "", COUNTIF($G$4:$N$4, "완료") &amp; "번 중 " &amp; COUNTIF(G67:N67, "완료") &amp; "번 참여")
</f>
        <v/>
      </c>
      <c r="F67" s="89" t="str">
        <f t="shared" ref="F67:F77" si="7">IF(COUNTIF($G$4:$N$4, "완료")=0, "", IF(COUNTIF(G67:N67, "완료")=0, "", COUNTIF(G67:N67, "완료") / COUNTIF($G$4:$N$4, "완료")))
</f>
        <v/>
      </c>
      <c r="G67" s="41"/>
      <c r="H67" s="41"/>
      <c r="I67" s="41"/>
      <c r="J67" s="90"/>
      <c r="K67" s="41"/>
      <c r="L67" s="41"/>
      <c r="M67" s="41"/>
      <c r="N67" s="90"/>
      <c r="O67" s="37"/>
    </row>
    <row r="68">
      <c r="A68" s="92"/>
      <c r="B68" s="30">
        <v>64.0</v>
      </c>
      <c r="C68" s="23" t="s">
        <v>113</v>
      </c>
      <c r="D68" s="23" t="s">
        <v>114</v>
      </c>
      <c r="E68" s="88" t="str">
        <f t="shared" si="6"/>
        <v>8번 중 8번 참여</v>
      </c>
      <c r="F68" s="89">
        <f t="shared" si="7"/>
        <v>1</v>
      </c>
      <c r="G68" s="90" t="s">
        <v>25</v>
      </c>
      <c r="H68" s="90" t="s">
        <v>25</v>
      </c>
      <c r="I68" s="90" t="s">
        <v>25</v>
      </c>
      <c r="J68" s="90" t="s">
        <v>25</v>
      </c>
      <c r="K68" s="90" t="s">
        <v>25</v>
      </c>
      <c r="L68" s="90" t="s">
        <v>25</v>
      </c>
      <c r="M68" s="90" t="s">
        <v>25</v>
      </c>
      <c r="N68" s="90" t="s">
        <v>25</v>
      </c>
      <c r="O68" s="91" t="s">
        <v>25</v>
      </c>
    </row>
    <row r="69">
      <c r="A69" s="86"/>
      <c r="B69" s="22">
        <v>65.0</v>
      </c>
      <c r="C69" s="115" t="s">
        <v>115</v>
      </c>
      <c r="D69" s="116" t="s">
        <v>116</v>
      </c>
      <c r="E69" s="88" t="str">
        <f t="shared" si="6"/>
        <v/>
      </c>
      <c r="F69" s="89" t="str">
        <f t="shared" si="7"/>
        <v/>
      </c>
      <c r="G69" s="41"/>
      <c r="H69" s="41"/>
      <c r="I69" s="41"/>
      <c r="J69" s="41"/>
      <c r="K69" s="41"/>
      <c r="L69" s="41"/>
      <c r="M69" s="41"/>
      <c r="N69" s="41"/>
      <c r="O69" s="37"/>
    </row>
    <row r="70">
      <c r="A70" s="117" t="s">
        <v>226</v>
      </c>
      <c r="B70" s="118">
        <v>66.0</v>
      </c>
      <c r="C70" s="119" t="s">
        <v>118</v>
      </c>
      <c r="D70" s="120" t="s">
        <v>119</v>
      </c>
      <c r="E70" s="88" t="str">
        <f t="shared" si="6"/>
        <v>8번 중 8번 참여</v>
      </c>
      <c r="F70" s="89">
        <f t="shared" si="7"/>
        <v>1</v>
      </c>
      <c r="G70" s="90" t="s">
        <v>25</v>
      </c>
      <c r="H70" s="90" t="s">
        <v>25</v>
      </c>
      <c r="I70" s="90" t="s">
        <v>25</v>
      </c>
      <c r="J70" s="90" t="s">
        <v>25</v>
      </c>
      <c r="K70" s="90" t="s">
        <v>25</v>
      </c>
      <c r="L70" s="90" t="s">
        <v>25</v>
      </c>
      <c r="M70" s="90" t="s">
        <v>25</v>
      </c>
      <c r="N70" s="90" t="s">
        <v>25</v>
      </c>
      <c r="O70" s="91" t="s">
        <v>25</v>
      </c>
    </row>
    <row r="71">
      <c r="A71" s="117"/>
      <c r="B71" s="121">
        <v>67.0</v>
      </c>
      <c r="C71" s="94" t="s">
        <v>120</v>
      </c>
      <c r="D71" s="93" t="s">
        <v>121</v>
      </c>
      <c r="E71" s="88" t="str">
        <f t="shared" si="6"/>
        <v>8번 중 8번 참여</v>
      </c>
      <c r="F71" s="89">
        <f t="shared" si="7"/>
        <v>1</v>
      </c>
      <c r="G71" s="90" t="s">
        <v>25</v>
      </c>
      <c r="H71" s="90" t="s">
        <v>25</v>
      </c>
      <c r="I71" s="90" t="s">
        <v>25</v>
      </c>
      <c r="J71" s="90" t="s">
        <v>25</v>
      </c>
      <c r="K71" s="90" t="s">
        <v>25</v>
      </c>
      <c r="L71" s="90" t="s">
        <v>25</v>
      </c>
      <c r="M71" s="90" t="s">
        <v>25</v>
      </c>
      <c r="N71" s="90" t="s">
        <v>25</v>
      </c>
      <c r="O71" s="91" t="s">
        <v>25</v>
      </c>
    </row>
    <row r="72">
      <c r="A72" s="92"/>
      <c r="B72" s="30">
        <v>68.0</v>
      </c>
      <c r="C72" s="101" t="s">
        <v>122</v>
      </c>
      <c r="D72" s="122" t="s">
        <v>123</v>
      </c>
      <c r="E72" s="88" t="str">
        <f t="shared" si="6"/>
        <v/>
      </c>
      <c r="F72" s="89" t="str">
        <f t="shared" si="7"/>
        <v/>
      </c>
      <c r="G72" s="41"/>
      <c r="H72" s="41"/>
      <c r="I72" s="41"/>
      <c r="J72" s="41"/>
      <c r="K72" s="41"/>
      <c r="L72" s="41"/>
      <c r="M72" s="41"/>
      <c r="N72" s="41"/>
      <c r="O72" s="37"/>
    </row>
    <row r="73">
      <c r="A73" s="86"/>
      <c r="B73" s="22">
        <v>69.0</v>
      </c>
      <c r="C73" s="23" t="s">
        <v>124</v>
      </c>
      <c r="D73" s="23" t="s">
        <v>125</v>
      </c>
      <c r="E73" s="88" t="str">
        <f t="shared" si="6"/>
        <v>8번 중 8번 참여</v>
      </c>
      <c r="F73" s="89">
        <f t="shared" si="7"/>
        <v>1</v>
      </c>
      <c r="G73" s="90" t="s">
        <v>25</v>
      </c>
      <c r="H73" s="90" t="s">
        <v>25</v>
      </c>
      <c r="I73" s="90" t="s">
        <v>25</v>
      </c>
      <c r="J73" s="90" t="s">
        <v>25</v>
      </c>
      <c r="K73" s="90" t="s">
        <v>25</v>
      </c>
      <c r="L73" s="90" t="s">
        <v>25</v>
      </c>
      <c r="M73" s="90" t="s">
        <v>25</v>
      </c>
      <c r="N73" s="90" t="s">
        <v>25</v>
      </c>
      <c r="O73" s="91" t="s">
        <v>25</v>
      </c>
    </row>
    <row r="74">
      <c r="A74" s="92"/>
      <c r="B74" s="30">
        <v>70.0</v>
      </c>
      <c r="C74" s="61" t="s">
        <v>126</v>
      </c>
      <c r="D74" s="123" t="s">
        <v>127</v>
      </c>
      <c r="E74" s="88" t="str">
        <f t="shared" si="6"/>
        <v/>
      </c>
      <c r="F74" s="89" t="str">
        <f t="shared" si="7"/>
        <v/>
      </c>
      <c r="G74" s="41"/>
      <c r="H74" s="90"/>
      <c r="I74" s="90"/>
      <c r="J74" s="90"/>
      <c r="K74" s="41"/>
      <c r="L74" s="41"/>
      <c r="M74" s="41"/>
      <c r="N74" s="41"/>
      <c r="O74" s="37"/>
    </row>
    <row r="75">
      <c r="A75" s="86"/>
      <c r="B75" s="22">
        <v>71.0</v>
      </c>
      <c r="C75" s="95" t="s">
        <v>128</v>
      </c>
      <c r="D75" s="124" t="s">
        <v>129</v>
      </c>
      <c r="E75" s="88" t="str">
        <f t="shared" si="6"/>
        <v/>
      </c>
      <c r="F75" s="89" t="str">
        <f t="shared" si="7"/>
        <v/>
      </c>
      <c r="G75" s="90"/>
      <c r="H75" s="90"/>
      <c r="I75" s="90"/>
      <c r="J75" s="90"/>
      <c r="K75" s="90"/>
      <c r="L75" s="90"/>
      <c r="M75" s="90"/>
      <c r="N75" s="90"/>
      <c r="O75" s="37"/>
    </row>
    <row r="76">
      <c r="A76" s="120"/>
      <c r="B76" s="94">
        <v>72.0</v>
      </c>
      <c r="C76" s="94" t="s">
        <v>130</v>
      </c>
      <c r="D76" s="101" t="s">
        <v>131</v>
      </c>
      <c r="E76" s="88" t="str">
        <f t="shared" si="6"/>
        <v/>
      </c>
      <c r="F76" s="89" t="str">
        <f t="shared" si="7"/>
        <v/>
      </c>
      <c r="G76" s="41"/>
      <c r="H76" s="41"/>
      <c r="I76" s="41"/>
      <c r="J76" s="41"/>
      <c r="K76" s="41"/>
      <c r="L76" s="41"/>
      <c r="M76" s="41"/>
      <c r="N76" s="41"/>
      <c r="O76" s="37"/>
    </row>
    <row r="77">
      <c r="A77" s="94"/>
      <c r="B77" s="94">
        <v>73.0</v>
      </c>
      <c r="C77" s="93" t="s">
        <v>132</v>
      </c>
      <c r="D77" s="23" t="s">
        <v>133</v>
      </c>
      <c r="E77" s="88" t="str">
        <f t="shared" si="6"/>
        <v/>
      </c>
      <c r="F77" s="89" t="str">
        <f t="shared" si="7"/>
        <v/>
      </c>
      <c r="G77" s="90"/>
      <c r="H77" s="41"/>
      <c r="I77" s="41"/>
      <c r="J77" s="41"/>
      <c r="K77" s="41"/>
      <c r="L77" s="41"/>
      <c r="M77" s="41"/>
      <c r="N77" s="41"/>
      <c r="O77" s="37"/>
    </row>
    <row r="78">
      <c r="A78" s="92"/>
      <c r="B78" s="30">
        <v>74.0</v>
      </c>
      <c r="C78" s="98"/>
      <c r="D78" s="98"/>
      <c r="E78" s="88"/>
      <c r="F78" s="89"/>
      <c r="G78" s="90"/>
      <c r="H78" s="90"/>
      <c r="I78" s="90"/>
      <c r="J78" s="90"/>
      <c r="K78" s="90"/>
      <c r="L78" s="90"/>
      <c r="M78" s="90"/>
      <c r="N78" s="90"/>
      <c r="O78" s="37"/>
    </row>
    <row r="79">
      <c r="A79" s="86"/>
      <c r="B79" s="22">
        <v>75.0</v>
      </c>
      <c r="C79" s="101" t="s">
        <v>136</v>
      </c>
      <c r="D79" s="31" t="s">
        <v>137</v>
      </c>
      <c r="E79" s="88" t="str">
        <f t="shared" ref="E79:E124" si="8">IF(COUNTIF(G79:N79, "완료")=0, "", COUNTIF($G$4:$N$4, "완료") &amp; "번 중 " &amp; COUNTIF(G79:N79, "완료") &amp; "번 참여")
</f>
        <v/>
      </c>
      <c r="F79" s="89" t="str">
        <f t="shared" ref="F79:F124" si="9">IF(COUNTIF($G$4:$N$4, "완료")=0, "", IF(COUNTIF(G79:N79, "완료")=0, "", COUNTIF(G79:N79, "완료") / COUNTIF($G$4:$N$4, "완료")))
</f>
        <v/>
      </c>
      <c r="G79" s="41"/>
      <c r="H79" s="41"/>
      <c r="I79" s="41"/>
      <c r="J79" s="41"/>
      <c r="K79" s="41"/>
      <c r="L79" s="41"/>
      <c r="M79" s="41"/>
      <c r="N79" s="41"/>
      <c r="O79" s="37"/>
    </row>
    <row r="80">
      <c r="A80" s="92"/>
      <c r="B80" s="30">
        <v>76.0</v>
      </c>
      <c r="C80" s="95" t="s">
        <v>138</v>
      </c>
      <c r="D80" s="23" t="s">
        <v>139</v>
      </c>
      <c r="E80" s="88" t="str">
        <f t="shared" si="8"/>
        <v/>
      </c>
      <c r="F80" s="89" t="str">
        <f t="shared" si="9"/>
        <v/>
      </c>
      <c r="G80" s="41"/>
      <c r="H80" s="41"/>
      <c r="I80" s="41"/>
      <c r="J80" s="41"/>
      <c r="K80" s="41"/>
      <c r="L80" s="41"/>
      <c r="M80" s="41"/>
      <c r="N80" s="41"/>
      <c r="O80" s="37"/>
    </row>
    <row r="81">
      <c r="A81" s="86"/>
      <c r="B81" s="22">
        <v>77.0</v>
      </c>
      <c r="C81" s="93" t="s">
        <v>140</v>
      </c>
      <c r="D81" s="23" t="s">
        <v>141</v>
      </c>
      <c r="E81" s="88" t="str">
        <f t="shared" si="8"/>
        <v>8번 중 6번 참여</v>
      </c>
      <c r="F81" s="89">
        <f t="shared" si="9"/>
        <v>0.75</v>
      </c>
      <c r="G81" s="90" t="s">
        <v>25</v>
      </c>
      <c r="H81" s="90" t="s">
        <v>25</v>
      </c>
      <c r="I81" s="90" t="s">
        <v>25</v>
      </c>
      <c r="J81" s="90" t="s">
        <v>25</v>
      </c>
      <c r="K81" s="90"/>
      <c r="L81" s="90" t="s">
        <v>25</v>
      </c>
      <c r="M81" s="90" t="s">
        <v>25</v>
      </c>
      <c r="N81" s="90"/>
      <c r="O81" s="37"/>
    </row>
    <row r="82">
      <c r="A82" s="92"/>
      <c r="B82" s="30">
        <v>78.0</v>
      </c>
      <c r="C82" s="23" t="s">
        <v>142</v>
      </c>
      <c r="D82" s="23" t="s">
        <v>143</v>
      </c>
      <c r="E82" s="88" t="str">
        <f t="shared" si="8"/>
        <v/>
      </c>
      <c r="F82" s="89" t="str">
        <f t="shared" si="9"/>
        <v/>
      </c>
      <c r="G82" s="41"/>
      <c r="H82" s="41"/>
      <c r="I82" s="41"/>
      <c r="J82" s="41"/>
      <c r="K82" s="41"/>
      <c r="L82" s="41"/>
      <c r="M82" s="41"/>
      <c r="N82" s="41"/>
      <c r="O82" s="37"/>
    </row>
    <row r="83">
      <c r="A83" s="86"/>
      <c r="B83" s="22">
        <v>79.0</v>
      </c>
      <c r="C83" s="31" t="s">
        <v>144</v>
      </c>
      <c r="D83" s="31" t="s">
        <v>145</v>
      </c>
      <c r="E83" s="88" t="str">
        <f t="shared" si="8"/>
        <v/>
      </c>
      <c r="F83" s="89" t="str">
        <f t="shared" si="9"/>
        <v/>
      </c>
      <c r="G83" s="41"/>
      <c r="H83" s="41"/>
      <c r="I83" s="41"/>
      <c r="J83" s="41"/>
      <c r="K83" s="41"/>
      <c r="L83" s="41"/>
      <c r="M83" s="41"/>
      <c r="N83" s="41"/>
      <c r="O83" s="37"/>
    </row>
    <row r="84">
      <c r="A84" s="92"/>
      <c r="B84" s="30">
        <v>80.0</v>
      </c>
      <c r="C84" s="23" t="s">
        <v>146</v>
      </c>
      <c r="D84" s="23" t="s">
        <v>147</v>
      </c>
      <c r="E84" s="88" t="str">
        <f t="shared" si="8"/>
        <v>8번 중 7번 참여</v>
      </c>
      <c r="F84" s="89">
        <f t="shared" si="9"/>
        <v>0.875</v>
      </c>
      <c r="G84" s="90"/>
      <c r="H84" s="90" t="s">
        <v>25</v>
      </c>
      <c r="I84" s="90" t="s">
        <v>25</v>
      </c>
      <c r="J84" s="90" t="s">
        <v>25</v>
      </c>
      <c r="K84" s="90" t="s">
        <v>25</v>
      </c>
      <c r="L84" s="90" t="s">
        <v>25</v>
      </c>
      <c r="M84" s="90" t="s">
        <v>25</v>
      </c>
      <c r="N84" s="90" t="s">
        <v>25</v>
      </c>
      <c r="O84" s="91" t="s">
        <v>25</v>
      </c>
    </row>
    <row r="85">
      <c r="A85" s="86"/>
      <c r="B85" s="22">
        <v>81.0</v>
      </c>
      <c r="C85" s="31" t="s">
        <v>148</v>
      </c>
      <c r="D85" s="31" t="s">
        <v>149</v>
      </c>
      <c r="E85" s="88" t="str">
        <f t="shared" si="8"/>
        <v>8번 중 8번 참여</v>
      </c>
      <c r="F85" s="89">
        <f t="shared" si="9"/>
        <v>1</v>
      </c>
      <c r="G85" s="90" t="s">
        <v>25</v>
      </c>
      <c r="H85" s="90" t="s">
        <v>25</v>
      </c>
      <c r="I85" s="90" t="s">
        <v>25</v>
      </c>
      <c r="J85" s="90" t="s">
        <v>25</v>
      </c>
      <c r="K85" s="90" t="s">
        <v>25</v>
      </c>
      <c r="L85" s="90" t="s">
        <v>25</v>
      </c>
      <c r="M85" s="90" t="s">
        <v>25</v>
      </c>
      <c r="N85" s="90" t="s">
        <v>25</v>
      </c>
      <c r="O85" s="91" t="s">
        <v>25</v>
      </c>
    </row>
    <row r="86">
      <c r="A86" s="92"/>
      <c r="B86" s="30">
        <v>82.0</v>
      </c>
      <c r="C86" s="31" t="s">
        <v>150</v>
      </c>
      <c r="D86" s="107" t="s">
        <v>151</v>
      </c>
      <c r="E86" s="88" t="str">
        <f t="shared" si="8"/>
        <v/>
      </c>
      <c r="F86" s="89" t="str">
        <f t="shared" si="9"/>
        <v/>
      </c>
      <c r="G86" s="41"/>
      <c r="H86" s="41"/>
      <c r="I86" s="41"/>
      <c r="J86" s="41"/>
      <c r="K86" s="41"/>
      <c r="L86" s="41"/>
      <c r="M86" s="41"/>
      <c r="N86" s="41"/>
      <c r="O86" s="37"/>
    </row>
    <row r="87">
      <c r="A87" s="86"/>
      <c r="B87" s="22">
        <v>83.0</v>
      </c>
      <c r="C87" s="23" t="s">
        <v>152</v>
      </c>
      <c r="D87" s="23" t="s">
        <v>153</v>
      </c>
      <c r="E87" s="88" t="str">
        <f t="shared" si="8"/>
        <v/>
      </c>
      <c r="F87" s="89" t="str">
        <f t="shared" si="9"/>
        <v/>
      </c>
      <c r="G87" s="41"/>
      <c r="H87" s="90"/>
      <c r="I87" s="90"/>
      <c r="J87" s="90"/>
      <c r="K87" s="41"/>
      <c r="L87" s="41"/>
      <c r="M87" s="41"/>
      <c r="N87" s="41"/>
      <c r="O87" s="37"/>
    </row>
    <row r="88">
      <c r="A88" s="92"/>
      <c r="B88" s="30">
        <v>84.0</v>
      </c>
      <c r="C88" s="31" t="s">
        <v>154</v>
      </c>
      <c r="D88" s="31" t="s">
        <v>155</v>
      </c>
      <c r="E88" s="88" t="str">
        <f t="shared" si="8"/>
        <v>8번 중 8번 참여</v>
      </c>
      <c r="F88" s="89">
        <f t="shared" si="9"/>
        <v>1</v>
      </c>
      <c r="G88" s="90" t="s">
        <v>25</v>
      </c>
      <c r="H88" s="90" t="s">
        <v>25</v>
      </c>
      <c r="I88" s="90" t="s">
        <v>25</v>
      </c>
      <c r="J88" s="90" t="s">
        <v>25</v>
      </c>
      <c r="K88" s="90" t="s">
        <v>25</v>
      </c>
      <c r="L88" s="90" t="s">
        <v>25</v>
      </c>
      <c r="M88" s="90" t="s">
        <v>25</v>
      </c>
      <c r="N88" s="90" t="s">
        <v>25</v>
      </c>
      <c r="O88" s="91" t="s">
        <v>25</v>
      </c>
    </row>
    <row r="89">
      <c r="A89" s="86"/>
      <c r="B89" s="22">
        <v>85.0</v>
      </c>
      <c r="C89" s="23" t="s">
        <v>156</v>
      </c>
      <c r="D89" s="23" t="s">
        <v>157</v>
      </c>
      <c r="E89" s="88" t="str">
        <f t="shared" si="8"/>
        <v>8번 중 6번 참여</v>
      </c>
      <c r="F89" s="89">
        <f t="shared" si="9"/>
        <v>0.75</v>
      </c>
      <c r="G89" s="90" t="s">
        <v>25</v>
      </c>
      <c r="H89" s="90" t="s">
        <v>25</v>
      </c>
      <c r="I89" s="90" t="s">
        <v>25</v>
      </c>
      <c r="J89" s="90" t="s">
        <v>25</v>
      </c>
      <c r="K89" s="90" t="s">
        <v>25</v>
      </c>
      <c r="L89" s="90"/>
      <c r="M89" s="90" t="s">
        <v>25</v>
      </c>
      <c r="N89" s="90"/>
      <c r="O89" s="37"/>
    </row>
    <row r="90">
      <c r="A90" s="92"/>
      <c r="B90" s="30">
        <v>86.0</v>
      </c>
      <c r="C90" s="125" t="s">
        <v>158</v>
      </c>
      <c r="D90" s="125" t="s">
        <v>159</v>
      </c>
      <c r="E90" s="88" t="str">
        <f t="shared" si="8"/>
        <v>8번 중 7번 참여</v>
      </c>
      <c r="F90" s="89">
        <f t="shared" si="9"/>
        <v>0.875</v>
      </c>
      <c r="G90" s="90" t="s">
        <v>25</v>
      </c>
      <c r="H90" s="90" t="s">
        <v>25</v>
      </c>
      <c r="I90" s="90" t="s">
        <v>25</v>
      </c>
      <c r="J90" s="90" t="s">
        <v>25</v>
      </c>
      <c r="K90" s="126" t="s">
        <v>25</v>
      </c>
      <c r="L90" s="90" t="s">
        <v>25</v>
      </c>
      <c r="M90" s="90" t="s">
        <v>25</v>
      </c>
      <c r="N90" s="90"/>
      <c r="O90" s="91" t="s">
        <v>25</v>
      </c>
    </row>
    <row r="91">
      <c r="A91" s="86"/>
      <c r="B91" s="22">
        <v>87.0</v>
      </c>
      <c r="C91" s="127" t="s">
        <v>160</v>
      </c>
      <c r="D91" s="127" t="s">
        <v>161</v>
      </c>
      <c r="E91" s="88" t="str">
        <f t="shared" si="8"/>
        <v>8번 중 8번 참여</v>
      </c>
      <c r="F91" s="89">
        <f t="shared" si="9"/>
        <v>1</v>
      </c>
      <c r="G91" s="90" t="s">
        <v>25</v>
      </c>
      <c r="H91" s="90" t="s">
        <v>25</v>
      </c>
      <c r="I91" s="90" t="s">
        <v>25</v>
      </c>
      <c r="J91" s="90" t="s">
        <v>25</v>
      </c>
      <c r="K91" s="90" t="s">
        <v>25</v>
      </c>
      <c r="L91" s="90" t="s">
        <v>25</v>
      </c>
      <c r="M91" s="90" t="s">
        <v>25</v>
      </c>
      <c r="N91" s="90" t="s">
        <v>25</v>
      </c>
      <c r="O91" s="37"/>
    </row>
    <row r="92">
      <c r="A92" s="92"/>
      <c r="B92" s="30">
        <v>88.0</v>
      </c>
      <c r="C92" s="31" t="s">
        <v>162</v>
      </c>
      <c r="D92" s="31" t="s">
        <v>163</v>
      </c>
      <c r="E92" s="88" t="str">
        <f t="shared" si="8"/>
        <v>8번 중 6번 참여</v>
      </c>
      <c r="F92" s="89">
        <f t="shared" si="9"/>
        <v>0.75</v>
      </c>
      <c r="G92" s="90"/>
      <c r="H92" s="90"/>
      <c r="I92" s="90" t="s">
        <v>25</v>
      </c>
      <c r="J92" s="90" t="s">
        <v>25</v>
      </c>
      <c r="K92" s="90" t="s">
        <v>25</v>
      </c>
      <c r="L92" s="90" t="s">
        <v>25</v>
      </c>
      <c r="M92" s="90" t="s">
        <v>25</v>
      </c>
      <c r="N92" s="90" t="s">
        <v>25</v>
      </c>
      <c r="O92" s="91" t="s">
        <v>25</v>
      </c>
    </row>
    <row r="93">
      <c r="A93" s="86"/>
      <c r="B93" s="22">
        <v>89.0</v>
      </c>
      <c r="C93" s="23" t="s">
        <v>164</v>
      </c>
      <c r="D93" s="23" t="s">
        <v>165</v>
      </c>
      <c r="E93" s="88" t="str">
        <f t="shared" si="8"/>
        <v/>
      </c>
      <c r="F93" s="89" t="str">
        <f t="shared" si="9"/>
        <v/>
      </c>
      <c r="G93" s="90"/>
      <c r="H93" s="90"/>
      <c r="I93" s="90"/>
      <c r="J93" s="90"/>
      <c r="K93" s="90"/>
      <c r="L93" s="90"/>
      <c r="M93" s="90"/>
      <c r="N93" s="90"/>
      <c r="O93" s="37"/>
    </row>
    <row r="94">
      <c r="A94" s="92"/>
      <c r="B94" s="30">
        <v>90.0</v>
      </c>
      <c r="C94" s="125" t="s">
        <v>166</v>
      </c>
      <c r="D94" s="125" t="s">
        <v>167</v>
      </c>
      <c r="E94" s="88" t="str">
        <f t="shared" si="8"/>
        <v>8번 중 6번 참여</v>
      </c>
      <c r="F94" s="89">
        <f t="shared" si="9"/>
        <v>0.75</v>
      </c>
      <c r="G94" s="90" t="s">
        <v>25</v>
      </c>
      <c r="H94" s="90" t="s">
        <v>25</v>
      </c>
      <c r="I94" s="90"/>
      <c r="J94" s="90"/>
      <c r="K94" s="90" t="s">
        <v>25</v>
      </c>
      <c r="L94" s="90" t="s">
        <v>25</v>
      </c>
      <c r="M94" s="90" t="s">
        <v>25</v>
      </c>
      <c r="N94" s="90" t="s">
        <v>25</v>
      </c>
      <c r="O94" s="91" t="s">
        <v>25</v>
      </c>
    </row>
    <row r="95">
      <c r="A95" s="86"/>
      <c r="B95" s="22">
        <v>91.0</v>
      </c>
      <c r="C95" s="23" t="s">
        <v>168</v>
      </c>
      <c r="D95" s="100" t="s">
        <v>169</v>
      </c>
      <c r="E95" s="88" t="str">
        <f t="shared" si="8"/>
        <v>8번 중 4번 참여</v>
      </c>
      <c r="F95" s="89">
        <f t="shared" si="9"/>
        <v>0.5</v>
      </c>
      <c r="G95" s="90" t="s">
        <v>25</v>
      </c>
      <c r="H95" s="90"/>
      <c r="I95" s="90"/>
      <c r="J95" s="90" t="s">
        <v>25</v>
      </c>
      <c r="K95" s="90" t="s">
        <v>25</v>
      </c>
      <c r="L95" s="90"/>
      <c r="M95" s="90" t="s">
        <v>25</v>
      </c>
      <c r="N95" s="41"/>
      <c r="O95" s="37"/>
    </row>
    <row r="96">
      <c r="A96" s="92"/>
      <c r="B96" s="30">
        <v>92.0</v>
      </c>
      <c r="C96" s="31" t="s">
        <v>170</v>
      </c>
      <c r="D96" s="31" t="s">
        <v>171</v>
      </c>
      <c r="E96" s="88" t="str">
        <f t="shared" si="8"/>
        <v>8번 중 8번 참여</v>
      </c>
      <c r="F96" s="89">
        <f t="shared" si="9"/>
        <v>1</v>
      </c>
      <c r="G96" s="90" t="s">
        <v>25</v>
      </c>
      <c r="H96" s="90" t="s">
        <v>25</v>
      </c>
      <c r="I96" s="90" t="s">
        <v>25</v>
      </c>
      <c r="J96" s="90" t="s">
        <v>25</v>
      </c>
      <c r="K96" s="90" t="s">
        <v>25</v>
      </c>
      <c r="L96" s="90" t="s">
        <v>25</v>
      </c>
      <c r="M96" s="90" t="s">
        <v>25</v>
      </c>
      <c r="N96" s="90" t="s">
        <v>25</v>
      </c>
      <c r="O96" s="37"/>
    </row>
    <row r="97">
      <c r="A97" s="86"/>
      <c r="B97" s="22">
        <v>93.0</v>
      </c>
      <c r="C97" s="23" t="s">
        <v>172</v>
      </c>
      <c r="D97" s="100" t="s">
        <v>173</v>
      </c>
      <c r="E97" s="88" t="str">
        <f t="shared" si="8"/>
        <v>8번 중 8번 참여</v>
      </c>
      <c r="F97" s="89">
        <f t="shared" si="9"/>
        <v>1</v>
      </c>
      <c r="G97" s="90" t="s">
        <v>25</v>
      </c>
      <c r="H97" s="90" t="s">
        <v>25</v>
      </c>
      <c r="I97" s="90" t="s">
        <v>25</v>
      </c>
      <c r="J97" s="90" t="s">
        <v>25</v>
      </c>
      <c r="K97" s="90" t="s">
        <v>25</v>
      </c>
      <c r="L97" s="90" t="s">
        <v>25</v>
      </c>
      <c r="M97" s="90" t="s">
        <v>25</v>
      </c>
      <c r="N97" s="90" t="s">
        <v>25</v>
      </c>
      <c r="O97" s="37"/>
    </row>
    <row r="98">
      <c r="A98" s="92"/>
      <c r="B98" s="30">
        <v>94.0</v>
      </c>
      <c r="C98" s="31" t="s">
        <v>174</v>
      </c>
      <c r="D98" s="128" t="s">
        <v>175</v>
      </c>
      <c r="E98" s="88" t="str">
        <f t="shared" si="8"/>
        <v/>
      </c>
      <c r="F98" s="89" t="str">
        <f t="shared" si="9"/>
        <v/>
      </c>
      <c r="G98" s="41"/>
      <c r="H98" s="90"/>
      <c r="I98" s="90"/>
      <c r="J98" s="41"/>
      <c r="K98" s="90"/>
      <c r="L98" s="41"/>
      <c r="M98" s="41"/>
      <c r="N98" s="41"/>
      <c r="O98" s="37"/>
    </row>
    <row r="99">
      <c r="A99" s="86"/>
      <c r="B99" s="22">
        <v>95.0</v>
      </c>
      <c r="C99" s="109" t="s">
        <v>176</v>
      </c>
      <c r="D99" s="110" t="s">
        <v>177</v>
      </c>
      <c r="E99" s="88" t="str">
        <f t="shared" si="8"/>
        <v>8번 중 6번 참여</v>
      </c>
      <c r="F99" s="89">
        <f t="shared" si="9"/>
        <v>0.75</v>
      </c>
      <c r="G99" s="90"/>
      <c r="H99" s="90" t="s">
        <v>25</v>
      </c>
      <c r="I99" s="90" t="s">
        <v>25</v>
      </c>
      <c r="J99" s="90" t="s">
        <v>25</v>
      </c>
      <c r="K99" s="90" t="s">
        <v>25</v>
      </c>
      <c r="L99" s="90" t="s">
        <v>25</v>
      </c>
      <c r="M99" s="90" t="s">
        <v>25</v>
      </c>
      <c r="N99" s="90"/>
      <c r="O99" s="37"/>
    </row>
    <row r="100">
      <c r="A100" s="92"/>
      <c r="B100" s="30">
        <v>96.0</v>
      </c>
      <c r="C100" s="94" t="s">
        <v>178</v>
      </c>
      <c r="D100" s="129" t="s">
        <v>179</v>
      </c>
      <c r="E100" s="88" t="str">
        <f t="shared" si="8"/>
        <v/>
      </c>
      <c r="F100" s="89" t="str">
        <f t="shared" si="9"/>
        <v/>
      </c>
      <c r="G100" s="90" t="s">
        <v>80</v>
      </c>
      <c r="H100" s="90"/>
      <c r="I100" s="90"/>
      <c r="J100" s="90"/>
      <c r="K100" s="90"/>
      <c r="L100" s="90"/>
      <c r="M100" s="90"/>
      <c r="N100" s="41"/>
      <c r="O100" s="37"/>
    </row>
    <row r="101">
      <c r="A101" s="86"/>
      <c r="B101" s="22">
        <v>97.0</v>
      </c>
      <c r="C101" s="23" t="s">
        <v>180</v>
      </c>
      <c r="D101" s="100" t="s">
        <v>181</v>
      </c>
      <c r="E101" s="88" t="str">
        <f t="shared" si="8"/>
        <v>8번 중 8번 참여</v>
      </c>
      <c r="F101" s="89">
        <f t="shared" si="9"/>
        <v>1</v>
      </c>
      <c r="G101" s="90" t="s">
        <v>25</v>
      </c>
      <c r="H101" s="90" t="s">
        <v>25</v>
      </c>
      <c r="I101" s="90" t="s">
        <v>25</v>
      </c>
      <c r="J101" s="90" t="s">
        <v>25</v>
      </c>
      <c r="K101" s="90" t="s">
        <v>25</v>
      </c>
      <c r="L101" s="90" t="s">
        <v>25</v>
      </c>
      <c r="M101" s="90" t="s">
        <v>25</v>
      </c>
      <c r="N101" s="90" t="s">
        <v>25</v>
      </c>
      <c r="O101" s="91" t="s">
        <v>25</v>
      </c>
    </row>
    <row r="102">
      <c r="A102" s="92"/>
      <c r="B102" s="30">
        <v>98.0</v>
      </c>
      <c r="C102" s="130" t="s">
        <v>205</v>
      </c>
      <c r="D102" s="113" t="s">
        <v>206</v>
      </c>
      <c r="E102" s="88" t="str">
        <f t="shared" si="8"/>
        <v/>
      </c>
      <c r="F102" s="89" t="str">
        <f t="shared" si="9"/>
        <v/>
      </c>
      <c r="G102" s="90"/>
      <c r="H102" s="41"/>
      <c r="I102" s="90"/>
      <c r="J102" s="41"/>
      <c r="K102" s="41"/>
      <c r="L102" s="41"/>
      <c r="M102" s="90"/>
      <c r="N102" s="41"/>
      <c r="O102" s="37"/>
    </row>
    <row r="103">
      <c r="A103" s="86"/>
      <c r="B103" s="22">
        <v>99.0</v>
      </c>
      <c r="C103" s="50" t="s">
        <v>182</v>
      </c>
      <c r="D103" s="131" t="s">
        <v>183</v>
      </c>
      <c r="E103" s="88" t="str">
        <f t="shared" si="8"/>
        <v>8번 중 7번 참여</v>
      </c>
      <c r="F103" s="89">
        <f t="shared" si="9"/>
        <v>0.875</v>
      </c>
      <c r="G103" s="90" t="s">
        <v>25</v>
      </c>
      <c r="H103" s="90" t="s">
        <v>25</v>
      </c>
      <c r="I103" s="90" t="s">
        <v>25</v>
      </c>
      <c r="J103" s="90" t="s">
        <v>25</v>
      </c>
      <c r="K103" s="90" t="s">
        <v>25</v>
      </c>
      <c r="L103" s="90" t="s">
        <v>25</v>
      </c>
      <c r="M103" s="90"/>
      <c r="N103" s="90" t="s">
        <v>25</v>
      </c>
      <c r="O103" s="91" t="s">
        <v>25</v>
      </c>
    </row>
    <row r="104">
      <c r="A104" s="92"/>
      <c r="B104" s="30">
        <v>100.0</v>
      </c>
      <c r="C104" s="101" t="s">
        <v>184</v>
      </c>
      <c r="D104" s="101" t="s">
        <v>185</v>
      </c>
      <c r="E104" s="88" t="str">
        <f t="shared" si="8"/>
        <v/>
      </c>
      <c r="F104" s="89" t="str">
        <f t="shared" si="9"/>
        <v/>
      </c>
      <c r="G104" s="90"/>
      <c r="H104" s="90"/>
      <c r="I104" s="90"/>
      <c r="J104" s="90"/>
      <c r="K104" s="90"/>
      <c r="L104" s="90"/>
      <c r="M104" s="90"/>
      <c r="N104" s="90"/>
      <c r="O104" s="37"/>
    </row>
    <row r="105">
      <c r="A105" s="86"/>
      <c r="B105" s="22">
        <v>101.0</v>
      </c>
      <c r="C105" s="132"/>
      <c r="D105" s="124"/>
      <c r="E105" s="88" t="str">
        <f t="shared" si="8"/>
        <v/>
      </c>
      <c r="F105" s="89" t="str">
        <f t="shared" si="9"/>
        <v/>
      </c>
      <c r="G105" s="41"/>
      <c r="H105" s="41"/>
      <c r="I105" s="41"/>
      <c r="J105" s="41"/>
      <c r="K105" s="41"/>
      <c r="L105" s="41"/>
      <c r="M105" s="41"/>
      <c r="N105" s="41"/>
      <c r="O105" s="37"/>
    </row>
    <row r="106">
      <c r="A106" s="92"/>
      <c r="B106" s="30">
        <v>102.0</v>
      </c>
      <c r="C106" s="133"/>
      <c r="D106" s="95"/>
      <c r="E106" s="88" t="str">
        <f t="shared" si="8"/>
        <v/>
      </c>
      <c r="F106" s="89" t="str">
        <f t="shared" si="9"/>
        <v/>
      </c>
      <c r="G106" s="41"/>
      <c r="H106" s="41"/>
      <c r="I106" s="41"/>
      <c r="J106" s="41"/>
      <c r="K106" s="41"/>
      <c r="L106" s="41"/>
      <c r="M106" s="41"/>
      <c r="N106" s="41"/>
      <c r="O106" s="37"/>
    </row>
    <row r="107">
      <c r="A107" s="86"/>
      <c r="B107" s="22">
        <v>103.0</v>
      </c>
      <c r="C107" s="134"/>
      <c r="D107" s="135"/>
      <c r="E107" s="88" t="str">
        <f t="shared" si="8"/>
        <v/>
      </c>
      <c r="F107" s="89" t="str">
        <f t="shared" si="9"/>
        <v/>
      </c>
      <c r="G107" s="41"/>
      <c r="H107" s="41"/>
      <c r="I107" s="41"/>
      <c r="J107" s="41"/>
      <c r="K107" s="41"/>
      <c r="L107" s="41"/>
      <c r="M107" s="41"/>
      <c r="N107" s="41"/>
      <c r="O107" s="37"/>
    </row>
    <row r="108">
      <c r="A108" s="92"/>
      <c r="B108" s="30">
        <v>104.0</v>
      </c>
      <c r="C108" s="136"/>
      <c r="D108" s="122"/>
      <c r="E108" s="88" t="str">
        <f t="shared" si="8"/>
        <v/>
      </c>
      <c r="F108" s="89" t="str">
        <f t="shared" si="9"/>
        <v/>
      </c>
      <c r="G108" s="41"/>
      <c r="H108" s="41"/>
      <c r="I108" s="41"/>
      <c r="J108" s="41"/>
      <c r="K108" s="41"/>
      <c r="L108" s="41"/>
      <c r="M108" s="41"/>
      <c r="N108" s="41"/>
      <c r="O108" s="37"/>
    </row>
    <row r="109">
      <c r="A109" s="86"/>
      <c r="B109" s="22">
        <v>105.0</v>
      </c>
      <c r="C109" s="68"/>
      <c r="D109" s="68"/>
      <c r="E109" s="88" t="str">
        <f t="shared" si="8"/>
        <v/>
      </c>
      <c r="F109" s="89" t="str">
        <f t="shared" si="9"/>
        <v/>
      </c>
      <c r="G109" s="41"/>
      <c r="H109" s="41"/>
      <c r="I109" s="41"/>
      <c r="J109" s="41"/>
      <c r="K109" s="41"/>
      <c r="L109" s="41"/>
      <c r="M109" s="41"/>
      <c r="N109" s="41"/>
      <c r="O109" s="37"/>
    </row>
    <row r="110">
      <c r="A110" s="92"/>
      <c r="B110" s="30">
        <v>106.0</v>
      </c>
      <c r="C110" s="67"/>
      <c r="D110" s="67"/>
      <c r="E110" s="88" t="str">
        <f t="shared" si="8"/>
        <v/>
      </c>
      <c r="F110" s="89" t="str">
        <f t="shared" si="9"/>
        <v/>
      </c>
      <c r="G110" s="41"/>
      <c r="H110" s="41"/>
      <c r="I110" s="41"/>
      <c r="J110" s="41"/>
      <c r="K110" s="41"/>
      <c r="L110" s="41"/>
      <c r="M110" s="41"/>
      <c r="N110" s="41"/>
      <c r="O110" s="37"/>
    </row>
    <row r="111">
      <c r="A111" s="86"/>
      <c r="B111" s="22">
        <v>107.0</v>
      </c>
      <c r="C111" s="68"/>
      <c r="D111" s="68"/>
      <c r="E111" s="88" t="str">
        <f t="shared" si="8"/>
        <v/>
      </c>
      <c r="F111" s="89" t="str">
        <f t="shared" si="9"/>
        <v/>
      </c>
      <c r="G111" s="41"/>
      <c r="H111" s="41"/>
      <c r="I111" s="41"/>
      <c r="J111" s="41"/>
      <c r="K111" s="41"/>
      <c r="L111" s="41"/>
      <c r="M111" s="41"/>
      <c r="N111" s="41"/>
      <c r="O111" s="37"/>
    </row>
    <row r="112">
      <c r="A112" s="92"/>
      <c r="B112" s="30">
        <v>108.0</v>
      </c>
      <c r="C112" s="67"/>
      <c r="D112" s="67"/>
      <c r="E112" s="88" t="str">
        <f t="shared" si="8"/>
        <v/>
      </c>
      <c r="F112" s="89" t="str">
        <f t="shared" si="9"/>
        <v/>
      </c>
      <c r="G112" s="41"/>
      <c r="H112" s="41"/>
      <c r="I112" s="41"/>
      <c r="J112" s="41"/>
      <c r="K112" s="41"/>
      <c r="L112" s="41"/>
      <c r="M112" s="41"/>
      <c r="N112" s="41"/>
      <c r="O112" s="37"/>
    </row>
    <row r="113">
      <c r="A113" s="86"/>
      <c r="B113" s="22">
        <v>109.0</v>
      </c>
      <c r="C113" s="68"/>
      <c r="D113" s="68"/>
      <c r="E113" s="88" t="str">
        <f t="shared" si="8"/>
        <v/>
      </c>
      <c r="F113" s="89" t="str">
        <f t="shared" si="9"/>
        <v/>
      </c>
      <c r="G113" s="41"/>
      <c r="H113" s="41"/>
      <c r="I113" s="41"/>
      <c r="J113" s="41"/>
      <c r="K113" s="41"/>
      <c r="L113" s="41"/>
      <c r="M113" s="41"/>
      <c r="N113" s="41"/>
      <c r="O113" s="37"/>
    </row>
    <row r="114">
      <c r="A114" s="92"/>
      <c r="B114" s="30">
        <v>110.0</v>
      </c>
      <c r="C114" s="67"/>
      <c r="D114" s="67"/>
      <c r="E114" s="88" t="str">
        <f t="shared" si="8"/>
        <v/>
      </c>
      <c r="F114" s="89" t="str">
        <f t="shared" si="9"/>
        <v/>
      </c>
      <c r="G114" s="41"/>
      <c r="H114" s="41"/>
      <c r="I114" s="41"/>
      <c r="J114" s="41"/>
      <c r="K114" s="41"/>
      <c r="L114" s="41"/>
      <c r="M114" s="41"/>
      <c r="N114" s="41"/>
      <c r="O114" s="37"/>
    </row>
    <row r="115">
      <c r="A115" s="86"/>
      <c r="B115" s="22">
        <v>111.0</v>
      </c>
      <c r="C115" s="68"/>
      <c r="D115" s="68"/>
      <c r="E115" s="88" t="str">
        <f t="shared" si="8"/>
        <v/>
      </c>
      <c r="F115" s="89" t="str">
        <f t="shared" si="9"/>
        <v/>
      </c>
      <c r="G115" s="41"/>
      <c r="H115" s="41"/>
      <c r="I115" s="41"/>
      <c r="J115" s="41"/>
      <c r="K115" s="41"/>
      <c r="L115" s="41"/>
      <c r="M115" s="41"/>
      <c r="N115" s="41"/>
      <c r="O115" s="37"/>
    </row>
    <row r="116">
      <c r="A116" s="92"/>
      <c r="B116" s="30">
        <v>112.0</v>
      </c>
      <c r="C116" s="67"/>
      <c r="D116" s="67"/>
      <c r="E116" s="88" t="str">
        <f t="shared" si="8"/>
        <v/>
      </c>
      <c r="F116" s="89" t="str">
        <f t="shared" si="9"/>
        <v/>
      </c>
      <c r="G116" s="41"/>
      <c r="H116" s="41"/>
      <c r="I116" s="41"/>
      <c r="J116" s="41"/>
      <c r="K116" s="41"/>
      <c r="L116" s="41"/>
      <c r="M116" s="41"/>
      <c r="N116" s="41"/>
      <c r="O116" s="37"/>
    </row>
    <row r="117">
      <c r="A117" s="86"/>
      <c r="B117" s="22">
        <v>113.0</v>
      </c>
      <c r="C117" s="68"/>
      <c r="D117" s="68"/>
      <c r="E117" s="88" t="str">
        <f t="shared" si="8"/>
        <v/>
      </c>
      <c r="F117" s="89" t="str">
        <f t="shared" si="9"/>
        <v/>
      </c>
      <c r="G117" s="41"/>
      <c r="H117" s="41"/>
      <c r="I117" s="41"/>
      <c r="J117" s="41"/>
      <c r="K117" s="41"/>
      <c r="L117" s="41"/>
      <c r="M117" s="41"/>
      <c r="N117" s="41"/>
      <c r="O117" s="37"/>
    </row>
    <row r="118">
      <c r="A118" s="92"/>
      <c r="B118" s="30">
        <v>114.0</v>
      </c>
      <c r="C118" s="67"/>
      <c r="D118" s="67"/>
      <c r="E118" s="88" t="str">
        <f t="shared" si="8"/>
        <v/>
      </c>
      <c r="F118" s="89" t="str">
        <f t="shared" si="9"/>
        <v/>
      </c>
      <c r="G118" s="41"/>
      <c r="H118" s="41"/>
      <c r="I118" s="41"/>
      <c r="J118" s="41"/>
      <c r="K118" s="41"/>
      <c r="L118" s="41"/>
      <c r="M118" s="41"/>
      <c r="N118" s="41"/>
      <c r="O118" s="37"/>
    </row>
    <row r="119">
      <c r="A119" s="86"/>
      <c r="B119" s="22">
        <v>115.0</v>
      </c>
      <c r="C119" s="68"/>
      <c r="D119" s="68"/>
      <c r="E119" s="88" t="str">
        <f t="shared" si="8"/>
        <v/>
      </c>
      <c r="F119" s="89" t="str">
        <f t="shared" si="9"/>
        <v/>
      </c>
      <c r="G119" s="41"/>
      <c r="H119" s="41"/>
      <c r="I119" s="41"/>
      <c r="J119" s="41"/>
      <c r="K119" s="41"/>
      <c r="L119" s="41"/>
      <c r="M119" s="41"/>
      <c r="N119" s="41"/>
      <c r="O119" s="37"/>
    </row>
    <row r="120">
      <c r="A120" s="92"/>
      <c r="B120" s="30">
        <v>116.0</v>
      </c>
      <c r="C120" s="67"/>
      <c r="D120" s="67"/>
      <c r="E120" s="88" t="str">
        <f t="shared" si="8"/>
        <v/>
      </c>
      <c r="F120" s="89" t="str">
        <f t="shared" si="9"/>
        <v/>
      </c>
      <c r="G120" s="41"/>
      <c r="H120" s="41"/>
      <c r="I120" s="41"/>
      <c r="J120" s="41"/>
      <c r="K120" s="41"/>
      <c r="L120" s="41"/>
      <c r="M120" s="41"/>
      <c r="N120" s="41"/>
      <c r="O120" s="37"/>
    </row>
    <row r="121">
      <c r="A121" s="86"/>
      <c r="B121" s="22">
        <v>117.0</v>
      </c>
      <c r="C121" s="68"/>
      <c r="D121" s="68"/>
      <c r="E121" s="88" t="str">
        <f t="shared" si="8"/>
        <v/>
      </c>
      <c r="F121" s="89" t="str">
        <f t="shared" si="9"/>
        <v/>
      </c>
      <c r="G121" s="41"/>
      <c r="H121" s="41"/>
      <c r="I121" s="41"/>
      <c r="J121" s="41"/>
      <c r="K121" s="41"/>
      <c r="L121" s="41"/>
      <c r="M121" s="41"/>
      <c r="N121" s="41"/>
      <c r="O121" s="37"/>
    </row>
    <row r="122">
      <c r="A122" s="137"/>
      <c r="B122" s="69">
        <v>118.0</v>
      </c>
      <c r="C122" s="70"/>
      <c r="D122" s="70"/>
      <c r="E122" s="88" t="str">
        <f t="shared" si="8"/>
        <v/>
      </c>
      <c r="F122" s="89" t="str">
        <f t="shared" si="9"/>
        <v/>
      </c>
      <c r="G122" s="73"/>
      <c r="H122" s="73"/>
      <c r="I122" s="73"/>
      <c r="J122" s="73"/>
      <c r="K122" s="73"/>
      <c r="L122" s="73"/>
      <c r="M122" s="73"/>
      <c r="N122" s="73"/>
      <c r="O122" s="1"/>
    </row>
    <row r="123">
      <c r="A123" s="137"/>
      <c r="B123" s="69">
        <v>119.0</v>
      </c>
      <c r="C123" s="70"/>
      <c r="D123" s="70"/>
      <c r="E123" s="88" t="str">
        <f t="shared" si="8"/>
        <v/>
      </c>
      <c r="F123" s="89" t="str">
        <f t="shared" si="9"/>
        <v/>
      </c>
      <c r="G123" s="73"/>
      <c r="H123" s="73"/>
      <c r="I123" s="73"/>
      <c r="J123" s="73"/>
      <c r="K123" s="73"/>
      <c r="L123" s="73"/>
      <c r="M123" s="73"/>
      <c r="N123" s="73"/>
      <c r="O123" s="1"/>
    </row>
    <row r="124">
      <c r="A124" s="137"/>
      <c r="B124" s="69">
        <v>120.0</v>
      </c>
      <c r="C124" s="70"/>
      <c r="D124" s="70"/>
      <c r="E124" s="88" t="str">
        <f t="shared" si="8"/>
        <v/>
      </c>
      <c r="F124" s="89" t="str">
        <f t="shared" si="9"/>
        <v/>
      </c>
      <c r="G124" s="73"/>
      <c r="H124" s="73"/>
      <c r="I124" s="73"/>
      <c r="J124" s="73"/>
      <c r="K124" s="73"/>
      <c r="L124" s="73"/>
      <c r="M124" s="73"/>
      <c r="N124" s="73"/>
      <c r="O124" s="1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</row>
  </sheetData>
  <mergeCells count="2">
    <mergeCell ref="B1:D2"/>
    <mergeCell ref="E1:F2"/>
  </mergeCells>
  <dataValidations>
    <dataValidation type="list" allowBlank="1" showErrorMessage="1" sqref="G4:O124">
      <formula1>"선택,완료"</formula1>
    </dataValidation>
  </dataValidations>
  <hyperlinks>
    <hyperlink r:id="rId1" ref="D5"/>
    <hyperlink r:id="rId2" ref="D22"/>
    <hyperlink r:id="rId3" ref="D23"/>
    <hyperlink r:id="rId4" ref="D27"/>
    <hyperlink r:id="rId5" ref="D44"/>
    <hyperlink r:id="rId6" ref="D50"/>
    <hyperlink r:id="rId7" ref="D51"/>
    <hyperlink r:id="rId8" ref="D55"/>
    <hyperlink r:id="rId9" ref="D64"/>
    <hyperlink r:id="rId10" ref="D69"/>
    <hyperlink r:id="rId11" ref="D86"/>
    <hyperlink r:id="rId12" ref="D98"/>
  </hyperlinks>
  <drawing r:id="rId13"/>
  <tableParts count="1">
    <tablePart r:id="rId1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13"/>
    <col customWidth="1" min="2" max="2" width="4.88"/>
    <col customWidth="1" min="3" max="3" width="18.63"/>
    <col customWidth="1" min="4" max="4" width="21.13"/>
  </cols>
  <sheetData>
    <row r="1">
      <c r="A1" s="74"/>
      <c r="B1" s="75" t="s">
        <v>0</v>
      </c>
      <c r="E1" s="3" t="s">
        <v>1</v>
      </c>
      <c r="G1" s="76" t="s">
        <v>227</v>
      </c>
      <c r="H1" s="76" t="s">
        <v>228</v>
      </c>
      <c r="I1" s="76" t="s">
        <v>229</v>
      </c>
      <c r="J1" s="76" t="s">
        <v>230</v>
      </c>
      <c r="K1" s="76" t="s">
        <v>231</v>
      </c>
      <c r="L1" s="76" t="s">
        <v>232</v>
      </c>
      <c r="M1" s="139" t="s">
        <v>233</v>
      </c>
      <c r="N1" s="76" t="s">
        <v>234</v>
      </c>
      <c r="O1" s="76"/>
    </row>
    <row r="2">
      <c r="A2" s="77"/>
      <c r="G2" s="78" t="s">
        <v>235</v>
      </c>
      <c r="H2" s="78" t="s">
        <v>236</v>
      </c>
      <c r="I2" s="78" t="s">
        <v>237</v>
      </c>
      <c r="J2" s="78" t="s">
        <v>219</v>
      </c>
      <c r="K2" s="78" t="s">
        <v>238</v>
      </c>
      <c r="L2" s="78" t="s">
        <v>221</v>
      </c>
      <c r="M2" s="78" t="s">
        <v>239</v>
      </c>
      <c r="N2" s="78" t="s">
        <v>240</v>
      </c>
      <c r="O2" s="76"/>
    </row>
    <row r="3">
      <c r="A3" s="1"/>
      <c r="B3" s="1"/>
      <c r="C3" s="1"/>
      <c r="D3" s="1"/>
      <c r="E3" s="9"/>
      <c r="F3" s="9"/>
      <c r="G3" s="11" t="str">
        <f t="shared" ref="G3:N3" si="1">COUNTIF(G5:G200, "완료") &amp; "명 완료"
</f>
        <v>46명 완료</v>
      </c>
      <c r="H3" s="11" t="str">
        <f t="shared" si="1"/>
        <v>49명 완료</v>
      </c>
      <c r="I3" s="11" t="str">
        <f t="shared" si="1"/>
        <v>47명 완료</v>
      </c>
      <c r="J3" s="11" t="str">
        <f t="shared" si="1"/>
        <v>49명 완료</v>
      </c>
      <c r="K3" s="11" t="str">
        <f t="shared" si="1"/>
        <v>45명 완료</v>
      </c>
      <c r="L3" s="11" t="str">
        <f t="shared" si="1"/>
        <v>46명 완료</v>
      </c>
      <c r="M3" s="11" t="str">
        <f t="shared" si="1"/>
        <v>36명 완료</v>
      </c>
      <c r="N3" s="11" t="str">
        <f t="shared" si="1"/>
        <v>30명 완료</v>
      </c>
      <c r="O3" s="138"/>
    </row>
    <row r="4">
      <c r="A4" s="80"/>
      <c r="B4" s="81" t="s">
        <v>20</v>
      </c>
      <c r="C4" s="82" t="s">
        <v>21</v>
      </c>
      <c r="D4" s="82" t="s">
        <v>22</v>
      </c>
      <c r="E4" s="83" t="s">
        <v>23</v>
      </c>
      <c r="F4" s="83" t="s">
        <v>24</v>
      </c>
      <c r="G4" s="84" t="s">
        <v>25</v>
      </c>
      <c r="H4" s="84" t="s">
        <v>25</v>
      </c>
      <c r="I4" s="84" t="s">
        <v>25</v>
      </c>
      <c r="J4" s="84" t="s">
        <v>25</v>
      </c>
      <c r="K4" s="84" t="s">
        <v>25</v>
      </c>
      <c r="L4" s="84" t="s">
        <v>25</v>
      </c>
      <c r="M4" s="84" t="s">
        <v>80</v>
      </c>
      <c r="N4" s="84" t="s">
        <v>80</v>
      </c>
      <c r="O4" s="85"/>
    </row>
    <row r="5">
      <c r="A5" s="86"/>
      <c r="B5" s="22">
        <v>1.0</v>
      </c>
      <c r="C5" s="23" t="s">
        <v>26</v>
      </c>
      <c r="D5" s="87" t="s">
        <v>27</v>
      </c>
      <c r="E5" s="88" t="str">
        <f t="shared" ref="E5:E64" si="2">IF(COUNTIF(G5:N5, "완료")=0, "", COUNTIF($G$4:$N$4, "완료") &amp; "번 중 " &amp; COUNTIF(G5:N5, "완료") &amp; "번 참여")
</f>
        <v>6번 중 8번 참여</v>
      </c>
      <c r="F5" s="89">
        <f t="shared" ref="F5:F64" si="3">IF(COUNTIF($G$4:$N$4, "완료")=0, "", IF(COUNTIF(G5:N5, "완료")=0, "", COUNTIF(G5:N5, "완료") / COUNTIF($G$4:$N$4, "완료")))
</f>
        <v>1.333333333</v>
      </c>
      <c r="G5" s="90" t="s">
        <v>25</v>
      </c>
      <c r="H5" s="90" t="s">
        <v>25</v>
      </c>
      <c r="I5" s="90" t="s">
        <v>25</v>
      </c>
      <c r="J5" s="90" t="s">
        <v>25</v>
      </c>
      <c r="K5" s="90" t="s">
        <v>25</v>
      </c>
      <c r="L5" s="90" t="s">
        <v>25</v>
      </c>
      <c r="M5" s="90" t="s">
        <v>25</v>
      </c>
      <c r="N5" s="90" t="s">
        <v>25</v>
      </c>
      <c r="O5" s="37"/>
    </row>
    <row r="6">
      <c r="A6" s="92"/>
      <c r="B6" s="30">
        <v>2.0</v>
      </c>
      <c r="C6" s="93" t="s">
        <v>28</v>
      </c>
      <c r="D6" s="94" t="s">
        <v>225</v>
      </c>
      <c r="E6" s="88" t="str">
        <f t="shared" si="2"/>
        <v>6번 중 8번 참여</v>
      </c>
      <c r="F6" s="89">
        <f t="shared" si="3"/>
        <v>1.333333333</v>
      </c>
      <c r="G6" s="90" t="s">
        <v>25</v>
      </c>
      <c r="H6" s="90" t="s">
        <v>25</v>
      </c>
      <c r="I6" s="90" t="s">
        <v>25</v>
      </c>
      <c r="J6" s="90" t="s">
        <v>25</v>
      </c>
      <c r="K6" s="90" t="s">
        <v>25</v>
      </c>
      <c r="L6" s="90" t="s">
        <v>25</v>
      </c>
      <c r="M6" s="90" t="s">
        <v>25</v>
      </c>
      <c r="N6" s="90" t="s">
        <v>25</v>
      </c>
      <c r="O6" s="37"/>
    </row>
    <row r="7">
      <c r="A7" s="86"/>
      <c r="B7" s="22">
        <v>3.0</v>
      </c>
      <c r="C7" s="31" t="s">
        <v>30</v>
      </c>
      <c r="D7" s="31" t="s">
        <v>31</v>
      </c>
      <c r="E7" s="88" t="str">
        <f t="shared" si="2"/>
        <v>6번 중 7번 참여</v>
      </c>
      <c r="F7" s="89">
        <f t="shared" si="3"/>
        <v>1.166666667</v>
      </c>
      <c r="G7" s="90" t="s">
        <v>80</v>
      </c>
      <c r="H7" s="90" t="s">
        <v>25</v>
      </c>
      <c r="I7" s="90" t="s">
        <v>25</v>
      </c>
      <c r="J7" s="90" t="s">
        <v>25</v>
      </c>
      <c r="K7" s="90" t="s">
        <v>25</v>
      </c>
      <c r="L7" s="90" t="s">
        <v>25</v>
      </c>
      <c r="M7" s="90" t="s">
        <v>25</v>
      </c>
      <c r="N7" s="90" t="s">
        <v>25</v>
      </c>
      <c r="O7" s="37"/>
    </row>
    <row r="8">
      <c r="A8" s="92"/>
      <c r="B8" s="30">
        <v>4.0</v>
      </c>
      <c r="C8" s="23" t="s">
        <v>32</v>
      </c>
      <c r="D8" s="23" t="s">
        <v>33</v>
      </c>
      <c r="E8" s="88" t="str">
        <f t="shared" si="2"/>
        <v>6번 중 7번 참여</v>
      </c>
      <c r="F8" s="89">
        <f t="shared" si="3"/>
        <v>1.166666667</v>
      </c>
      <c r="G8" s="90" t="s">
        <v>80</v>
      </c>
      <c r="H8" s="90" t="s">
        <v>25</v>
      </c>
      <c r="I8" s="90" t="s">
        <v>25</v>
      </c>
      <c r="J8" s="90" t="s">
        <v>25</v>
      </c>
      <c r="K8" s="90" t="s">
        <v>25</v>
      </c>
      <c r="L8" s="90" t="s">
        <v>25</v>
      </c>
      <c r="M8" s="90" t="s">
        <v>25</v>
      </c>
      <c r="N8" s="90" t="s">
        <v>25</v>
      </c>
      <c r="O8" s="37"/>
    </row>
    <row r="9">
      <c r="A9" s="86"/>
      <c r="B9" s="22">
        <v>5.0</v>
      </c>
      <c r="C9" s="31" t="s">
        <v>34</v>
      </c>
      <c r="D9" s="31" t="s">
        <v>35</v>
      </c>
      <c r="E9" s="88" t="str">
        <f t="shared" si="2"/>
        <v>6번 중 7번 참여</v>
      </c>
      <c r="F9" s="89">
        <f t="shared" si="3"/>
        <v>1.166666667</v>
      </c>
      <c r="G9" s="90" t="s">
        <v>25</v>
      </c>
      <c r="H9" s="90" t="s">
        <v>25</v>
      </c>
      <c r="I9" s="90" t="s">
        <v>25</v>
      </c>
      <c r="J9" s="90" t="s">
        <v>25</v>
      </c>
      <c r="K9" s="90" t="s">
        <v>25</v>
      </c>
      <c r="L9" s="90" t="s">
        <v>25</v>
      </c>
      <c r="M9" s="90" t="s">
        <v>25</v>
      </c>
      <c r="N9" s="90"/>
      <c r="O9" s="37"/>
    </row>
    <row r="10">
      <c r="A10" s="92"/>
      <c r="B10" s="30">
        <v>6.0</v>
      </c>
      <c r="C10" s="23" t="s">
        <v>36</v>
      </c>
      <c r="D10" s="95" t="s">
        <v>37</v>
      </c>
      <c r="E10" s="88" t="str">
        <f t="shared" si="2"/>
        <v>6번 중 8번 참여</v>
      </c>
      <c r="F10" s="89">
        <f t="shared" si="3"/>
        <v>1.333333333</v>
      </c>
      <c r="G10" s="90" t="s">
        <v>25</v>
      </c>
      <c r="H10" s="90" t="s">
        <v>25</v>
      </c>
      <c r="I10" s="90" t="s">
        <v>25</v>
      </c>
      <c r="J10" s="90" t="s">
        <v>25</v>
      </c>
      <c r="K10" s="90" t="s">
        <v>25</v>
      </c>
      <c r="L10" s="90" t="s">
        <v>25</v>
      </c>
      <c r="M10" s="90" t="s">
        <v>25</v>
      </c>
      <c r="N10" s="90" t="s">
        <v>25</v>
      </c>
      <c r="O10" s="37"/>
    </row>
    <row r="11">
      <c r="A11" s="86"/>
      <c r="B11" s="22">
        <v>7.0</v>
      </c>
      <c r="C11" s="31" t="s">
        <v>38</v>
      </c>
      <c r="D11" s="31" t="s">
        <v>39</v>
      </c>
      <c r="E11" s="88" t="str">
        <f t="shared" si="2"/>
        <v>6번 중 8번 참여</v>
      </c>
      <c r="F11" s="89">
        <f t="shared" si="3"/>
        <v>1.333333333</v>
      </c>
      <c r="G11" s="90" t="s">
        <v>25</v>
      </c>
      <c r="H11" s="90" t="s">
        <v>25</v>
      </c>
      <c r="I11" s="90" t="s">
        <v>25</v>
      </c>
      <c r="J11" s="90" t="s">
        <v>25</v>
      </c>
      <c r="K11" s="90" t="s">
        <v>25</v>
      </c>
      <c r="L11" s="90" t="s">
        <v>25</v>
      </c>
      <c r="M11" s="90" t="s">
        <v>25</v>
      </c>
      <c r="N11" s="90" t="s">
        <v>25</v>
      </c>
      <c r="O11" s="37"/>
    </row>
    <row r="12">
      <c r="A12" s="92"/>
      <c r="B12" s="30">
        <v>8.0</v>
      </c>
      <c r="C12" s="23" t="s">
        <v>40</v>
      </c>
      <c r="D12" s="23" t="s">
        <v>41</v>
      </c>
      <c r="E12" s="88" t="str">
        <f t="shared" si="2"/>
        <v>6번 중 8번 참여</v>
      </c>
      <c r="F12" s="89">
        <f t="shared" si="3"/>
        <v>1.333333333</v>
      </c>
      <c r="G12" s="90" t="s">
        <v>25</v>
      </c>
      <c r="H12" s="90" t="s">
        <v>25</v>
      </c>
      <c r="I12" s="90" t="s">
        <v>25</v>
      </c>
      <c r="J12" s="90" t="s">
        <v>25</v>
      </c>
      <c r="K12" s="90" t="s">
        <v>25</v>
      </c>
      <c r="L12" s="90" t="s">
        <v>25</v>
      </c>
      <c r="M12" s="90" t="s">
        <v>25</v>
      </c>
      <c r="N12" s="90" t="s">
        <v>25</v>
      </c>
      <c r="O12" s="37"/>
    </row>
    <row r="13">
      <c r="A13" s="86"/>
      <c r="B13" s="22">
        <v>9.0</v>
      </c>
      <c r="C13" s="31" t="s">
        <v>42</v>
      </c>
      <c r="D13" s="31" t="s">
        <v>43</v>
      </c>
      <c r="E13" s="88" t="str">
        <f t="shared" si="2"/>
        <v>6번 중 4번 참여</v>
      </c>
      <c r="F13" s="89">
        <f t="shared" si="3"/>
        <v>0.6666666667</v>
      </c>
      <c r="G13" s="90" t="s">
        <v>80</v>
      </c>
      <c r="H13" s="90" t="s">
        <v>25</v>
      </c>
      <c r="I13" s="90"/>
      <c r="J13" s="90" t="s">
        <v>25</v>
      </c>
      <c r="K13" s="90"/>
      <c r="L13" s="90" t="s">
        <v>25</v>
      </c>
      <c r="M13" s="90"/>
      <c r="N13" s="90" t="s">
        <v>25</v>
      </c>
      <c r="O13" s="37"/>
    </row>
    <row r="14">
      <c r="A14" s="92"/>
      <c r="B14" s="30">
        <v>10.0</v>
      </c>
      <c r="C14" s="23" t="s">
        <v>44</v>
      </c>
      <c r="D14" s="23" t="s">
        <v>45</v>
      </c>
      <c r="E14" s="88" t="str">
        <f t="shared" si="2"/>
        <v>6번 중 8번 참여</v>
      </c>
      <c r="F14" s="89">
        <f t="shared" si="3"/>
        <v>1.333333333</v>
      </c>
      <c r="G14" s="90" t="s">
        <v>25</v>
      </c>
      <c r="H14" s="90" t="s">
        <v>25</v>
      </c>
      <c r="I14" s="90" t="s">
        <v>25</v>
      </c>
      <c r="J14" s="90" t="s">
        <v>25</v>
      </c>
      <c r="K14" s="90" t="s">
        <v>25</v>
      </c>
      <c r="L14" s="90" t="s">
        <v>25</v>
      </c>
      <c r="M14" s="90" t="s">
        <v>25</v>
      </c>
      <c r="N14" s="90" t="s">
        <v>25</v>
      </c>
      <c r="O14" s="37"/>
    </row>
    <row r="15">
      <c r="A15" s="86"/>
      <c r="B15" s="22">
        <v>11.0</v>
      </c>
      <c r="C15" s="31" t="s">
        <v>46</v>
      </c>
      <c r="D15" s="31" t="s">
        <v>47</v>
      </c>
      <c r="E15" s="88" t="str">
        <f t="shared" si="2"/>
        <v>6번 중 8번 참여</v>
      </c>
      <c r="F15" s="89">
        <f t="shared" si="3"/>
        <v>1.333333333</v>
      </c>
      <c r="G15" s="90" t="s">
        <v>25</v>
      </c>
      <c r="H15" s="90" t="s">
        <v>25</v>
      </c>
      <c r="I15" s="90" t="s">
        <v>25</v>
      </c>
      <c r="J15" s="90" t="s">
        <v>25</v>
      </c>
      <c r="K15" s="90" t="s">
        <v>25</v>
      </c>
      <c r="L15" s="90" t="s">
        <v>25</v>
      </c>
      <c r="M15" s="90" t="s">
        <v>25</v>
      </c>
      <c r="N15" s="90" t="s">
        <v>25</v>
      </c>
      <c r="O15" s="37"/>
    </row>
    <row r="16">
      <c r="A16" s="92"/>
      <c r="B16" s="30">
        <v>12.0</v>
      </c>
      <c r="C16" s="23" t="s">
        <v>48</v>
      </c>
      <c r="D16" s="23" t="s">
        <v>49</v>
      </c>
      <c r="E16" s="88" t="str">
        <f t="shared" si="2"/>
        <v>6번 중 7번 참여</v>
      </c>
      <c r="F16" s="89">
        <f t="shared" si="3"/>
        <v>1.166666667</v>
      </c>
      <c r="G16" s="90" t="s">
        <v>25</v>
      </c>
      <c r="H16" s="90" t="s">
        <v>25</v>
      </c>
      <c r="I16" s="90"/>
      <c r="J16" s="90" t="s">
        <v>25</v>
      </c>
      <c r="K16" s="90" t="s">
        <v>25</v>
      </c>
      <c r="L16" s="90" t="s">
        <v>25</v>
      </c>
      <c r="M16" s="90" t="s">
        <v>25</v>
      </c>
      <c r="N16" s="90" t="s">
        <v>25</v>
      </c>
      <c r="O16" s="37"/>
    </row>
    <row r="17">
      <c r="A17" s="86"/>
      <c r="B17" s="22">
        <v>13.0</v>
      </c>
      <c r="C17" s="31" t="s">
        <v>50</v>
      </c>
      <c r="D17" s="31" t="s">
        <v>51</v>
      </c>
      <c r="E17" s="88" t="str">
        <f t="shared" si="2"/>
        <v>6번 중 5번 참여</v>
      </c>
      <c r="F17" s="89">
        <f t="shared" si="3"/>
        <v>0.8333333333</v>
      </c>
      <c r="G17" s="90" t="s">
        <v>80</v>
      </c>
      <c r="H17" s="90" t="s">
        <v>25</v>
      </c>
      <c r="I17" s="90" t="s">
        <v>25</v>
      </c>
      <c r="J17" s="90" t="s">
        <v>25</v>
      </c>
      <c r="K17" s="90" t="s">
        <v>25</v>
      </c>
      <c r="L17" s="90" t="s">
        <v>25</v>
      </c>
      <c r="M17" s="41"/>
      <c r="N17" s="41"/>
      <c r="O17" s="37"/>
    </row>
    <row r="18">
      <c r="A18" s="92"/>
      <c r="B18" s="30">
        <v>14.0</v>
      </c>
      <c r="C18" s="23" t="s">
        <v>52</v>
      </c>
      <c r="D18" s="23" t="s">
        <v>53</v>
      </c>
      <c r="E18" s="88" t="str">
        <f t="shared" si="2"/>
        <v/>
      </c>
      <c r="F18" s="89" t="str">
        <f t="shared" si="3"/>
        <v/>
      </c>
      <c r="G18" s="90" t="s">
        <v>80</v>
      </c>
      <c r="H18" s="41"/>
      <c r="I18" s="41"/>
      <c r="J18" s="41"/>
      <c r="K18" s="41"/>
      <c r="L18" s="41"/>
      <c r="M18" s="41"/>
      <c r="N18" s="41"/>
      <c r="O18" s="37"/>
    </row>
    <row r="19">
      <c r="A19" s="86"/>
      <c r="B19" s="22">
        <v>15.0</v>
      </c>
      <c r="C19" s="96" t="s">
        <v>54</v>
      </c>
      <c r="D19" s="96" t="s">
        <v>55</v>
      </c>
      <c r="E19" s="88" t="str">
        <f t="shared" si="2"/>
        <v>6번 중 5번 참여</v>
      </c>
      <c r="F19" s="89">
        <f t="shared" si="3"/>
        <v>0.8333333333</v>
      </c>
      <c r="G19" s="90" t="s">
        <v>25</v>
      </c>
      <c r="H19" s="90" t="s">
        <v>25</v>
      </c>
      <c r="I19" s="90" t="s">
        <v>25</v>
      </c>
      <c r="J19" s="90" t="s">
        <v>25</v>
      </c>
      <c r="K19" s="90"/>
      <c r="L19" s="90"/>
      <c r="M19" s="90"/>
      <c r="N19" s="90" t="s">
        <v>25</v>
      </c>
      <c r="O19" s="37"/>
    </row>
    <row r="20">
      <c r="A20" s="92"/>
      <c r="B20" s="30">
        <v>16.0</v>
      </c>
      <c r="C20" s="23" t="s">
        <v>56</v>
      </c>
      <c r="D20" s="23" t="s">
        <v>57</v>
      </c>
      <c r="E20" s="88" t="str">
        <f t="shared" si="2"/>
        <v>6번 중 8번 참여</v>
      </c>
      <c r="F20" s="89">
        <f t="shared" si="3"/>
        <v>1.333333333</v>
      </c>
      <c r="G20" s="90" t="s">
        <v>25</v>
      </c>
      <c r="H20" s="90" t="s">
        <v>25</v>
      </c>
      <c r="I20" s="90" t="s">
        <v>25</v>
      </c>
      <c r="J20" s="90" t="s">
        <v>25</v>
      </c>
      <c r="K20" s="90" t="s">
        <v>25</v>
      </c>
      <c r="L20" s="90" t="s">
        <v>25</v>
      </c>
      <c r="M20" s="90" t="s">
        <v>25</v>
      </c>
      <c r="N20" s="90" t="s">
        <v>25</v>
      </c>
      <c r="O20" s="37"/>
    </row>
    <row r="21">
      <c r="A21" s="86"/>
      <c r="B21" s="22">
        <v>17.0</v>
      </c>
      <c r="C21" s="31" t="s">
        <v>58</v>
      </c>
      <c r="D21" s="97" t="s">
        <v>59</v>
      </c>
      <c r="E21" s="88" t="str">
        <f t="shared" si="2"/>
        <v/>
      </c>
      <c r="F21" s="89" t="str">
        <f t="shared" si="3"/>
        <v/>
      </c>
      <c r="G21" s="90" t="s">
        <v>80</v>
      </c>
      <c r="H21" s="41"/>
      <c r="I21" s="41"/>
      <c r="J21" s="41"/>
      <c r="K21" s="41"/>
      <c r="L21" s="41"/>
      <c r="M21" s="41"/>
      <c r="N21" s="41"/>
      <c r="O21" s="37"/>
    </row>
    <row r="22">
      <c r="A22" s="92"/>
      <c r="B22" s="30">
        <v>18.0</v>
      </c>
      <c r="C22" s="23" t="s">
        <v>60</v>
      </c>
      <c r="D22" s="87" t="s">
        <v>61</v>
      </c>
      <c r="E22" s="88" t="str">
        <f t="shared" si="2"/>
        <v>6번 중 1번 참여</v>
      </c>
      <c r="F22" s="89">
        <f t="shared" si="3"/>
        <v>0.1666666667</v>
      </c>
      <c r="G22" s="90" t="s">
        <v>80</v>
      </c>
      <c r="H22" s="90"/>
      <c r="I22" s="90"/>
      <c r="J22" s="90" t="s">
        <v>25</v>
      </c>
      <c r="K22" s="41"/>
      <c r="L22" s="41"/>
      <c r="M22" s="41"/>
      <c r="N22" s="41"/>
      <c r="O22" s="37"/>
    </row>
    <row r="23">
      <c r="A23" s="86"/>
      <c r="B23" s="22">
        <v>19.0</v>
      </c>
      <c r="C23" s="98" t="s">
        <v>62</v>
      </c>
      <c r="D23" s="99" t="s">
        <v>63</v>
      </c>
      <c r="E23" s="88" t="str">
        <f t="shared" si="2"/>
        <v/>
      </c>
      <c r="F23" s="89" t="str">
        <f t="shared" si="3"/>
        <v/>
      </c>
      <c r="G23" s="90" t="s">
        <v>80</v>
      </c>
      <c r="H23" s="90"/>
      <c r="I23" s="90"/>
      <c r="J23" s="90"/>
      <c r="K23" s="90"/>
      <c r="L23" s="90"/>
      <c r="M23" s="90"/>
      <c r="N23" s="90"/>
      <c r="O23" s="37"/>
    </row>
    <row r="24">
      <c r="A24" s="92"/>
      <c r="B24" s="30">
        <v>20.0</v>
      </c>
      <c r="C24" s="23" t="s">
        <v>64</v>
      </c>
      <c r="D24" s="100" t="s">
        <v>65</v>
      </c>
      <c r="E24" s="88" t="str">
        <f t="shared" si="2"/>
        <v/>
      </c>
      <c r="F24" s="89" t="str">
        <f t="shared" si="3"/>
        <v/>
      </c>
      <c r="G24" s="90" t="s">
        <v>80</v>
      </c>
      <c r="H24" s="41"/>
      <c r="I24" s="41"/>
      <c r="J24" s="41"/>
      <c r="K24" s="41"/>
      <c r="L24" s="41"/>
      <c r="M24" s="41"/>
      <c r="N24" s="41"/>
      <c r="O24" s="37"/>
    </row>
    <row r="25">
      <c r="A25" s="86"/>
      <c r="B25" s="22">
        <v>21.0</v>
      </c>
      <c r="C25" s="101" t="s">
        <v>66</v>
      </c>
      <c r="D25" s="102" t="s">
        <v>67</v>
      </c>
      <c r="E25" s="88" t="str">
        <f t="shared" si="2"/>
        <v>6번 중 8번 참여</v>
      </c>
      <c r="F25" s="89">
        <f t="shared" si="3"/>
        <v>1.333333333</v>
      </c>
      <c r="G25" s="90" t="s">
        <v>25</v>
      </c>
      <c r="H25" s="90" t="s">
        <v>25</v>
      </c>
      <c r="I25" s="90" t="s">
        <v>25</v>
      </c>
      <c r="J25" s="90" t="s">
        <v>25</v>
      </c>
      <c r="K25" s="90" t="s">
        <v>25</v>
      </c>
      <c r="L25" s="90" t="s">
        <v>25</v>
      </c>
      <c r="M25" s="90" t="s">
        <v>25</v>
      </c>
      <c r="N25" s="90" t="s">
        <v>25</v>
      </c>
      <c r="O25" s="37"/>
    </row>
    <row r="26">
      <c r="A26" s="92"/>
      <c r="B26" s="30">
        <v>22.0</v>
      </c>
      <c r="C26" s="103" t="s">
        <v>68</v>
      </c>
      <c r="D26" s="104" t="s">
        <v>69</v>
      </c>
      <c r="E26" s="88" t="str">
        <f t="shared" si="2"/>
        <v/>
      </c>
      <c r="F26" s="89" t="str">
        <f t="shared" si="3"/>
        <v/>
      </c>
      <c r="G26" s="90" t="s">
        <v>80</v>
      </c>
      <c r="H26" s="41"/>
      <c r="I26" s="41"/>
      <c r="J26" s="41"/>
      <c r="K26" s="41"/>
      <c r="L26" s="41"/>
      <c r="M26" s="41"/>
      <c r="N26" s="41"/>
      <c r="O26" s="37"/>
    </row>
    <row r="27">
      <c r="A27" s="86"/>
      <c r="B27" s="22">
        <v>23.0</v>
      </c>
      <c r="C27" s="23" t="s">
        <v>26</v>
      </c>
      <c r="D27" s="105" t="s">
        <v>27</v>
      </c>
      <c r="E27" s="88" t="str">
        <f t="shared" si="2"/>
        <v/>
      </c>
      <c r="F27" s="89" t="str">
        <f t="shared" si="3"/>
        <v/>
      </c>
      <c r="G27" s="90" t="s">
        <v>80</v>
      </c>
      <c r="H27" s="90" t="s">
        <v>80</v>
      </c>
      <c r="I27" s="90" t="s">
        <v>80</v>
      </c>
      <c r="J27" s="90" t="s">
        <v>80</v>
      </c>
      <c r="K27" s="41"/>
      <c r="L27" s="41"/>
      <c r="M27" s="41"/>
      <c r="N27" s="41"/>
      <c r="O27" s="37"/>
    </row>
    <row r="28">
      <c r="A28" s="92"/>
      <c r="B28" s="30">
        <v>24.0</v>
      </c>
      <c r="C28" s="93" t="s">
        <v>28</v>
      </c>
      <c r="D28" s="94" t="s">
        <v>70</v>
      </c>
      <c r="E28" s="88" t="str">
        <f t="shared" si="2"/>
        <v>6번 중 7번 참여</v>
      </c>
      <c r="F28" s="89">
        <f t="shared" si="3"/>
        <v>1.166666667</v>
      </c>
      <c r="G28" s="90" t="s">
        <v>80</v>
      </c>
      <c r="H28" s="90" t="s">
        <v>25</v>
      </c>
      <c r="I28" s="90" t="s">
        <v>25</v>
      </c>
      <c r="J28" s="90" t="s">
        <v>25</v>
      </c>
      <c r="K28" s="90" t="s">
        <v>25</v>
      </c>
      <c r="L28" s="90" t="s">
        <v>25</v>
      </c>
      <c r="M28" s="90" t="s">
        <v>25</v>
      </c>
      <c r="N28" s="90" t="s">
        <v>25</v>
      </c>
      <c r="O28" s="37"/>
    </row>
    <row r="29">
      <c r="A29" s="86"/>
      <c r="B29" s="22">
        <v>25.0</v>
      </c>
      <c r="C29" s="31" t="s">
        <v>30</v>
      </c>
      <c r="D29" s="31" t="s">
        <v>31</v>
      </c>
      <c r="E29" s="88" t="str">
        <f t="shared" si="2"/>
        <v/>
      </c>
      <c r="F29" s="89" t="str">
        <f t="shared" si="3"/>
        <v/>
      </c>
      <c r="G29" s="41"/>
      <c r="H29" s="41"/>
      <c r="I29" s="41"/>
      <c r="J29" s="41"/>
      <c r="K29" s="41"/>
      <c r="L29" s="41"/>
      <c r="M29" s="41"/>
      <c r="N29" s="41"/>
      <c r="O29" s="37"/>
    </row>
    <row r="30">
      <c r="A30" s="92"/>
      <c r="B30" s="30">
        <v>26.0</v>
      </c>
      <c r="C30" s="23" t="s">
        <v>32</v>
      </c>
      <c r="D30" s="23" t="s">
        <v>33</v>
      </c>
      <c r="E30" s="88" t="str">
        <f t="shared" si="2"/>
        <v/>
      </c>
      <c r="F30" s="89" t="str">
        <f t="shared" si="3"/>
        <v/>
      </c>
      <c r="G30" s="41"/>
      <c r="H30" s="41"/>
      <c r="I30" s="41"/>
      <c r="J30" s="41"/>
      <c r="K30" s="41"/>
      <c r="L30" s="41"/>
      <c r="M30" s="41"/>
      <c r="N30" s="41"/>
      <c r="O30" s="37"/>
    </row>
    <row r="31">
      <c r="A31" s="86"/>
      <c r="B31" s="22">
        <v>27.0</v>
      </c>
      <c r="C31" s="31" t="s">
        <v>34</v>
      </c>
      <c r="D31" s="31" t="s">
        <v>35</v>
      </c>
      <c r="E31" s="88" t="str">
        <f t="shared" si="2"/>
        <v/>
      </c>
      <c r="F31" s="89" t="str">
        <f t="shared" si="3"/>
        <v/>
      </c>
      <c r="G31" s="41"/>
      <c r="H31" s="41"/>
      <c r="I31" s="41"/>
      <c r="J31" s="41"/>
      <c r="K31" s="41"/>
      <c r="L31" s="41"/>
      <c r="M31" s="41"/>
      <c r="N31" s="41"/>
      <c r="O31" s="37"/>
    </row>
    <row r="32">
      <c r="A32" s="92"/>
      <c r="B32" s="30">
        <v>28.0</v>
      </c>
      <c r="C32" s="23" t="s">
        <v>36</v>
      </c>
      <c r="D32" s="23" t="s">
        <v>72</v>
      </c>
      <c r="E32" s="88" t="str">
        <f t="shared" si="2"/>
        <v/>
      </c>
      <c r="F32" s="89" t="str">
        <f t="shared" si="3"/>
        <v/>
      </c>
      <c r="G32" s="41"/>
      <c r="H32" s="41"/>
      <c r="I32" s="41"/>
      <c r="J32" s="41"/>
      <c r="K32" s="41"/>
      <c r="L32" s="41"/>
      <c r="M32" s="41"/>
      <c r="N32" s="41"/>
      <c r="O32" s="37"/>
    </row>
    <row r="33">
      <c r="A33" s="86"/>
      <c r="B33" s="22">
        <v>29.0</v>
      </c>
      <c r="C33" s="31" t="s">
        <v>38</v>
      </c>
      <c r="D33" s="31" t="s">
        <v>39</v>
      </c>
      <c r="E33" s="88" t="str">
        <f t="shared" si="2"/>
        <v/>
      </c>
      <c r="F33" s="89" t="str">
        <f t="shared" si="3"/>
        <v/>
      </c>
      <c r="G33" s="41"/>
      <c r="H33" s="41"/>
      <c r="I33" s="41"/>
      <c r="J33" s="41"/>
      <c r="K33" s="41"/>
      <c r="L33" s="41"/>
      <c r="M33" s="41"/>
      <c r="N33" s="41"/>
      <c r="O33" s="37"/>
    </row>
    <row r="34">
      <c r="A34" s="92"/>
      <c r="B34" s="30">
        <v>30.0</v>
      </c>
      <c r="C34" s="23" t="s">
        <v>40</v>
      </c>
      <c r="D34" s="23" t="s">
        <v>41</v>
      </c>
      <c r="E34" s="88" t="str">
        <f t="shared" si="2"/>
        <v/>
      </c>
      <c r="F34" s="89" t="str">
        <f t="shared" si="3"/>
        <v/>
      </c>
      <c r="G34" s="41"/>
      <c r="H34" s="41"/>
      <c r="I34" s="41"/>
      <c r="J34" s="41"/>
      <c r="K34" s="41"/>
      <c r="L34" s="41"/>
      <c r="M34" s="41"/>
      <c r="N34" s="41"/>
      <c r="O34" s="37"/>
    </row>
    <row r="35">
      <c r="A35" s="86"/>
      <c r="B35" s="22">
        <v>31.0</v>
      </c>
      <c r="C35" s="31" t="s">
        <v>42</v>
      </c>
      <c r="D35" s="101" t="s">
        <v>73</v>
      </c>
      <c r="E35" s="88" t="str">
        <f t="shared" si="2"/>
        <v/>
      </c>
      <c r="F35" s="89" t="str">
        <f t="shared" si="3"/>
        <v/>
      </c>
      <c r="G35" s="41"/>
      <c r="H35" s="41"/>
      <c r="I35" s="41"/>
      <c r="J35" s="41"/>
      <c r="K35" s="41"/>
      <c r="L35" s="41"/>
      <c r="M35" s="41"/>
      <c r="N35" s="41"/>
      <c r="O35" s="37"/>
    </row>
    <row r="36">
      <c r="A36" s="92"/>
      <c r="B36" s="30">
        <v>32.0</v>
      </c>
      <c r="C36" s="23" t="s">
        <v>44</v>
      </c>
      <c r="D36" s="23" t="s">
        <v>45</v>
      </c>
      <c r="E36" s="88" t="str">
        <f t="shared" si="2"/>
        <v/>
      </c>
      <c r="F36" s="89" t="str">
        <f t="shared" si="3"/>
        <v/>
      </c>
      <c r="G36" s="41"/>
      <c r="H36" s="41"/>
      <c r="I36" s="41"/>
      <c r="J36" s="41"/>
      <c r="K36" s="41"/>
      <c r="L36" s="41"/>
      <c r="M36" s="41"/>
      <c r="N36" s="41"/>
      <c r="O36" s="37"/>
    </row>
    <row r="37">
      <c r="A37" s="86"/>
      <c r="B37" s="22">
        <v>33.0</v>
      </c>
      <c r="C37" s="31" t="s">
        <v>46</v>
      </c>
      <c r="D37" s="31" t="s">
        <v>47</v>
      </c>
      <c r="E37" s="88" t="str">
        <f t="shared" si="2"/>
        <v/>
      </c>
      <c r="F37" s="89" t="str">
        <f t="shared" si="3"/>
        <v/>
      </c>
      <c r="G37" s="41"/>
      <c r="H37" s="41"/>
      <c r="I37" s="41"/>
      <c r="J37" s="41"/>
      <c r="K37" s="41"/>
      <c r="L37" s="41"/>
      <c r="M37" s="41"/>
      <c r="N37" s="41"/>
      <c r="O37" s="37"/>
    </row>
    <row r="38">
      <c r="A38" s="92"/>
      <c r="B38" s="30">
        <v>34.0</v>
      </c>
      <c r="C38" s="23" t="s">
        <v>48</v>
      </c>
      <c r="D38" s="23" t="s">
        <v>49</v>
      </c>
      <c r="E38" s="88" t="str">
        <f t="shared" si="2"/>
        <v/>
      </c>
      <c r="F38" s="89" t="str">
        <f t="shared" si="3"/>
        <v/>
      </c>
      <c r="G38" s="41"/>
      <c r="H38" s="41"/>
      <c r="I38" s="41"/>
      <c r="J38" s="41"/>
      <c r="K38" s="41"/>
      <c r="L38" s="41"/>
      <c r="M38" s="41"/>
      <c r="N38" s="41"/>
      <c r="O38" s="37"/>
    </row>
    <row r="39">
      <c r="A39" s="86"/>
      <c r="B39" s="22">
        <v>35.0</v>
      </c>
      <c r="C39" s="31" t="s">
        <v>50</v>
      </c>
      <c r="D39" s="31" t="s">
        <v>51</v>
      </c>
      <c r="E39" s="88" t="str">
        <f t="shared" si="2"/>
        <v/>
      </c>
      <c r="F39" s="89" t="str">
        <f t="shared" si="3"/>
        <v/>
      </c>
      <c r="G39" s="41"/>
      <c r="H39" s="41"/>
      <c r="I39" s="41"/>
      <c r="J39" s="41"/>
      <c r="K39" s="41"/>
      <c r="L39" s="41"/>
      <c r="M39" s="41"/>
      <c r="N39" s="41"/>
      <c r="O39" s="37"/>
    </row>
    <row r="40">
      <c r="A40" s="92"/>
      <c r="B40" s="30">
        <v>36.0</v>
      </c>
      <c r="C40" s="23" t="s">
        <v>52</v>
      </c>
      <c r="D40" s="23" t="s">
        <v>53</v>
      </c>
      <c r="E40" s="88" t="str">
        <f t="shared" si="2"/>
        <v/>
      </c>
      <c r="F40" s="89" t="str">
        <f t="shared" si="3"/>
        <v/>
      </c>
      <c r="G40" s="41"/>
      <c r="H40" s="41"/>
      <c r="I40" s="41"/>
      <c r="J40" s="41"/>
      <c r="K40" s="41"/>
      <c r="L40" s="41"/>
      <c r="M40" s="41"/>
      <c r="N40" s="41"/>
      <c r="O40" s="37"/>
    </row>
    <row r="41">
      <c r="A41" s="86"/>
      <c r="B41" s="22">
        <v>37.0</v>
      </c>
      <c r="C41" s="96" t="s">
        <v>54</v>
      </c>
      <c r="D41" s="96" t="s">
        <v>55</v>
      </c>
      <c r="E41" s="88" t="str">
        <f t="shared" si="2"/>
        <v/>
      </c>
      <c r="F41" s="89" t="str">
        <f t="shared" si="3"/>
        <v/>
      </c>
      <c r="G41" s="41"/>
      <c r="H41" s="41"/>
      <c r="I41" s="41"/>
      <c r="J41" s="41"/>
      <c r="K41" s="41"/>
      <c r="L41" s="41"/>
      <c r="M41" s="41"/>
      <c r="N41" s="41"/>
      <c r="O41" s="37"/>
    </row>
    <row r="42">
      <c r="A42" s="92"/>
      <c r="B42" s="30">
        <v>38.0</v>
      </c>
      <c r="C42" s="23" t="s">
        <v>56</v>
      </c>
      <c r="D42" s="23" t="s">
        <v>57</v>
      </c>
      <c r="E42" s="88" t="str">
        <f t="shared" si="2"/>
        <v/>
      </c>
      <c r="F42" s="89" t="str">
        <f t="shared" si="3"/>
        <v/>
      </c>
      <c r="G42" s="41"/>
      <c r="H42" s="41"/>
      <c r="I42" s="41"/>
      <c r="J42" s="41"/>
      <c r="K42" s="41"/>
      <c r="L42" s="41"/>
      <c r="M42" s="41"/>
      <c r="N42" s="41"/>
      <c r="O42" s="37"/>
    </row>
    <row r="43">
      <c r="A43" s="86"/>
      <c r="B43" s="22">
        <v>39.0</v>
      </c>
      <c r="C43" s="31" t="s">
        <v>58</v>
      </c>
      <c r="D43" s="97" t="s">
        <v>59</v>
      </c>
      <c r="E43" s="88" t="str">
        <f t="shared" si="2"/>
        <v/>
      </c>
      <c r="F43" s="89" t="str">
        <f t="shared" si="3"/>
        <v/>
      </c>
      <c r="G43" s="41"/>
      <c r="H43" s="41"/>
      <c r="I43" s="41"/>
      <c r="J43" s="41"/>
      <c r="K43" s="41"/>
      <c r="L43" s="41"/>
      <c r="M43" s="41"/>
      <c r="N43" s="41"/>
      <c r="O43" s="37"/>
    </row>
    <row r="44">
      <c r="A44" s="92"/>
      <c r="B44" s="30">
        <v>40.0</v>
      </c>
      <c r="C44" s="23" t="s">
        <v>60</v>
      </c>
      <c r="D44" s="105" t="s">
        <v>61</v>
      </c>
      <c r="E44" s="88" t="str">
        <f t="shared" si="2"/>
        <v/>
      </c>
      <c r="F44" s="89" t="str">
        <f t="shared" si="3"/>
        <v/>
      </c>
      <c r="G44" s="41"/>
      <c r="H44" s="41"/>
      <c r="I44" s="41"/>
      <c r="J44" s="41"/>
      <c r="K44" s="41"/>
      <c r="L44" s="41"/>
      <c r="M44" s="41"/>
      <c r="N44" s="41"/>
      <c r="O44" s="37"/>
    </row>
    <row r="45">
      <c r="A45" s="86"/>
      <c r="B45" s="22">
        <v>41.0</v>
      </c>
      <c r="C45" s="98" t="s">
        <v>62</v>
      </c>
      <c r="D45" s="140" t="s">
        <v>63</v>
      </c>
      <c r="E45" s="88" t="str">
        <f t="shared" si="2"/>
        <v/>
      </c>
      <c r="F45" s="89" t="str">
        <f t="shared" si="3"/>
        <v/>
      </c>
      <c r="G45" s="41"/>
      <c r="H45" s="41"/>
      <c r="I45" s="41"/>
      <c r="J45" s="41"/>
      <c r="K45" s="41"/>
      <c r="L45" s="41"/>
      <c r="M45" s="41"/>
      <c r="N45" s="41"/>
      <c r="O45" s="37"/>
    </row>
    <row r="46">
      <c r="A46" s="92"/>
      <c r="B46" s="30">
        <v>42.0</v>
      </c>
      <c r="C46" s="23" t="s">
        <v>64</v>
      </c>
      <c r="D46" s="100" t="s">
        <v>65</v>
      </c>
      <c r="E46" s="88" t="str">
        <f t="shared" si="2"/>
        <v/>
      </c>
      <c r="F46" s="89" t="str">
        <f t="shared" si="3"/>
        <v/>
      </c>
      <c r="G46" s="41"/>
      <c r="H46" s="41"/>
      <c r="I46" s="41"/>
      <c r="J46" s="41"/>
      <c r="K46" s="41"/>
      <c r="L46" s="41"/>
      <c r="M46" s="41"/>
      <c r="N46" s="41"/>
      <c r="O46" s="37"/>
    </row>
    <row r="47">
      <c r="A47" s="86"/>
      <c r="B47" s="22">
        <v>43.0</v>
      </c>
      <c r="C47" s="101" t="s">
        <v>66</v>
      </c>
      <c r="D47" s="102" t="s">
        <v>67</v>
      </c>
      <c r="E47" s="88" t="str">
        <f t="shared" si="2"/>
        <v>6번 중 2번 참여</v>
      </c>
      <c r="F47" s="89">
        <f t="shared" si="3"/>
        <v>0.3333333333</v>
      </c>
      <c r="G47" s="90" t="s">
        <v>25</v>
      </c>
      <c r="H47" s="90" t="s">
        <v>25</v>
      </c>
      <c r="I47" s="90" t="s">
        <v>80</v>
      </c>
      <c r="J47" s="41"/>
      <c r="K47" s="41"/>
      <c r="L47" s="41"/>
      <c r="M47" s="41"/>
      <c r="N47" s="41"/>
      <c r="O47" s="37"/>
    </row>
    <row r="48">
      <c r="A48" s="92"/>
      <c r="B48" s="30">
        <v>44.0</v>
      </c>
      <c r="C48" s="103" t="s">
        <v>68</v>
      </c>
      <c r="D48" s="104" t="s">
        <v>69</v>
      </c>
      <c r="E48" s="88" t="str">
        <f t="shared" si="2"/>
        <v/>
      </c>
      <c r="F48" s="89" t="str">
        <f t="shared" si="3"/>
        <v/>
      </c>
      <c r="G48" s="41"/>
      <c r="H48" s="41"/>
      <c r="I48" s="41"/>
      <c r="J48" s="41"/>
      <c r="K48" s="41"/>
      <c r="L48" s="41"/>
      <c r="M48" s="41"/>
      <c r="N48" s="41"/>
      <c r="O48" s="37"/>
    </row>
    <row r="49">
      <c r="A49" s="86"/>
      <c r="B49" s="22">
        <v>45.0</v>
      </c>
      <c r="C49" s="31" t="s">
        <v>74</v>
      </c>
      <c r="D49" s="97" t="s">
        <v>75</v>
      </c>
      <c r="E49" s="88" t="str">
        <f t="shared" si="2"/>
        <v/>
      </c>
      <c r="F49" s="89" t="str">
        <f t="shared" si="3"/>
        <v/>
      </c>
      <c r="G49" s="90"/>
      <c r="H49" s="41"/>
      <c r="I49" s="90"/>
      <c r="J49" s="41"/>
      <c r="K49" s="41"/>
      <c r="L49" s="41"/>
      <c r="M49" s="41"/>
      <c r="N49" s="41"/>
      <c r="O49" s="37"/>
    </row>
    <row r="50">
      <c r="A50" s="92"/>
      <c r="B50" s="30">
        <v>46.0</v>
      </c>
      <c r="C50" s="23" t="s">
        <v>76</v>
      </c>
      <c r="D50" s="87" t="s">
        <v>77</v>
      </c>
      <c r="E50" s="88" t="str">
        <f t="shared" si="2"/>
        <v/>
      </c>
      <c r="F50" s="89" t="str">
        <f t="shared" si="3"/>
        <v/>
      </c>
      <c r="G50" s="90"/>
      <c r="H50" s="41"/>
      <c r="I50" s="41"/>
      <c r="J50" s="41"/>
      <c r="K50" s="41"/>
      <c r="L50" s="41"/>
      <c r="M50" s="41"/>
      <c r="N50" s="41"/>
      <c r="O50" s="37"/>
    </row>
    <row r="51">
      <c r="A51" s="86"/>
      <c r="B51" s="22">
        <v>47.0</v>
      </c>
      <c r="C51" s="31" t="s">
        <v>78</v>
      </c>
      <c r="D51" s="107" t="s">
        <v>79</v>
      </c>
      <c r="E51" s="88" t="str">
        <f t="shared" si="2"/>
        <v>6번 중 8번 참여</v>
      </c>
      <c r="F51" s="89">
        <f t="shared" si="3"/>
        <v>1.333333333</v>
      </c>
      <c r="G51" s="90" t="s">
        <v>25</v>
      </c>
      <c r="H51" s="90" t="s">
        <v>25</v>
      </c>
      <c r="I51" s="90" t="s">
        <v>25</v>
      </c>
      <c r="J51" s="90" t="s">
        <v>25</v>
      </c>
      <c r="K51" s="90" t="s">
        <v>25</v>
      </c>
      <c r="L51" s="90" t="s">
        <v>25</v>
      </c>
      <c r="M51" s="90" t="s">
        <v>25</v>
      </c>
      <c r="N51" s="90" t="s">
        <v>25</v>
      </c>
      <c r="O51" s="37"/>
    </row>
    <row r="52">
      <c r="A52" s="92"/>
      <c r="B52" s="30">
        <v>48.0</v>
      </c>
      <c r="C52" s="31" t="s">
        <v>81</v>
      </c>
      <c r="D52" s="31" t="s">
        <v>82</v>
      </c>
      <c r="E52" s="88" t="str">
        <f t="shared" si="2"/>
        <v>6번 중 6번 참여</v>
      </c>
      <c r="F52" s="89">
        <f t="shared" si="3"/>
        <v>1</v>
      </c>
      <c r="G52" s="90" t="s">
        <v>25</v>
      </c>
      <c r="H52" s="90"/>
      <c r="I52" s="90" t="s">
        <v>25</v>
      </c>
      <c r="J52" s="90" t="s">
        <v>25</v>
      </c>
      <c r="K52" s="90" t="s">
        <v>25</v>
      </c>
      <c r="L52" s="90" t="s">
        <v>25</v>
      </c>
      <c r="M52" s="90" t="s">
        <v>80</v>
      </c>
      <c r="N52" s="90" t="s">
        <v>25</v>
      </c>
      <c r="O52" s="37"/>
    </row>
    <row r="53">
      <c r="A53" s="86"/>
      <c r="B53" s="22">
        <v>49.0</v>
      </c>
      <c r="C53" s="93" t="s">
        <v>83</v>
      </c>
      <c r="D53" s="108" t="s">
        <v>84</v>
      </c>
      <c r="E53" s="88" t="str">
        <f t="shared" si="2"/>
        <v>6번 중 1번 참여</v>
      </c>
      <c r="F53" s="89">
        <f t="shared" si="3"/>
        <v>0.1666666667</v>
      </c>
      <c r="G53" s="41"/>
      <c r="H53" s="41"/>
      <c r="I53" s="41"/>
      <c r="J53" s="41"/>
      <c r="K53" s="90" t="s">
        <v>25</v>
      </c>
      <c r="L53" s="41"/>
      <c r="M53" s="41"/>
      <c r="N53" s="41"/>
      <c r="O53" s="37"/>
    </row>
    <row r="54">
      <c r="A54" s="92"/>
      <c r="B54" s="30">
        <v>50.0</v>
      </c>
      <c r="C54" s="31" t="s">
        <v>85</v>
      </c>
      <c r="D54" s="97" t="s">
        <v>86</v>
      </c>
      <c r="E54" s="88" t="str">
        <f t="shared" si="2"/>
        <v>6번 중 5번 참여</v>
      </c>
      <c r="F54" s="89">
        <f t="shared" si="3"/>
        <v>0.8333333333</v>
      </c>
      <c r="G54" s="90" t="s">
        <v>25</v>
      </c>
      <c r="H54" s="90"/>
      <c r="I54" s="90" t="s">
        <v>25</v>
      </c>
      <c r="J54" s="90" t="s">
        <v>25</v>
      </c>
      <c r="K54" s="90" t="s">
        <v>25</v>
      </c>
      <c r="L54" s="90" t="s">
        <v>80</v>
      </c>
      <c r="M54" s="90" t="s">
        <v>25</v>
      </c>
      <c r="N54" s="90" t="s">
        <v>80</v>
      </c>
      <c r="O54" s="37"/>
    </row>
    <row r="55">
      <c r="A55" s="86"/>
      <c r="B55" s="22">
        <v>51.0</v>
      </c>
      <c r="C55" s="23" t="s">
        <v>87</v>
      </c>
      <c r="D55" s="87" t="s">
        <v>88</v>
      </c>
      <c r="E55" s="88" t="str">
        <f t="shared" si="2"/>
        <v/>
      </c>
      <c r="F55" s="89" t="str">
        <f t="shared" si="3"/>
        <v/>
      </c>
      <c r="G55" s="41"/>
      <c r="H55" s="90"/>
      <c r="I55" s="90"/>
      <c r="J55" s="41"/>
      <c r="K55" s="90"/>
      <c r="L55" s="90"/>
      <c r="M55" s="90"/>
      <c r="N55" s="90"/>
      <c r="O55" s="37"/>
    </row>
    <row r="56">
      <c r="A56" s="92"/>
      <c r="B56" s="30">
        <v>52.0</v>
      </c>
      <c r="C56" s="109" t="s">
        <v>89</v>
      </c>
      <c r="D56" s="110" t="s">
        <v>90</v>
      </c>
      <c r="E56" s="88" t="str">
        <f t="shared" si="2"/>
        <v/>
      </c>
      <c r="F56" s="89" t="str">
        <f t="shared" si="3"/>
        <v/>
      </c>
      <c r="G56" s="41"/>
      <c r="H56" s="41"/>
      <c r="I56" s="41"/>
      <c r="J56" s="41"/>
      <c r="K56" s="41"/>
      <c r="L56" s="41"/>
      <c r="M56" s="90"/>
      <c r="N56" s="41"/>
      <c r="O56" s="37"/>
    </row>
    <row r="57">
      <c r="A57" s="86"/>
      <c r="B57" s="22">
        <v>53.0</v>
      </c>
      <c r="C57" s="61" t="s">
        <v>91</v>
      </c>
      <c r="D57" s="61" t="s">
        <v>92</v>
      </c>
      <c r="E57" s="88" t="str">
        <f t="shared" si="2"/>
        <v>6번 중 6번 참여</v>
      </c>
      <c r="F57" s="89">
        <f t="shared" si="3"/>
        <v>1</v>
      </c>
      <c r="G57" s="90" t="s">
        <v>25</v>
      </c>
      <c r="H57" s="90" t="s">
        <v>25</v>
      </c>
      <c r="I57" s="90"/>
      <c r="J57" s="90" t="s">
        <v>25</v>
      </c>
      <c r="K57" s="90" t="s">
        <v>25</v>
      </c>
      <c r="L57" s="90" t="s">
        <v>25</v>
      </c>
      <c r="M57" s="90" t="s">
        <v>25</v>
      </c>
      <c r="N57" s="90"/>
      <c r="O57" s="37"/>
    </row>
    <row r="58">
      <c r="A58" s="92"/>
      <c r="B58" s="30">
        <v>54.0</v>
      </c>
      <c r="C58" s="31" t="s">
        <v>93</v>
      </c>
      <c r="D58" s="31" t="s">
        <v>94</v>
      </c>
      <c r="E58" s="88" t="str">
        <f t="shared" si="2"/>
        <v/>
      </c>
      <c r="F58" s="89" t="str">
        <f t="shared" si="3"/>
        <v/>
      </c>
      <c r="G58" s="41"/>
      <c r="H58" s="41"/>
      <c r="I58" s="41"/>
      <c r="J58" s="41"/>
      <c r="K58" s="41"/>
      <c r="L58" s="41"/>
      <c r="M58" s="41"/>
      <c r="N58" s="41"/>
      <c r="O58" s="37"/>
    </row>
    <row r="59">
      <c r="A59" s="86"/>
      <c r="B59" s="22">
        <v>55.0</v>
      </c>
      <c r="C59" s="23" t="s">
        <v>95</v>
      </c>
      <c r="D59" s="23" t="s">
        <v>96</v>
      </c>
      <c r="E59" s="88" t="str">
        <f t="shared" si="2"/>
        <v>6번 중 6번 참여</v>
      </c>
      <c r="F59" s="89">
        <f t="shared" si="3"/>
        <v>1</v>
      </c>
      <c r="G59" s="90" t="s">
        <v>25</v>
      </c>
      <c r="H59" s="90" t="s">
        <v>25</v>
      </c>
      <c r="I59" s="90" t="s">
        <v>25</v>
      </c>
      <c r="J59" s="90" t="s">
        <v>25</v>
      </c>
      <c r="K59" s="90"/>
      <c r="L59" s="90" t="s">
        <v>25</v>
      </c>
      <c r="M59" s="90" t="s">
        <v>25</v>
      </c>
      <c r="N59" s="90"/>
      <c r="O59" s="37"/>
    </row>
    <row r="60">
      <c r="A60" s="92"/>
      <c r="B60" s="30">
        <v>56.0</v>
      </c>
      <c r="C60" s="31" t="s">
        <v>97</v>
      </c>
      <c r="D60" s="31" t="s">
        <v>98</v>
      </c>
      <c r="E60" s="88" t="str">
        <f t="shared" si="2"/>
        <v>6번 중 8번 참여</v>
      </c>
      <c r="F60" s="89">
        <f t="shared" si="3"/>
        <v>1.333333333</v>
      </c>
      <c r="G60" s="90" t="s">
        <v>25</v>
      </c>
      <c r="H60" s="90" t="s">
        <v>25</v>
      </c>
      <c r="I60" s="90" t="s">
        <v>25</v>
      </c>
      <c r="J60" s="90" t="s">
        <v>25</v>
      </c>
      <c r="K60" s="90" t="s">
        <v>25</v>
      </c>
      <c r="L60" s="90" t="s">
        <v>25</v>
      </c>
      <c r="M60" s="90" t="s">
        <v>25</v>
      </c>
      <c r="N60" s="90" t="s">
        <v>25</v>
      </c>
      <c r="O60" s="37"/>
    </row>
    <row r="61">
      <c r="A61" s="86"/>
      <c r="B61" s="22">
        <v>57.0</v>
      </c>
      <c r="C61" s="23" t="s">
        <v>99</v>
      </c>
      <c r="D61" s="23" t="s">
        <v>100</v>
      </c>
      <c r="E61" s="88" t="str">
        <f t="shared" si="2"/>
        <v>6번 중 4번 참여</v>
      </c>
      <c r="F61" s="89">
        <f t="shared" si="3"/>
        <v>0.6666666667</v>
      </c>
      <c r="G61" s="90" t="s">
        <v>25</v>
      </c>
      <c r="H61" s="90" t="s">
        <v>25</v>
      </c>
      <c r="I61" s="41"/>
      <c r="J61" s="41"/>
      <c r="K61" s="90" t="s">
        <v>25</v>
      </c>
      <c r="L61" s="90" t="s">
        <v>25</v>
      </c>
      <c r="M61" s="90"/>
      <c r="N61" s="41"/>
      <c r="O61" s="37"/>
    </row>
    <row r="62">
      <c r="A62" s="92"/>
      <c r="B62" s="30">
        <v>58.0</v>
      </c>
      <c r="C62" s="31" t="s">
        <v>101</v>
      </c>
      <c r="D62" s="97" t="s">
        <v>102</v>
      </c>
      <c r="E62" s="88" t="str">
        <f t="shared" si="2"/>
        <v>6번 중 8번 참여</v>
      </c>
      <c r="F62" s="89">
        <f t="shared" si="3"/>
        <v>1.333333333</v>
      </c>
      <c r="G62" s="90" t="s">
        <v>25</v>
      </c>
      <c r="H62" s="90" t="s">
        <v>25</v>
      </c>
      <c r="I62" s="90" t="s">
        <v>25</v>
      </c>
      <c r="J62" s="90" t="s">
        <v>25</v>
      </c>
      <c r="K62" s="90" t="s">
        <v>25</v>
      </c>
      <c r="L62" s="90" t="s">
        <v>25</v>
      </c>
      <c r="M62" s="90" t="s">
        <v>25</v>
      </c>
      <c r="N62" s="90" t="s">
        <v>25</v>
      </c>
      <c r="O62" s="37"/>
    </row>
    <row r="63">
      <c r="A63" s="86"/>
      <c r="B63" s="22">
        <v>59.0</v>
      </c>
      <c r="C63" s="23" t="s">
        <v>103</v>
      </c>
      <c r="D63" s="23" t="s">
        <v>104</v>
      </c>
      <c r="E63" s="88" t="str">
        <f t="shared" si="2"/>
        <v>6번 중 6번 참여</v>
      </c>
      <c r="F63" s="89">
        <f t="shared" si="3"/>
        <v>1</v>
      </c>
      <c r="G63" s="90" t="s">
        <v>25</v>
      </c>
      <c r="H63" s="90" t="s">
        <v>25</v>
      </c>
      <c r="I63" s="90" t="s">
        <v>25</v>
      </c>
      <c r="J63" s="90" t="s">
        <v>25</v>
      </c>
      <c r="K63" s="90" t="s">
        <v>25</v>
      </c>
      <c r="L63" s="90" t="s">
        <v>25</v>
      </c>
      <c r="M63" s="90" t="s">
        <v>80</v>
      </c>
      <c r="N63" s="90"/>
      <c r="O63" s="37"/>
    </row>
    <row r="64">
      <c r="A64" s="92"/>
      <c r="B64" s="30">
        <v>60.0</v>
      </c>
      <c r="C64" s="111" t="s">
        <v>105</v>
      </c>
      <c r="D64" s="112" t="s">
        <v>106</v>
      </c>
      <c r="E64" s="88" t="str">
        <f t="shared" si="2"/>
        <v>6번 중 6번 참여</v>
      </c>
      <c r="F64" s="89">
        <f t="shared" si="3"/>
        <v>1</v>
      </c>
      <c r="G64" s="90" t="s">
        <v>25</v>
      </c>
      <c r="H64" s="90" t="s">
        <v>25</v>
      </c>
      <c r="I64" s="90" t="s">
        <v>25</v>
      </c>
      <c r="J64" s="90" t="s">
        <v>25</v>
      </c>
      <c r="K64" s="90" t="s">
        <v>25</v>
      </c>
      <c r="L64" s="90" t="s">
        <v>25</v>
      </c>
      <c r="M64" s="41"/>
      <c r="N64" s="41"/>
      <c r="O64" s="37"/>
    </row>
    <row r="65">
      <c r="A65" s="86"/>
      <c r="B65" s="22">
        <v>61.0</v>
      </c>
      <c r="C65" s="113" t="s">
        <v>107</v>
      </c>
      <c r="D65" s="114" t="s">
        <v>108</v>
      </c>
      <c r="E65" s="88" t="str">
        <f t="shared" ref="E65:E66" si="4">IF(COUNTIF(G65:I65, "완료")=0, "", COUNTIF($G$4:$N$4, "완료") &amp; "번 중 " &amp; COUNTIF(G65:I65, "완료") &amp; "번 참여")
</f>
        <v/>
      </c>
      <c r="F65" s="89" t="str">
        <f t="shared" ref="F65:F66" si="5">IF(COUNTIF($G$4:$N$4, "완료")=0, "", IF(COUNTIF(G65:I65, "완료")=0, "", COUNTIF(G65:I65, "완료") / COUNTIF($G$4:$N$4, "완료")))
</f>
        <v/>
      </c>
      <c r="G65" s="41"/>
      <c r="H65" s="41"/>
      <c r="I65" s="41"/>
      <c r="J65" s="90"/>
      <c r="K65" s="41"/>
      <c r="L65" s="41"/>
      <c r="M65" s="41"/>
      <c r="N65" s="41"/>
      <c r="O65" s="41"/>
    </row>
    <row r="66">
      <c r="A66" s="92"/>
      <c r="B66" s="30">
        <v>62.0</v>
      </c>
      <c r="C66" s="95" t="s">
        <v>109</v>
      </c>
      <c r="D66" s="95" t="s">
        <v>110</v>
      </c>
      <c r="E66" s="88" t="str">
        <f t="shared" si="4"/>
        <v>6번 중 2번 참여</v>
      </c>
      <c r="F66" s="89">
        <f t="shared" si="5"/>
        <v>0.3333333333</v>
      </c>
      <c r="G66" s="141" t="s">
        <v>25</v>
      </c>
      <c r="I66" s="141" t="s">
        <v>25</v>
      </c>
      <c r="J66" s="90" t="s">
        <v>25</v>
      </c>
      <c r="K66" s="90" t="s">
        <v>25</v>
      </c>
      <c r="L66" s="90" t="s">
        <v>25</v>
      </c>
      <c r="M66" s="90" t="s">
        <v>25</v>
      </c>
      <c r="N66" s="90" t="s">
        <v>25</v>
      </c>
      <c r="O66" s="41"/>
    </row>
    <row r="67">
      <c r="A67" s="86"/>
      <c r="B67" s="22">
        <v>63.0</v>
      </c>
      <c r="C67" s="31" t="s">
        <v>111</v>
      </c>
      <c r="D67" s="31" t="s">
        <v>112</v>
      </c>
      <c r="E67" s="88" t="str">
        <f t="shared" ref="E67:E124" si="6">IF(COUNTIF(G67:N67, "완료")=0, "", COUNTIF($G$4:$N$4, "완료") &amp; "번 중 " &amp; COUNTIF(G67:N67, "완료") &amp; "번 참여")
</f>
        <v/>
      </c>
      <c r="F67" s="89" t="str">
        <f t="shared" ref="F67:F124" si="7">IF(COUNTIF($G$4:$N$4, "완료")=0, "", IF(COUNTIF(G67:N67, "완료")=0, "", COUNTIF(G67:N67, "완료") / COUNTIF($G$4:$N$4, "완료")))
</f>
        <v/>
      </c>
      <c r="M67" s="41"/>
      <c r="N67" s="41"/>
      <c r="O67" s="37"/>
    </row>
    <row r="68">
      <c r="A68" s="92"/>
      <c r="B68" s="30">
        <v>64.0</v>
      </c>
      <c r="C68" s="23" t="s">
        <v>113</v>
      </c>
      <c r="D68" s="23" t="s">
        <v>114</v>
      </c>
      <c r="E68" s="88" t="str">
        <f t="shared" si="6"/>
        <v>6번 중 8번 참여</v>
      </c>
      <c r="F68" s="89">
        <f t="shared" si="7"/>
        <v>1.333333333</v>
      </c>
      <c r="G68" s="90" t="s">
        <v>25</v>
      </c>
      <c r="H68" s="90" t="s">
        <v>25</v>
      </c>
      <c r="I68" s="90" t="s">
        <v>25</v>
      </c>
      <c r="J68" s="90" t="s">
        <v>25</v>
      </c>
      <c r="K68" s="90" t="s">
        <v>25</v>
      </c>
      <c r="L68" s="90" t="s">
        <v>25</v>
      </c>
      <c r="M68" s="90" t="s">
        <v>25</v>
      </c>
      <c r="N68" s="90" t="s">
        <v>25</v>
      </c>
      <c r="O68" s="37"/>
    </row>
    <row r="69">
      <c r="A69" s="86"/>
      <c r="B69" s="22">
        <v>65.0</v>
      </c>
      <c r="C69" s="115" t="s">
        <v>115</v>
      </c>
      <c r="D69" s="116" t="s">
        <v>116</v>
      </c>
      <c r="E69" s="88" t="str">
        <f t="shared" si="6"/>
        <v/>
      </c>
      <c r="F69" s="89" t="str">
        <f t="shared" si="7"/>
        <v/>
      </c>
      <c r="G69" s="41"/>
      <c r="H69" s="41"/>
      <c r="I69" s="41"/>
      <c r="J69" s="41"/>
      <c r="K69" s="41"/>
      <c r="L69" s="41"/>
      <c r="M69" s="41"/>
      <c r="N69" s="41"/>
      <c r="O69" s="37"/>
    </row>
    <row r="70">
      <c r="A70" s="117" t="s">
        <v>241</v>
      </c>
      <c r="B70" s="118">
        <v>66.0</v>
      </c>
      <c r="C70" s="119" t="s">
        <v>118</v>
      </c>
      <c r="D70" s="120" t="s">
        <v>119</v>
      </c>
      <c r="E70" s="88" t="str">
        <f t="shared" si="6"/>
        <v>6번 중 7번 참여</v>
      </c>
      <c r="F70" s="89">
        <f t="shared" si="7"/>
        <v>1.166666667</v>
      </c>
      <c r="G70" s="90" t="s">
        <v>25</v>
      </c>
      <c r="H70" s="90" t="s">
        <v>25</v>
      </c>
      <c r="I70" s="90" t="s">
        <v>25</v>
      </c>
      <c r="J70" s="90" t="s">
        <v>25</v>
      </c>
      <c r="K70" s="90" t="s">
        <v>25</v>
      </c>
      <c r="L70" s="90" t="s">
        <v>25</v>
      </c>
      <c r="M70" s="90" t="s">
        <v>25</v>
      </c>
      <c r="N70" s="90"/>
      <c r="O70" s="37"/>
    </row>
    <row r="71">
      <c r="A71" s="117"/>
      <c r="B71" s="121">
        <v>67.0</v>
      </c>
      <c r="C71" s="94" t="s">
        <v>120</v>
      </c>
      <c r="D71" s="93" t="s">
        <v>121</v>
      </c>
      <c r="E71" s="88" t="str">
        <f t="shared" si="6"/>
        <v>6번 중 7번 참여</v>
      </c>
      <c r="F71" s="89">
        <f t="shared" si="7"/>
        <v>1.166666667</v>
      </c>
      <c r="G71" s="90" t="s">
        <v>25</v>
      </c>
      <c r="H71" s="90" t="s">
        <v>25</v>
      </c>
      <c r="I71" s="90" t="s">
        <v>25</v>
      </c>
      <c r="J71" s="90" t="s">
        <v>25</v>
      </c>
      <c r="K71" s="90"/>
      <c r="L71" s="90" t="s">
        <v>25</v>
      </c>
      <c r="M71" s="90" t="s">
        <v>25</v>
      </c>
      <c r="N71" s="90" t="s">
        <v>25</v>
      </c>
      <c r="O71" s="37"/>
    </row>
    <row r="72">
      <c r="A72" s="92"/>
      <c r="B72" s="30">
        <v>68.0</v>
      </c>
      <c r="C72" s="101" t="s">
        <v>122</v>
      </c>
      <c r="D72" s="122" t="s">
        <v>123</v>
      </c>
      <c r="E72" s="88" t="str">
        <f t="shared" si="6"/>
        <v/>
      </c>
      <c r="F72" s="89" t="str">
        <f t="shared" si="7"/>
        <v/>
      </c>
      <c r="G72" s="41"/>
      <c r="H72" s="41"/>
      <c r="I72" s="41"/>
      <c r="J72" s="41"/>
      <c r="K72" s="41"/>
      <c r="L72" s="41"/>
      <c r="M72" s="41"/>
      <c r="N72" s="41"/>
      <c r="O72" s="37"/>
    </row>
    <row r="73">
      <c r="A73" s="86"/>
      <c r="B73" s="22">
        <v>69.0</v>
      </c>
      <c r="C73" s="23" t="s">
        <v>124</v>
      </c>
      <c r="D73" s="23" t="s">
        <v>125</v>
      </c>
      <c r="E73" s="88" t="str">
        <f t="shared" si="6"/>
        <v>6번 중 4번 참여</v>
      </c>
      <c r="F73" s="89">
        <f t="shared" si="7"/>
        <v>0.6666666667</v>
      </c>
      <c r="G73" s="90" t="s">
        <v>25</v>
      </c>
      <c r="H73" s="90" t="s">
        <v>25</v>
      </c>
      <c r="I73" s="90" t="s">
        <v>25</v>
      </c>
      <c r="J73" s="90" t="s">
        <v>25</v>
      </c>
      <c r="K73" s="90"/>
      <c r="L73" s="90"/>
      <c r="M73" s="90"/>
      <c r="N73" s="90"/>
      <c r="O73" s="37"/>
    </row>
    <row r="74">
      <c r="A74" s="92"/>
      <c r="B74" s="30">
        <v>70.0</v>
      </c>
      <c r="C74" s="61" t="s">
        <v>126</v>
      </c>
      <c r="D74" s="123" t="s">
        <v>127</v>
      </c>
      <c r="E74" s="88" t="str">
        <f t="shared" si="6"/>
        <v/>
      </c>
      <c r="F74" s="89" t="str">
        <f t="shared" si="7"/>
        <v/>
      </c>
      <c r="G74" s="41"/>
      <c r="H74" s="90"/>
      <c r="I74" s="90"/>
      <c r="J74" s="90"/>
      <c r="K74" s="41"/>
      <c r="L74" s="41"/>
      <c r="M74" s="41"/>
      <c r="N74" s="41"/>
      <c r="O74" s="37"/>
    </row>
    <row r="75">
      <c r="A75" s="86"/>
      <c r="B75" s="22">
        <v>71.0</v>
      </c>
      <c r="C75" s="95" t="s">
        <v>128</v>
      </c>
      <c r="D75" s="124" t="s">
        <v>129</v>
      </c>
      <c r="E75" s="88" t="str">
        <f t="shared" si="6"/>
        <v>6번 중 3번 참여</v>
      </c>
      <c r="F75" s="89">
        <f t="shared" si="7"/>
        <v>0.5</v>
      </c>
      <c r="G75" s="90" t="s">
        <v>25</v>
      </c>
      <c r="H75" s="90" t="s">
        <v>25</v>
      </c>
      <c r="I75" s="90" t="s">
        <v>25</v>
      </c>
      <c r="J75" s="90"/>
      <c r="K75" s="90"/>
      <c r="L75" s="90"/>
      <c r="M75" s="90"/>
      <c r="N75" s="90"/>
      <c r="O75" s="37"/>
    </row>
    <row r="76">
      <c r="A76" s="120"/>
      <c r="B76" s="94">
        <v>72.0</v>
      </c>
      <c r="C76" s="94" t="s">
        <v>130</v>
      </c>
      <c r="D76" s="101" t="s">
        <v>131</v>
      </c>
      <c r="E76" s="88" t="str">
        <f t="shared" si="6"/>
        <v/>
      </c>
      <c r="F76" s="89" t="str">
        <f t="shared" si="7"/>
        <v/>
      </c>
      <c r="G76" s="41"/>
      <c r="H76" s="41"/>
      <c r="I76" s="41"/>
      <c r="J76" s="41"/>
      <c r="K76" s="41"/>
      <c r="L76" s="41"/>
      <c r="M76" s="41"/>
      <c r="N76" s="41"/>
      <c r="O76" s="37"/>
    </row>
    <row r="77">
      <c r="A77" s="94"/>
      <c r="B77" s="94">
        <v>73.0</v>
      </c>
      <c r="C77" s="93" t="s">
        <v>132</v>
      </c>
      <c r="D77" s="23" t="s">
        <v>133</v>
      </c>
      <c r="E77" s="88" t="str">
        <f t="shared" si="6"/>
        <v/>
      </c>
      <c r="F77" s="89" t="str">
        <f t="shared" si="7"/>
        <v/>
      </c>
      <c r="G77" s="90"/>
      <c r="H77" s="41"/>
      <c r="I77" s="41"/>
      <c r="J77" s="41"/>
      <c r="K77" s="41"/>
      <c r="L77" s="41"/>
      <c r="M77" s="41"/>
      <c r="N77" s="41"/>
      <c r="O77" s="37"/>
    </row>
    <row r="78">
      <c r="A78" s="92"/>
      <c r="B78" s="30">
        <v>74.0</v>
      </c>
      <c r="C78" s="98" t="s">
        <v>28</v>
      </c>
      <c r="D78" s="98" t="s">
        <v>70</v>
      </c>
      <c r="E78" s="88" t="str">
        <f t="shared" si="6"/>
        <v>6번 중 8번 참여</v>
      </c>
      <c r="F78" s="89">
        <f t="shared" si="7"/>
        <v>1.333333333</v>
      </c>
      <c r="G78" s="90" t="s">
        <v>25</v>
      </c>
      <c r="H78" s="90" t="s">
        <v>25</v>
      </c>
      <c r="I78" s="90" t="s">
        <v>25</v>
      </c>
      <c r="J78" s="90" t="s">
        <v>25</v>
      </c>
      <c r="K78" s="90" t="s">
        <v>25</v>
      </c>
      <c r="L78" s="90" t="s">
        <v>25</v>
      </c>
      <c r="M78" s="90" t="s">
        <v>25</v>
      </c>
      <c r="N78" s="90" t="s">
        <v>25</v>
      </c>
      <c r="O78" s="37"/>
    </row>
    <row r="79">
      <c r="A79" s="86"/>
      <c r="B79" s="22">
        <v>75.0</v>
      </c>
      <c r="C79" s="101" t="s">
        <v>136</v>
      </c>
      <c r="D79" s="31" t="s">
        <v>137</v>
      </c>
      <c r="E79" s="88" t="str">
        <f t="shared" si="6"/>
        <v/>
      </c>
      <c r="F79" s="89" t="str">
        <f t="shared" si="7"/>
        <v/>
      </c>
      <c r="G79" s="41"/>
      <c r="H79" s="41"/>
      <c r="I79" s="41"/>
      <c r="J79" s="41"/>
      <c r="K79" s="41"/>
      <c r="L79" s="41"/>
      <c r="M79" s="41"/>
      <c r="N79" s="41"/>
      <c r="O79" s="37"/>
    </row>
    <row r="80">
      <c r="A80" s="92"/>
      <c r="B80" s="30">
        <v>76.0</v>
      </c>
      <c r="C80" s="95" t="s">
        <v>138</v>
      </c>
      <c r="D80" s="23" t="s">
        <v>139</v>
      </c>
      <c r="E80" s="88" t="str">
        <f t="shared" si="6"/>
        <v/>
      </c>
      <c r="F80" s="89" t="str">
        <f t="shared" si="7"/>
        <v/>
      </c>
      <c r="G80" s="41"/>
      <c r="H80" s="41"/>
      <c r="I80" s="41"/>
      <c r="J80" s="41"/>
      <c r="K80" s="41"/>
      <c r="L80" s="41"/>
      <c r="M80" s="41"/>
      <c r="N80" s="41"/>
      <c r="O80" s="37"/>
    </row>
    <row r="81">
      <c r="A81" s="86"/>
      <c r="B81" s="22">
        <v>77.0</v>
      </c>
      <c r="C81" s="93" t="s">
        <v>140</v>
      </c>
      <c r="D81" s="23" t="s">
        <v>141</v>
      </c>
      <c r="E81" s="88" t="str">
        <f t="shared" si="6"/>
        <v>6번 중 7번 참여</v>
      </c>
      <c r="F81" s="89">
        <f t="shared" si="7"/>
        <v>1.166666667</v>
      </c>
      <c r="G81" s="90" t="s">
        <v>25</v>
      </c>
      <c r="H81" s="90"/>
      <c r="I81" s="90" t="s">
        <v>25</v>
      </c>
      <c r="J81" s="90" t="s">
        <v>25</v>
      </c>
      <c r="K81" s="90" t="s">
        <v>25</v>
      </c>
      <c r="L81" s="90" t="s">
        <v>25</v>
      </c>
      <c r="M81" s="90" t="s">
        <v>25</v>
      </c>
      <c r="N81" s="90" t="s">
        <v>25</v>
      </c>
      <c r="O81" s="37"/>
    </row>
    <row r="82">
      <c r="A82" s="92"/>
      <c r="B82" s="30">
        <v>78.0</v>
      </c>
      <c r="C82" s="23" t="s">
        <v>142</v>
      </c>
      <c r="D82" s="23" t="s">
        <v>143</v>
      </c>
      <c r="E82" s="88" t="str">
        <f t="shared" si="6"/>
        <v/>
      </c>
      <c r="F82" s="89" t="str">
        <f t="shared" si="7"/>
        <v/>
      </c>
      <c r="G82" s="41"/>
      <c r="H82" s="41"/>
      <c r="I82" s="41"/>
      <c r="J82" s="41"/>
      <c r="K82" s="41"/>
      <c r="L82" s="41"/>
      <c r="M82" s="41"/>
      <c r="N82" s="41"/>
      <c r="O82" s="37"/>
    </row>
    <row r="83">
      <c r="A83" s="86"/>
      <c r="B83" s="22">
        <v>79.0</v>
      </c>
      <c r="C83" s="31" t="s">
        <v>144</v>
      </c>
      <c r="D83" s="31" t="s">
        <v>145</v>
      </c>
      <c r="E83" s="88" t="str">
        <f t="shared" si="6"/>
        <v/>
      </c>
      <c r="F83" s="89" t="str">
        <f t="shared" si="7"/>
        <v/>
      </c>
      <c r="G83" s="41"/>
      <c r="H83" s="41"/>
      <c r="I83" s="41"/>
      <c r="J83" s="41"/>
      <c r="K83" s="41"/>
      <c r="L83" s="41"/>
      <c r="M83" s="41"/>
      <c r="N83" s="41"/>
      <c r="O83" s="37"/>
    </row>
    <row r="84">
      <c r="A84" s="92"/>
      <c r="B84" s="30">
        <v>80.0</v>
      </c>
      <c r="C84" s="23" t="s">
        <v>146</v>
      </c>
      <c r="D84" s="23" t="s">
        <v>147</v>
      </c>
      <c r="E84" s="88" t="str">
        <f t="shared" si="6"/>
        <v>6번 중 8번 참여</v>
      </c>
      <c r="F84" s="89">
        <f t="shared" si="7"/>
        <v>1.333333333</v>
      </c>
      <c r="G84" s="90" t="s">
        <v>25</v>
      </c>
      <c r="H84" s="90" t="s">
        <v>25</v>
      </c>
      <c r="I84" s="90" t="s">
        <v>25</v>
      </c>
      <c r="J84" s="90" t="s">
        <v>25</v>
      </c>
      <c r="K84" s="90" t="s">
        <v>25</v>
      </c>
      <c r="L84" s="90" t="s">
        <v>25</v>
      </c>
      <c r="M84" s="90" t="s">
        <v>25</v>
      </c>
      <c r="N84" s="90" t="s">
        <v>25</v>
      </c>
      <c r="O84" s="37"/>
    </row>
    <row r="85">
      <c r="A85" s="86"/>
      <c r="B85" s="22">
        <v>81.0</v>
      </c>
      <c r="C85" s="31" t="s">
        <v>148</v>
      </c>
      <c r="D85" s="31" t="s">
        <v>149</v>
      </c>
      <c r="E85" s="88" t="str">
        <f t="shared" si="6"/>
        <v/>
      </c>
      <c r="F85" s="89" t="str">
        <f t="shared" si="7"/>
        <v/>
      </c>
      <c r="G85" s="90"/>
      <c r="H85" s="41"/>
      <c r="I85" s="41"/>
      <c r="J85" s="41"/>
      <c r="K85" s="41"/>
      <c r="L85" s="41"/>
      <c r="M85" s="41"/>
      <c r="N85" s="41"/>
      <c r="O85" s="37"/>
    </row>
    <row r="86">
      <c r="A86" s="92"/>
      <c r="B86" s="30">
        <v>82.0</v>
      </c>
      <c r="C86" s="31" t="s">
        <v>150</v>
      </c>
      <c r="D86" s="107" t="s">
        <v>151</v>
      </c>
      <c r="E86" s="88" t="str">
        <f t="shared" si="6"/>
        <v/>
      </c>
      <c r="F86" s="89" t="str">
        <f t="shared" si="7"/>
        <v/>
      </c>
      <c r="G86" s="41"/>
      <c r="H86" s="41"/>
      <c r="I86" s="41"/>
      <c r="J86" s="41"/>
      <c r="K86" s="41"/>
      <c r="L86" s="41"/>
      <c r="M86" s="41"/>
      <c r="N86" s="41"/>
      <c r="O86" s="37"/>
    </row>
    <row r="87">
      <c r="A87" s="86"/>
      <c r="B87" s="22">
        <v>83.0</v>
      </c>
      <c r="C87" s="23" t="s">
        <v>152</v>
      </c>
      <c r="D87" s="23" t="s">
        <v>153</v>
      </c>
      <c r="E87" s="88" t="str">
        <f t="shared" si="6"/>
        <v>6번 중 3번 참여</v>
      </c>
      <c r="F87" s="89">
        <f t="shared" si="7"/>
        <v>0.5</v>
      </c>
      <c r="G87" s="41"/>
      <c r="H87" s="90" t="s">
        <v>25</v>
      </c>
      <c r="I87" s="90" t="s">
        <v>25</v>
      </c>
      <c r="J87" s="90" t="s">
        <v>25</v>
      </c>
      <c r="K87" s="41"/>
      <c r="L87" s="41"/>
      <c r="M87" s="41"/>
      <c r="N87" s="41"/>
      <c r="O87" s="37"/>
    </row>
    <row r="88">
      <c r="A88" s="92"/>
      <c r="B88" s="30">
        <v>84.0</v>
      </c>
      <c r="C88" s="31" t="s">
        <v>154</v>
      </c>
      <c r="D88" s="31" t="s">
        <v>155</v>
      </c>
      <c r="E88" s="88" t="str">
        <f t="shared" si="6"/>
        <v>6번 중 8번 참여</v>
      </c>
      <c r="F88" s="89">
        <f t="shared" si="7"/>
        <v>1.333333333</v>
      </c>
      <c r="G88" s="90" t="s">
        <v>25</v>
      </c>
      <c r="H88" s="90" t="s">
        <v>25</v>
      </c>
      <c r="I88" s="90" t="s">
        <v>25</v>
      </c>
      <c r="J88" s="90" t="s">
        <v>25</v>
      </c>
      <c r="K88" s="90" t="s">
        <v>25</v>
      </c>
      <c r="L88" s="90" t="s">
        <v>25</v>
      </c>
      <c r="M88" s="90" t="s">
        <v>25</v>
      </c>
      <c r="N88" s="90" t="s">
        <v>25</v>
      </c>
      <c r="O88" s="37"/>
    </row>
    <row r="89">
      <c r="A89" s="86"/>
      <c r="B89" s="22">
        <v>85.0</v>
      </c>
      <c r="C89" s="23" t="s">
        <v>156</v>
      </c>
      <c r="D89" s="23" t="s">
        <v>157</v>
      </c>
      <c r="E89" s="88" t="str">
        <f t="shared" si="6"/>
        <v>6번 중 7번 참여</v>
      </c>
      <c r="F89" s="89">
        <f t="shared" si="7"/>
        <v>1.166666667</v>
      </c>
      <c r="G89" s="90"/>
      <c r="H89" s="90" t="s">
        <v>25</v>
      </c>
      <c r="I89" s="90" t="s">
        <v>25</v>
      </c>
      <c r="J89" s="90" t="s">
        <v>25</v>
      </c>
      <c r="K89" s="90" t="s">
        <v>25</v>
      </c>
      <c r="L89" s="90" t="s">
        <v>25</v>
      </c>
      <c r="M89" s="90" t="s">
        <v>25</v>
      </c>
      <c r="N89" s="90" t="s">
        <v>25</v>
      </c>
      <c r="O89" s="37"/>
    </row>
    <row r="90">
      <c r="A90" s="92"/>
      <c r="B90" s="30">
        <v>86.0</v>
      </c>
      <c r="C90" s="125" t="s">
        <v>158</v>
      </c>
      <c r="D90" s="125" t="s">
        <v>159</v>
      </c>
      <c r="E90" s="88" t="str">
        <f t="shared" si="6"/>
        <v>6번 중 6번 참여</v>
      </c>
      <c r="F90" s="89">
        <f t="shared" si="7"/>
        <v>1</v>
      </c>
      <c r="G90" s="90" t="s">
        <v>25</v>
      </c>
      <c r="H90" s="90" t="s">
        <v>25</v>
      </c>
      <c r="I90" s="90" t="s">
        <v>25</v>
      </c>
      <c r="J90" s="90" t="s">
        <v>25</v>
      </c>
      <c r="K90" s="90" t="s">
        <v>25</v>
      </c>
      <c r="L90" s="90" t="s">
        <v>25</v>
      </c>
      <c r="M90" s="90" t="s">
        <v>80</v>
      </c>
      <c r="N90" s="90"/>
      <c r="O90" s="37"/>
    </row>
    <row r="91">
      <c r="A91" s="86"/>
      <c r="B91" s="22">
        <v>87.0</v>
      </c>
      <c r="C91" s="127" t="s">
        <v>160</v>
      </c>
      <c r="D91" s="127" t="s">
        <v>161</v>
      </c>
      <c r="E91" s="88" t="str">
        <f t="shared" si="6"/>
        <v>6번 중 7번 참여</v>
      </c>
      <c r="F91" s="89">
        <f t="shared" si="7"/>
        <v>1.166666667</v>
      </c>
      <c r="G91" s="90" t="s">
        <v>25</v>
      </c>
      <c r="H91" s="90" t="s">
        <v>25</v>
      </c>
      <c r="I91" s="90" t="s">
        <v>25</v>
      </c>
      <c r="J91" s="90" t="s">
        <v>25</v>
      </c>
      <c r="K91" s="90" t="s">
        <v>25</v>
      </c>
      <c r="L91" s="90" t="s">
        <v>25</v>
      </c>
      <c r="M91" s="90"/>
      <c r="N91" s="90" t="s">
        <v>25</v>
      </c>
      <c r="O91" s="37"/>
    </row>
    <row r="92">
      <c r="A92" s="92"/>
      <c r="B92" s="30">
        <v>88.0</v>
      </c>
      <c r="C92" s="31" t="s">
        <v>162</v>
      </c>
      <c r="D92" s="31" t="s">
        <v>163</v>
      </c>
      <c r="E92" s="88" t="str">
        <f t="shared" si="6"/>
        <v>6번 중 5번 참여</v>
      </c>
      <c r="F92" s="89">
        <f t="shared" si="7"/>
        <v>0.8333333333</v>
      </c>
      <c r="G92" s="90" t="s">
        <v>25</v>
      </c>
      <c r="H92" s="90" t="s">
        <v>25</v>
      </c>
      <c r="I92" s="90" t="s">
        <v>25</v>
      </c>
      <c r="J92" s="90"/>
      <c r="K92" s="90" t="s">
        <v>25</v>
      </c>
      <c r="L92" s="90" t="s">
        <v>25</v>
      </c>
      <c r="M92" s="90"/>
      <c r="N92" s="90"/>
      <c r="O92" s="37"/>
    </row>
    <row r="93">
      <c r="A93" s="86"/>
      <c r="B93" s="22">
        <v>89.0</v>
      </c>
      <c r="C93" s="23" t="s">
        <v>164</v>
      </c>
      <c r="D93" s="23" t="s">
        <v>165</v>
      </c>
      <c r="E93" s="88" t="str">
        <f t="shared" si="6"/>
        <v>6번 중 6번 참여</v>
      </c>
      <c r="F93" s="89">
        <f t="shared" si="7"/>
        <v>1</v>
      </c>
      <c r="G93" s="90" t="s">
        <v>25</v>
      </c>
      <c r="H93" s="90" t="s">
        <v>25</v>
      </c>
      <c r="I93" s="90" t="s">
        <v>25</v>
      </c>
      <c r="J93" s="90" t="s">
        <v>25</v>
      </c>
      <c r="K93" s="90" t="s">
        <v>25</v>
      </c>
      <c r="L93" s="90" t="s">
        <v>25</v>
      </c>
      <c r="M93" s="90" t="s">
        <v>80</v>
      </c>
      <c r="N93" s="90" t="s">
        <v>80</v>
      </c>
      <c r="O93" s="37"/>
    </row>
    <row r="94">
      <c r="A94" s="92"/>
      <c r="B94" s="30">
        <v>90.0</v>
      </c>
      <c r="C94" s="125" t="s">
        <v>166</v>
      </c>
      <c r="D94" s="125" t="s">
        <v>167</v>
      </c>
      <c r="E94" s="88" t="str">
        <f t="shared" si="6"/>
        <v>6번 중 7번 참여</v>
      </c>
      <c r="F94" s="89">
        <f t="shared" si="7"/>
        <v>1.166666667</v>
      </c>
      <c r="G94" s="90" t="s">
        <v>25</v>
      </c>
      <c r="H94" s="90" t="s">
        <v>25</v>
      </c>
      <c r="I94" s="90" t="s">
        <v>25</v>
      </c>
      <c r="J94" s="90" t="s">
        <v>25</v>
      </c>
      <c r="K94" s="90"/>
      <c r="L94" s="90" t="s">
        <v>25</v>
      </c>
      <c r="M94" s="90" t="s">
        <v>25</v>
      </c>
      <c r="N94" s="90" t="s">
        <v>25</v>
      </c>
      <c r="O94" s="37"/>
    </row>
    <row r="95">
      <c r="A95" s="86"/>
      <c r="B95" s="22">
        <v>91.0</v>
      </c>
      <c r="C95" s="23" t="s">
        <v>168</v>
      </c>
      <c r="D95" s="100" t="s">
        <v>169</v>
      </c>
      <c r="E95" s="88" t="str">
        <f t="shared" si="6"/>
        <v>6번 중 5번 참여</v>
      </c>
      <c r="F95" s="89">
        <f t="shared" si="7"/>
        <v>0.8333333333</v>
      </c>
      <c r="G95" s="90" t="s">
        <v>25</v>
      </c>
      <c r="H95" s="90" t="s">
        <v>25</v>
      </c>
      <c r="I95" s="90"/>
      <c r="J95" s="90"/>
      <c r="K95" s="90" t="s">
        <v>25</v>
      </c>
      <c r="L95" s="90" t="s">
        <v>25</v>
      </c>
      <c r="M95" s="90" t="s">
        <v>25</v>
      </c>
      <c r="N95" s="41"/>
      <c r="O95" s="37"/>
    </row>
    <row r="96">
      <c r="A96" s="92"/>
      <c r="B96" s="30">
        <v>92.0</v>
      </c>
      <c r="C96" s="31" t="s">
        <v>170</v>
      </c>
      <c r="D96" s="31" t="s">
        <v>171</v>
      </c>
      <c r="E96" s="88" t="str">
        <f t="shared" si="6"/>
        <v>6번 중 7번 참여</v>
      </c>
      <c r="F96" s="89">
        <f t="shared" si="7"/>
        <v>1.166666667</v>
      </c>
      <c r="G96" s="90" t="s">
        <v>25</v>
      </c>
      <c r="H96" s="90" t="s">
        <v>25</v>
      </c>
      <c r="I96" s="90" t="s">
        <v>25</v>
      </c>
      <c r="J96" s="90" t="s">
        <v>25</v>
      </c>
      <c r="K96" s="90" t="s">
        <v>25</v>
      </c>
      <c r="L96" s="90" t="s">
        <v>25</v>
      </c>
      <c r="M96" s="90" t="s">
        <v>25</v>
      </c>
      <c r="N96" s="90"/>
      <c r="O96" s="37"/>
    </row>
    <row r="97">
      <c r="A97" s="86"/>
      <c r="B97" s="22">
        <v>93.0</v>
      </c>
      <c r="C97" s="23" t="s">
        <v>172</v>
      </c>
      <c r="D97" s="100" t="s">
        <v>173</v>
      </c>
      <c r="E97" s="88" t="str">
        <f t="shared" si="6"/>
        <v>6번 중 7번 참여</v>
      </c>
      <c r="F97" s="89">
        <f t="shared" si="7"/>
        <v>1.166666667</v>
      </c>
      <c r="G97" s="90" t="s">
        <v>25</v>
      </c>
      <c r="H97" s="90" t="s">
        <v>25</v>
      </c>
      <c r="I97" s="90" t="s">
        <v>25</v>
      </c>
      <c r="J97" s="90" t="s">
        <v>25</v>
      </c>
      <c r="K97" s="90" t="s">
        <v>25</v>
      </c>
      <c r="L97" s="90" t="s">
        <v>25</v>
      </c>
      <c r="M97" s="90" t="s">
        <v>25</v>
      </c>
      <c r="N97" s="90"/>
      <c r="O97" s="37"/>
    </row>
    <row r="98">
      <c r="A98" s="92"/>
      <c r="B98" s="30">
        <v>94.0</v>
      </c>
      <c r="C98" s="31" t="s">
        <v>174</v>
      </c>
      <c r="D98" s="128" t="s">
        <v>175</v>
      </c>
      <c r="E98" s="88" t="str">
        <f t="shared" si="6"/>
        <v>6번 중 2번 참여</v>
      </c>
      <c r="F98" s="89">
        <f t="shared" si="7"/>
        <v>0.3333333333</v>
      </c>
      <c r="G98" s="41"/>
      <c r="H98" s="90" t="s">
        <v>25</v>
      </c>
      <c r="I98" s="90"/>
      <c r="J98" s="41"/>
      <c r="K98" s="90" t="s">
        <v>25</v>
      </c>
      <c r="L98" s="41"/>
      <c r="M98" s="41"/>
      <c r="N98" s="41"/>
      <c r="O98" s="37"/>
    </row>
    <row r="99">
      <c r="A99" s="86"/>
      <c r="B99" s="22">
        <v>95.0</v>
      </c>
      <c r="C99" s="109" t="s">
        <v>176</v>
      </c>
      <c r="D99" s="110" t="s">
        <v>177</v>
      </c>
      <c r="E99" s="88" t="str">
        <f t="shared" si="6"/>
        <v>6번 중 7번 참여</v>
      </c>
      <c r="F99" s="89">
        <f t="shared" si="7"/>
        <v>1.166666667</v>
      </c>
      <c r="G99" s="90" t="s">
        <v>25</v>
      </c>
      <c r="H99" s="90" t="s">
        <v>25</v>
      </c>
      <c r="I99" s="90" t="s">
        <v>25</v>
      </c>
      <c r="J99" s="90" t="s">
        <v>25</v>
      </c>
      <c r="K99" s="90" t="s">
        <v>25</v>
      </c>
      <c r="L99" s="90" t="s">
        <v>25</v>
      </c>
      <c r="M99" s="90" t="s">
        <v>25</v>
      </c>
      <c r="N99" s="90"/>
      <c r="O99" s="37"/>
    </row>
    <row r="100">
      <c r="A100" s="92"/>
      <c r="B100" s="30">
        <v>96.0</v>
      </c>
      <c r="C100" s="94" t="s">
        <v>178</v>
      </c>
      <c r="D100" s="129" t="s">
        <v>179</v>
      </c>
      <c r="E100" s="88" t="str">
        <f t="shared" si="6"/>
        <v>6번 중 4번 참여</v>
      </c>
      <c r="F100" s="89">
        <f t="shared" si="7"/>
        <v>0.6666666667</v>
      </c>
      <c r="G100" s="90" t="s">
        <v>25</v>
      </c>
      <c r="H100" s="90" t="s">
        <v>80</v>
      </c>
      <c r="I100" s="90" t="s">
        <v>25</v>
      </c>
      <c r="J100" s="90" t="s">
        <v>25</v>
      </c>
      <c r="K100" s="90" t="s">
        <v>80</v>
      </c>
      <c r="L100" s="90" t="s">
        <v>25</v>
      </c>
      <c r="M100" s="90"/>
      <c r="N100" s="41"/>
      <c r="O100" s="37"/>
    </row>
    <row r="101">
      <c r="A101" s="86"/>
      <c r="B101" s="22">
        <v>97.0</v>
      </c>
      <c r="C101" s="23" t="s">
        <v>180</v>
      </c>
      <c r="D101" s="100" t="s">
        <v>181</v>
      </c>
      <c r="E101" s="88" t="str">
        <f t="shared" si="6"/>
        <v>6번 중 8번 참여</v>
      </c>
      <c r="F101" s="89">
        <f t="shared" si="7"/>
        <v>1.333333333</v>
      </c>
      <c r="G101" s="90" t="s">
        <v>25</v>
      </c>
      <c r="H101" s="90" t="s">
        <v>25</v>
      </c>
      <c r="I101" s="90" t="s">
        <v>25</v>
      </c>
      <c r="J101" s="90" t="s">
        <v>25</v>
      </c>
      <c r="K101" s="90" t="s">
        <v>25</v>
      </c>
      <c r="L101" s="90" t="s">
        <v>25</v>
      </c>
      <c r="M101" s="90" t="s">
        <v>25</v>
      </c>
      <c r="N101" s="90" t="s">
        <v>25</v>
      </c>
      <c r="O101" s="37"/>
    </row>
    <row r="102">
      <c r="A102" s="92"/>
      <c r="B102" s="30">
        <v>98.0</v>
      </c>
      <c r="C102" s="130" t="s">
        <v>205</v>
      </c>
      <c r="D102" s="113" t="s">
        <v>206</v>
      </c>
      <c r="E102" s="88" t="str">
        <f t="shared" si="6"/>
        <v/>
      </c>
      <c r="F102" s="89" t="str">
        <f t="shared" si="7"/>
        <v/>
      </c>
      <c r="G102" s="90"/>
      <c r="H102" s="41"/>
      <c r="I102" s="90"/>
      <c r="J102" s="41"/>
      <c r="K102" s="41"/>
      <c r="L102" s="41"/>
      <c r="M102" s="90"/>
      <c r="N102" s="41"/>
      <c r="O102" s="37"/>
    </row>
    <row r="103">
      <c r="A103" s="86"/>
      <c r="B103" s="22">
        <v>99.0</v>
      </c>
      <c r="C103" s="50" t="s">
        <v>182</v>
      </c>
      <c r="D103" s="131" t="s">
        <v>183</v>
      </c>
      <c r="E103" s="88" t="str">
        <f t="shared" si="6"/>
        <v>6번 중 6번 참여</v>
      </c>
      <c r="F103" s="89">
        <f t="shared" si="7"/>
        <v>1</v>
      </c>
      <c r="G103" s="90" t="s">
        <v>25</v>
      </c>
      <c r="H103" s="90" t="s">
        <v>25</v>
      </c>
      <c r="I103" s="90" t="s">
        <v>25</v>
      </c>
      <c r="J103" s="90" t="s">
        <v>25</v>
      </c>
      <c r="K103" s="90" t="s">
        <v>25</v>
      </c>
      <c r="L103" s="90"/>
      <c r="M103" s="90" t="s">
        <v>25</v>
      </c>
      <c r="N103" s="90"/>
      <c r="O103" s="37"/>
    </row>
    <row r="104">
      <c r="A104" s="92"/>
      <c r="B104" s="30">
        <v>100.0</v>
      </c>
      <c r="C104" s="101" t="s">
        <v>184</v>
      </c>
      <c r="D104" s="101" t="s">
        <v>185</v>
      </c>
      <c r="E104" s="88" t="str">
        <f t="shared" si="6"/>
        <v>6번 중 6번 참여</v>
      </c>
      <c r="F104" s="89">
        <f t="shared" si="7"/>
        <v>1</v>
      </c>
      <c r="G104" s="90" t="s">
        <v>25</v>
      </c>
      <c r="H104" s="90" t="s">
        <v>25</v>
      </c>
      <c r="I104" s="90" t="s">
        <v>25</v>
      </c>
      <c r="J104" s="90" t="s">
        <v>25</v>
      </c>
      <c r="K104" s="90" t="s">
        <v>25</v>
      </c>
      <c r="L104" s="90" t="s">
        <v>25</v>
      </c>
      <c r="M104" s="90"/>
      <c r="N104" s="90"/>
      <c r="O104" s="37"/>
    </row>
    <row r="105">
      <c r="A105" s="86"/>
      <c r="B105" s="22">
        <v>101.0</v>
      </c>
      <c r="C105" s="132"/>
      <c r="D105" s="124"/>
      <c r="E105" s="88" t="str">
        <f t="shared" si="6"/>
        <v/>
      </c>
      <c r="F105" s="89" t="str">
        <f t="shared" si="7"/>
        <v/>
      </c>
      <c r="G105" s="41"/>
      <c r="H105" s="41"/>
      <c r="I105" s="41"/>
      <c r="J105" s="41"/>
      <c r="K105" s="41"/>
      <c r="L105" s="41"/>
      <c r="M105" s="41"/>
      <c r="N105" s="41"/>
      <c r="O105" s="37"/>
    </row>
    <row r="106">
      <c r="A106" s="92"/>
      <c r="B106" s="30">
        <v>102.0</v>
      </c>
      <c r="C106" s="133"/>
      <c r="D106" s="95"/>
      <c r="E106" s="88" t="str">
        <f t="shared" si="6"/>
        <v/>
      </c>
      <c r="F106" s="89" t="str">
        <f t="shared" si="7"/>
        <v/>
      </c>
      <c r="G106" s="41"/>
      <c r="H106" s="41"/>
      <c r="I106" s="41"/>
      <c r="J106" s="41"/>
      <c r="K106" s="41"/>
      <c r="L106" s="41"/>
      <c r="M106" s="41"/>
      <c r="N106" s="41"/>
      <c r="O106" s="37"/>
    </row>
    <row r="107">
      <c r="A107" s="86"/>
      <c r="B107" s="22">
        <v>103.0</v>
      </c>
      <c r="C107" s="134"/>
      <c r="D107" s="135"/>
      <c r="E107" s="88" t="str">
        <f t="shared" si="6"/>
        <v/>
      </c>
      <c r="F107" s="89" t="str">
        <f t="shared" si="7"/>
        <v/>
      </c>
      <c r="G107" s="41"/>
      <c r="H107" s="41"/>
      <c r="I107" s="41"/>
      <c r="J107" s="41"/>
      <c r="K107" s="41"/>
      <c r="L107" s="41"/>
      <c r="M107" s="41"/>
      <c r="N107" s="41"/>
      <c r="O107" s="37"/>
    </row>
    <row r="108">
      <c r="A108" s="92"/>
      <c r="B108" s="30">
        <v>104.0</v>
      </c>
      <c r="C108" s="136"/>
      <c r="D108" s="122"/>
      <c r="E108" s="88" t="str">
        <f t="shared" si="6"/>
        <v/>
      </c>
      <c r="F108" s="89" t="str">
        <f t="shared" si="7"/>
        <v/>
      </c>
      <c r="G108" s="41"/>
      <c r="H108" s="41"/>
      <c r="I108" s="41"/>
      <c r="J108" s="41"/>
      <c r="K108" s="41"/>
      <c r="L108" s="41"/>
      <c r="M108" s="41"/>
      <c r="N108" s="41"/>
      <c r="O108" s="37"/>
    </row>
    <row r="109">
      <c r="A109" s="86"/>
      <c r="B109" s="22">
        <v>105.0</v>
      </c>
      <c r="C109" s="68"/>
      <c r="D109" s="68"/>
      <c r="E109" s="88" t="str">
        <f t="shared" si="6"/>
        <v/>
      </c>
      <c r="F109" s="89" t="str">
        <f t="shared" si="7"/>
        <v/>
      </c>
      <c r="G109" s="41"/>
      <c r="H109" s="41"/>
      <c r="I109" s="41"/>
      <c r="J109" s="41"/>
      <c r="K109" s="41"/>
      <c r="L109" s="41"/>
      <c r="M109" s="41"/>
      <c r="N109" s="41"/>
      <c r="O109" s="37"/>
    </row>
    <row r="110">
      <c r="A110" s="92"/>
      <c r="B110" s="30">
        <v>106.0</v>
      </c>
      <c r="C110" s="67"/>
      <c r="D110" s="67"/>
      <c r="E110" s="88" t="str">
        <f t="shared" si="6"/>
        <v/>
      </c>
      <c r="F110" s="89" t="str">
        <f t="shared" si="7"/>
        <v/>
      </c>
      <c r="G110" s="41"/>
      <c r="H110" s="41"/>
      <c r="I110" s="41"/>
      <c r="J110" s="41"/>
      <c r="K110" s="41"/>
      <c r="L110" s="41"/>
      <c r="M110" s="41"/>
      <c r="N110" s="41"/>
      <c r="O110" s="37"/>
    </row>
    <row r="111">
      <c r="A111" s="86"/>
      <c r="B111" s="22">
        <v>107.0</v>
      </c>
      <c r="C111" s="68"/>
      <c r="D111" s="68"/>
      <c r="E111" s="88" t="str">
        <f t="shared" si="6"/>
        <v/>
      </c>
      <c r="F111" s="89" t="str">
        <f t="shared" si="7"/>
        <v/>
      </c>
      <c r="G111" s="41"/>
      <c r="H111" s="41"/>
      <c r="I111" s="41"/>
      <c r="J111" s="41"/>
      <c r="K111" s="41"/>
      <c r="L111" s="41"/>
      <c r="M111" s="41"/>
      <c r="N111" s="41"/>
      <c r="O111" s="37"/>
    </row>
    <row r="112">
      <c r="A112" s="92"/>
      <c r="B112" s="30">
        <v>108.0</v>
      </c>
      <c r="C112" s="67"/>
      <c r="D112" s="67"/>
      <c r="E112" s="88" t="str">
        <f t="shared" si="6"/>
        <v/>
      </c>
      <c r="F112" s="89" t="str">
        <f t="shared" si="7"/>
        <v/>
      </c>
      <c r="G112" s="41"/>
      <c r="H112" s="41"/>
      <c r="I112" s="41"/>
      <c r="J112" s="41"/>
      <c r="K112" s="41"/>
      <c r="L112" s="41"/>
      <c r="M112" s="41"/>
      <c r="N112" s="41"/>
      <c r="O112" s="37"/>
    </row>
    <row r="113">
      <c r="A113" s="86"/>
      <c r="B113" s="22">
        <v>109.0</v>
      </c>
      <c r="C113" s="68"/>
      <c r="D113" s="68"/>
      <c r="E113" s="88" t="str">
        <f t="shared" si="6"/>
        <v/>
      </c>
      <c r="F113" s="89" t="str">
        <f t="shared" si="7"/>
        <v/>
      </c>
      <c r="G113" s="41"/>
      <c r="H113" s="41"/>
      <c r="I113" s="41"/>
      <c r="J113" s="41"/>
      <c r="K113" s="41"/>
      <c r="L113" s="41"/>
      <c r="M113" s="41"/>
      <c r="N113" s="41"/>
      <c r="O113" s="37"/>
    </row>
    <row r="114">
      <c r="A114" s="92"/>
      <c r="B114" s="30">
        <v>110.0</v>
      </c>
      <c r="C114" s="67"/>
      <c r="D114" s="67"/>
      <c r="E114" s="88" t="str">
        <f t="shared" si="6"/>
        <v/>
      </c>
      <c r="F114" s="89" t="str">
        <f t="shared" si="7"/>
        <v/>
      </c>
      <c r="G114" s="41"/>
      <c r="H114" s="41"/>
      <c r="I114" s="41"/>
      <c r="J114" s="41"/>
      <c r="K114" s="41"/>
      <c r="L114" s="41"/>
      <c r="M114" s="41"/>
      <c r="N114" s="41"/>
      <c r="O114" s="37"/>
    </row>
    <row r="115">
      <c r="A115" s="86"/>
      <c r="B115" s="22">
        <v>111.0</v>
      </c>
      <c r="C115" s="68"/>
      <c r="D115" s="68"/>
      <c r="E115" s="88" t="str">
        <f t="shared" si="6"/>
        <v/>
      </c>
      <c r="F115" s="89" t="str">
        <f t="shared" si="7"/>
        <v/>
      </c>
      <c r="G115" s="41"/>
      <c r="H115" s="41"/>
      <c r="I115" s="41"/>
      <c r="J115" s="41"/>
      <c r="K115" s="41"/>
      <c r="L115" s="41"/>
      <c r="M115" s="41"/>
      <c r="N115" s="41"/>
      <c r="O115" s="37"/>
    </row>
    <row r="116">
      <c r="A116" s="92"/>
      <c r="B116" s="30">
        <v>112.0</v>
      </c>
      <c r="C116" s="67"/>
      <c r="D116" s="67"/>
      <c r="E116" s="88" t="str">
        <f t="shared" si="6"/>
        <v/>
      </c>
      <c r="F116" s="89" t="str">
        <f t="shared" si="7"/>
        <v/>
      </c>
      <c r="G116" s="41"/>
      <c r="H116" s="41"/>
      <c r="I116" s="41"/>
      <c r="J116" s="41"/>
      <c r="K116" s="41"/>
      <c r="L116" s="41"/>
      <c r="M116" s="41"/>
      <c r="N116" s="41"/>
      <c r="O116" s="37"/>
    </row>
    <row r="117">
      <c r="A117" s="86"/>
      <c r="B117" s="22">
        <v>113.0</v>
      </c>
      <c r="C117" s="68"/>
      <c r="D117" s="68"/>
      <c r="E117" s="88" t="str">
        <f t="shared" si="6"/>
        <v/>
      </c>
      <c r="F117" s="89" t="str">
        <f t="shared" si="7"/>
        <v/>
      </c>
      <c r="G117" s="41"/>
      <c r="H117" s="41"/>
      <c r="I117" s="41"/>
      <c r="J117" s="41"/>
      <c r="K117" s="41"/>
      <c r="L117" s="41"/>
      <c r="M117" s="41"/>
      <c r="N117" s="41"/>
      <c r="O117" s="37"/>
    </row>
    <row r="118">
      <c r="A118" s="92"/>
      <c r="B118" s="30">
        <v>114.0</v>
      </c>
      <c r="C118" s="67"/>
      <c r="D118" s="67"/>
      <c r="E118" s="88" t="str">
        <f t="shared" si="6"/>
        <v/>
      </c>
      <c r="F118" s="89" t="str">
        <f t="shared" si="7"/>
        <v/>
      </c>
      <c r="G118" s="41"/>
      <c r="H118" s="41"/>
      <c r="I118" s="41"/>
      <c r="J118" s="41"/>
      <c r="K118" s="41"/>
      <c r="L118" s="41"/>
      <c r="M118" s="41"/>
      <c r="N118" s="41"/>
      <c r="O118" s="37"/>
    </row>
    <row r="119">
      <c r="A119" s="86"/>
      <c r="B119" s="22">
        <v>115.0</v>
      </c>
      <c r="C119" s="68"/>
      <c r="D119" s="68"/>
      <c r="E119" s="88" t="str">
        <f t="shared" si="6"/>
        <v/>
      </c>
      <c r="F119" s="89" t="str">
        <f t="shared" si="7"/>
        <v/>
      </c>
      <c r="G119" s="41"/>
      <c r="H119" s="41"/>
      <c r="I119" s="41"/>
      <c r="J119" s="41"/>
      <c r="K119" s="41"/>
      <c r="L119" s="41"/>
      <c r="M119" s="41"/>
      <c r="N119" s="41"/>
      <c r="O119" s="37"/>
    </row>
    <row r="120">
      <c r="A120" s="92"/>
      <c r="B120" s="30">
        <v>116.0</v>
      </c>
      <c r="C120" s="67"/>
      <c r="D120" s="67"/>
      <c r="E120" s="88" t="str">
        <f t="shared" si="6"/>
        <v/>
      </c>
      <c r="F120" s="89" t="str">
        <f t="shared" si="7"/>
        <v/>
      </c>
      <c r="G120" s="41"/>
      <c r="H120" s="41"/>
      <c r="I120" s="41"/>
      <c r="J120" s="41"/>
      <c r="K120" s="41"/>
      <c r="L120" s="41"/>
      <c r="M120" s="41"/>
      <c r="N120" s="41"/>
      <c r="O120" s="37"/>
    </row>
    <row r="121">
      <c r="A121" s="86"/>
      <c r="B121" s="22">
        <v>117.0</v>
      </c>
      <c r="C121" s="68"/>
      <c r="D121" s="68"/>
      <c r="E121" s="88" t="str">
        <f t="shared" si="6"/>
        <v/>
      </c>
      <c r="F121" s="89" t="str">
        <f t="shared" si="7"/>
        <v/>
      </c>
      <c r="G121" s="41"/>
      <c r="H121" s="41"/>
      <c r="I121" s="41"/>
      <c r="J121" s="41"/>
      <c r="K121" s="41"/>
      <c r="L121" s="41"/>
      <c r="M121" s="41"/>
      <c r="N121" s="41"/>
      <c r="O121" s="37"/>
    </row>
    <row r="122">
      <c r="A122" s="137"/>
      <c r="B122" s="69">
        <v>118.0</v>
      </c>
      <c r="C122" s="70"/>
      <c r="D122" s="70"/>
      <c r="E122" s="88" t="str">
        <f t="shared" si="6"/>
        <v/>
      </c>
      <c r="F122" s="89" t="str">
        <f t="shared" si="7"/>
        <v/>
      </c>
      <c r="G122" s="73"/>
      <c r="H122" s="73"/>
      <c r="I122" s="73"/>
      <c r="J122" s="73"/>
      <c r="K122" s="73"/>
      <c r="L122" s="73"/>
      <c r="M122" s="73"/>
      <c r="N122" s="73"/>
      <c r="O122" s="1"/>
    </row>
    <row r="123">
      <c r="A123" s="137"/>
      <c r="B123" s="69">
        <v>119.0</v>
      </c>
      <c r="C123" s="70"/>
      <c r="D123" s="70"/>
      <c r="E123" s="88" t="str">
        <f t="shared" si="6"/>
        <v/>
      </c>
      <c r="F123" s="89" t="str">
        <f t="shared" si="7"/>
        <v/>
      </c>
      <c r="G123" s="73"/>
      <c r="H123" s="73"/>
      <c r="I123" s="73"/>
      <c r="J123" s="73"/>
      <c r="K123" s="73"/>
      <c r="L123" s="73"/>
      <c r="M123" s="73"/>
      <c r="N123" s="73"/>
      <c r="O123" s="1"/>
    </row>
    <row r="124">
      <c r="A124" s="137"/>
      <c r="B124" s="69">
        <v>120.0</v>
      </c>
      <c r="C124" s="70"/>
      <c r="D124" s="70"/>
      <c r="E124" s="88" t="str">
        <f t="shared" si="6"/>
        <v/>
      </c>
      <c r="F124" s="89" t="str">
        <f t="shared" si="7"/>
        <v/>
      </c>
      <c r="G124" s="73"/>
      <c r="H124" s="73"/>
      <c r="I124" s="73"/>
      <c r="J124" s="73"/>
      <c r="K124" s="73"/>
      <c r="L124" s="73"/>
      <c r="M124" s="73"/>
      <c r="N124" s="73"/>
      <c r="O124" s="1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</row>
  </sheetData>
  <mergeCells count="2">
    <mergeCell ref="B1:D2"/>
    <mergeCell ref="E1:F2"/>
  </mergeCells>
  <dataValidations>
    <dataValidation type="list" allowBlank="1" showErrorMessage="1" sqref="G4:O65 J66:O66 M67:O67 G68:O124">
      <formula1>"선택,완료"</formula1>
    </dataValidation>
  </dataValidations>
  <hyperlinks>
    <hyperlink r:id="rId1" ref="D5"/>
    <hyperlink r:id="rId2" ref="D22"/>
    <hyperlink r:id="rId3" ref="D23"/>
    <hyperlink r:id="rId4" ref="D27"/>
    <hyperlink r:id="rId5" ref="D44"/>
    <hyperlink r:id="rId6" ref="D45"/>
    <hyperlink r:id="rId7" ref="D50"/>
    <hyperlink r:id="rId8" ref="D51"/>
    <hyperlink r:id="rId9" ref="D55"/>
    <hyperlink r:id="rId10" ref="D64"/>
    <hyperlink r:id="rId11" ref="D69"/>
    <hyperlink r:id="rId12" ref="D86"/>
    <hyperlink r:id="rId13" ref="D98"/>
  </hyperlinks>
  <drawing r:id="rId14"/>
  <tableParts count="1">
    <tablePart r:id="rId1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13"/>
    <col customWidth="1" min="2" max="2" width="4.88"/>
    <col customWidth="1" min="3" max="3" width="18.63"/>
    <col customWidth="1" min="4" max="4" width="21.13"/>
  </cols>
  <sheetData>
    <row r="1">
      <c r="A1" s="74"/>
      <c r="B1" s="75" t="s">
        <v>0</v>
      </c>
      <c r="E1" s="3" t="s">
        <v>1</v>
      </c>
      <c r="G1" s="76" t="s">
        <v>242</v>
      </c>
      <c r="H1" s="76" t="s">
        <v>243</v>
      </c>
      <c r="I1" s="76" t="s">
        <v>244</v>
      </c>
      <c r="J1" s="76" t="s">
        <v>245</v>
      </c>
      <c r="K1" s="76" t="s">
        <v>246</v>
      </c>
      <c r="L1" s="76" t="s">
        <v>247</v>
      </c>
      <c r="M1" s="76" t="s">
        <v>248</v>
      </c>
      <c r="N1" s="139" t="s">
        <v>249</v>
      </c>
      <c r="O1" s="76" t="s">
        <v>250</v>
      </c>
      <c r="P1" s="76"/>
    </row>
    <row r="2">
      <c r="A2" s="77"/>
      <c r="G2" s="78" t="s">
        <v>251</v>
      </c>
      <c r="H2" s="78" t="s">
        <v>252</v>
      </c>
      <c r="I2" s="78" t="s">
        <v>253</v>
      </c>
      <c r="J2" s="78" t="s">
        <v>253</v>
      </c>
      <c r="K2" s="78" t="s">
        <v>254</v>
      </c>
      <c r="L2" s="78" t="s">
        <v>255</v>
      </c>
      <c r="M2" s="78" t="s">
        <v>256</v>
      </c>
      <c r="N2" s="78" t="s">
        <v>257</v>
      </c>
      <c r="O2" s="78" t="s">
        <v>258</v>
      </c>
      <c r="P2" s="76"/>
    </row>
    <row r="3">
      <c r="A3" s="1"/>
      <c r="B3" s="1"/>
      <c r="C3" s="1"/>
      <c r="D3" s="1"/>
      <c r="E3" s="9"/>
      <c r="F3" s="9"/>
      <c r="G3" s="11" t="str">
        <f t="shared" ref="G3:O3" si="1">COUNTIF(G5:G200, "완료") &amp; "명 완료"
</f>
        <v>55명 완료</v>
      </c>
      <c r="H3" s="11" t="str">
        <f t="shared" si="1"/>
        <v>57명 완료</v>
      </c>
      <c r="I3" s="11" t="str">
        <f t="shared" si="1"/>
        <v>54명 완료</v>
      </c>
      <c r="J3" s="11" t="str">
        <f t="shared" si="1"/>
        <v>57명 완료</v>
      </c>
      <c r="K3" s="11" t="str">
        <f t="shared" si="1"/>
        <v>50명 완료</v>
      </c>
      <c r="L3" s="11" t="str">
        <f t="shared" si="1"/>
        <v>51명 완료</v>
      </c>
      <c r="M3" s="11" t="str">
        <f t="shared" si="1"/>
        <v>45명 완료</v>
      </c>
      <c r="N3" s="11" t="str">
        <f t="shared" si="1"/>
        <v>50명 완료</v>
      </c>
      <c r="O3" s="11" t="str">
        <f t="shared" si="1"/>
        <v>45명 완료</v>
      </c>
      <c r="P3" s="138"/>
    </row>
    <row r="4">
      <c r="A4" s="80"/>
      <c r="B4" s="81" t="s">
        <v>20</v>
      </c>
      <c r="C4" s="82" t="s">
        <v>21</v>
      </c>
      <c r="D4" s="82" t="s">
        <v>22</v>
      </c>
      <c r="E4" s="83" t="s">
        <v>23</v>
      </c>
      <c r="F4" s="83" t="s">
        <v>24</v>
      </c>
      <c r="G4" s="84" t="s">
        <v>25</v>
      </c>
      <c r="H4" s="84" t="s">
        <v>25</v>
      </c>
      <c r="I4" s="84" t="s">
        <v>25</v>
      </c>
      <c r="J4" s="84" t="s">
        <v>25</v>
      </c>
      <c r="K4" s="84" t="s">
        <v>25</v>
      </c>
      <c r="L4" s="84" t="s">
        <v>25</v>
      </c>
      <c r="M4" s="84" t="s">
        <v>25</v>
      </c>
      <c r="N4" s="84" t="s">
        <v>25</v>
      </c>
      <c r="O4" s="84" t="s">
        <v>25</v>
      </c>
      <c r="P4" s="85"/>
    </row>
    <row r="5">
      <c r="A5" s="86"/>
      <c r="B5" s="22">
        <v>1.0</v>
      </c>
      <c r="C5" s="23" t="s">
        <v>26</v>
      </c>
      <c r="D5" s="87" t="s">
        <v>27</v>
      </c>
      <c r="E5" s="88" t="str">
        <f t="shared" ref="E5:E64" si="2">IF(COUNTIF(G5:O5, "완료")=0, "", COUNTIF($G$4:$O$4, "완료") &amp; "번 중 " &amp; COUNTIF(G5:O5, "완료") &amp; "번 참여")
</f>
        <v>9번 중 9번 참여</v>
      </c>
      <c r="F5" s="89">
        <f t="shared" ref="F5:F64" si="3">IF(COUNTIF($G$4:$O$4, "완료")=0, "", IF(COUNTIF(G5:O5, "완료")=0, "", COUNTIF(G5:O5, "완료") / COUNTIF($G$4:$O$4, "완료")))
</f>
        <v>1</v>
      </c>
      <c r="G5" s="90" t="s">
        <v>25</v>
      </c>
      <c r="H5" s="90" t="s">
        <v>25</v>
      </c>
      <c r="I5" s="90" t="s">
        <v>25</v>
      </c>
      <c r="J5" s="90" t="s">
        <v>25</v>
      </c>
      <c r="K5" s="90" t="s">
        <v>25</v>
      </c>
      <c r="L5" s="90" t="s">
        <v>25</v>
      </c>
      <c r="M5" s="90" t="s">
        <v>25</v>
      </c>
      <c r="N5" s="90" t="s">
        <v>25</v>
      </c>
      <c r="O5" s="90" t="s">
        <v>25</v>
      </c>
      <c r="P5" s="37"/>
    </row>
    <row r="6">
      <c r="A6" s="92"/>
      <c r="B6" s="30">
        <v>2.0</v>
      </c>
      <c r="C6" s="93" t="s">
        <v>28</v>
      </c>
      <c r="D6" s="93" t="s">
        <v>29</v>
      </c>
      <c r="E6" s="88" t="str">
        <f t="shared" si="2"/>
        <v>9번 중 9번 참여</v>
      </c>
      <c r="F6" s="89">
        <f t="shared" si="3"/>
        <v>1</v>
      </c>
      <c r="G6" s="90" t="s">
        <v>25</v>
      </c>
      <c r="H6" s="90" t="s">
        <v>25</v>
      </c>
      <c r="I6" s="90" t="s">
        <v>25</v>
      </c>
      <c r="J6" s="90" t="s">
        <v>25</v>
      </c>
      <c r="K6" s="90" t="s">
        <v>25</v>
      </c>
      <c r="L6" s="90" t="s">
        <v>25</v>
      </c>
      <c r="M6" s="90" t="s">
        <v>25</v>
      </c>
      <c r="N6" s="90" t="s">
        <v>25</v>
      </c>
      <c r="O6" s="90" t="s">
        <v>25</v>
      </c>
      <c r="P6" s="37"/>
    </row>
    <row r="7">
      <c r="A7" s="86"/>
      <c r="B7" s="22">
        <v>3.0</v>
      </c>
      <c r="C7" s="31" t="s">
        <v>30</v>
      </c>
      <c r="D7" s="31" t="s">
        <v>31</v>
      </c>
      <c r="E7" s="88" t="str">
        <f t="shared" si="2"/>
        <v>9번 중 5번 참여</v>
      </c>
      <c r="F7" s="89">
        <f t="shared" si="3"/>
        <v>0.5555555556</v>
      </c>
      <c r="G7" s="90" t="s">
        <v>25</v>
      </c>
      <c r="H7" s="90" t="s">
        <v>25</v>
      </c>
      <c r="I7" s="90" t="s">
        <v>25</v>
      </c>
      <c r="J7" s="90" t="s">
        <v>25</v>
      </c>
      <c r="K7" s="90" t="s">
        <v>25</v>
      </c>
      <c r="L7" s="41"/>
      <c r="M7" s="41"/>
      <c r="N7" s="41"/>
      <c r="O7" s="41"/>
      <c r="P7" s="37"/>
    </row>
    <row r="8">
      <c r="A8" s="92"/>
      <c r="B8" s="30">
        <v>4.0</v>
      </c>
      <c r="C8" s="23" t="s">
        <v>32</v>
      </c>
      <c r="D8" s="23" t="s">
        <v>33</v>
      </c>
      <c r="E8" s="88" t="str">
        <f t="shared" si="2"/>
        <v>9번 중 5번 참여</v>
      </c>
      <c r="F8" s="89">
        <f t="shared" si="3"/>
        <v>0.5555555556</v>
      </c>
      <c r="G8" s="90" t="s">
        <v>25</v>
      </c>
      <c r="H8" s="90" t="s">
        <v>25</v>
      </c>
      <c r="I8" s="90" t="s">
        <v>25</v>
      </c>
      <c r="J8" s="90" t="s">
        <v>25</v>
      </c>
      <c r="K8" s="90" t="s">
        <v>25</v>
      </c>
      <c r="L8" s="41"/>
      <c r="M8" s="41"/>
      <c r="N8" s="41"/>
      <c r="O8" s="41"/>
      <c r="P8" s="37"/>
    </row>
    <row r="9">
      <c r="A9" s="86"/>
      <c r="B9" s="22">
        <v>5.0</v>
      </c>
      <c r="C9" s="31" t="s">
        <v>34</v>
      </c>
      <c r="D9" s="31" t="s">
        <v>35</v>
      </c>
      <c r="E9" s="88" t="str">
        <f t="shared" si="2"/>
        <v>9번 중 9번 참여</v>
      </c>
      <c r="F9" s="89">
        <f t="shared" si="3"/>
        <v>1</v>
      </c>
      <c r="G9" s="90" t="s">
        <v>25</v>
      </c>
      <c r="H9" s="90" t="s">
        <v>25</v>
      </c>
      <c r="I9" s="90" t="s">
        <v>25</v>
      </c>
      <c r="J9" s="90" t="s">
        <v>25</v>
      </c>
      <c r="K9" s="90" t="s">
        <v>25</v>
      </c>
      <c r="L9" s="90" t="s">
        <v>25</v>
      </c>
      <c r="M9" s="90" t="s">
        <v>25</v>
      </c>
      <c r="N9" s="90" t="s">
        <v>25</v>
      </c>
      <c r="O9" s="90" t="s">
        <v>25</v>
      </c>
      <c r="P9" s="37"/>
    </row>
    <row r="10">
      <c r="A10" s="92"/>
      <c r="B10" s="30">
        <v>6.0</v>
      </c>
      <c r="C10" s="23" t="s">
        <v>36</v>
      </c>
      <c r="D10" s="95" t="s">
        <v>37</v>
      </c>
      <c r="E10" s="88" t="str">
        <f t="shared" si="2"/>
        <v>9번 중 8번 참여</v>
      </c>
      <c r="F10" s="89">
        <f t="shared" si="3"/>
        <v>0.8888888889</v>
      </c>
      <c r="G10" s="90" t="s">
        <v>25</v>
      </c>
      <c r="H10" s="90" t="s">
        <v>25</v>
      </c>
      <c r="I10" s="90" t="s">
        <v>25</v>
      </c>
      <c r="J10" s="90" t="s">
        <v>25</v>
      </c>
      <c r="K10" s="90" t="s">
        <v>25</v>
      </c>
      <c r="L10" s="90" t="s">
        <v>25</v>
      </c>
      <c r="M10" s="41"/>
      <c r="N10" s="90" t="s">
        <v>25</v>
      </c>
      <c r="O10" s="90" t="s">
        <v>25</v>
      </c>
      <c r="P10" s="37"/>
    </row>
    <row r="11">
      <c r="A11" s="86"/>
      <c r="B11" s="22">
        <v>7.0</v>
      </c>
      <c r="C11" s="31" t="s">
        <v>38</v>
      </c>
      <c r="D11" s="31" t="s">
        <v>39</v>
      </c>
      <c r="E11" s="88" t="str">
        <f t="shared" si="2"/>
        <v>9번 중 9번 참여</v>
      </c>
      <c r="F11" s="89">
        <f t="shared" si="3"/>
        <v>1</v>
      </c>
      <c r="G11" s="90" t="s">
        <v>25</v>
      </c>
      <c r="H11" s="90" t="s">
        <v>25</v>
      </c>
      <c r="I11" s="90" t="s">
        <v>25</v>
      </c>
      <c r="J11" s="90" t="s">
        <v>25</v>
      </c>
      <c r="K11" s="90" t="s">
        <v>25</v>
      </c>
      <c r="L11" s="90" t="s">
        <v>25</v>
      </c>
      <c r="M11" s="90" t="s">
        <v>25</v>
      </c>
      <c r="N11" s="90" t="s">
        <v>25</v>
      </c>
      <c r="O11" s="90" t="s">
        <v>25</v>
      </c>
      <c r="P11" s="37"/>
    </row>
    <row r="12">
      <c r="A12" s="92"/>
      <c r="B12" s="30">
        <v>8.0</v>
      </c>
      <c r="C12" s="23" t="s">
        <v>40</v>
      </c>
      <c r="D12" s="23" t="s">
        <v>41</v>
      </c>
      <c r="E12" s="88" t="str">
        <f t="shared" si="2"/>
        <v>9번 중 9번 참여</v>
      </c>
      <c r="F12" s="89">
        <f t="shared" si="3"/>
        <v>1</v>
      </c>
      <c r="G12" s="90" t="s">
        <v>25</v>
      </c>
      <c r="H12" s="90" t="s">
        <v>25</v>
      </c>
      <c r="I12" s="90" t="s">
        <v>25</v>
      </c>
      <c r="J12" s="90" t="s">
        <v>25</v>
      </c>
      <c r="K12" s="90" t="s">
        <v>25</v>
      </c>
      <c r="L12" s="90" t="s">
        <v>25</v>
      </c>
      <c r="M12" s="90" t="s">
        <v>25</v>
      </c>
      <c r="N12" s="90" t="s">
        <v>25</v>
      </c>
      <c r="O12" s="90" t="s">
        <v>25</v>
      </c>
      <c r="P12" s="37"/>
    </row>
    <row r="13">
      <c r="A13" s="86"/>
      <c r="B13" s="22">
        <v>9.0</v>
      </c>
      <c r="C13" s="31" t="s">
        <v>42</v>
      </c>
      <c r="D13" s="31" t="s">
        <v>43</v>
      </c>
      <c r="E13" s="88" t="str">
        <f t="shared" si="2"/>
        <v>9번 중 7번 참여</v>
      </c>
      <c r="F13" s="89">
        <f t="shared" si="3"/>
        <v>0.7777777778</v>
      </c>
      <c r="G13" s="90" t="s">
        <v>25</v>
      </c>
      <c r="H13" s="90" t="s">
        <v>25</v>
      </c>
      <c r="I13" s="90" t="s">
        <v>25</v>
      </c>
      <c r="J13" s="90" t="s">
        <v>25</v>
      </c>
      <c r="K13" s="41"/>
      <c r="L13" s="90" t="s">
        <v>25</v>
      </c>
      <c r="M13" s="41"/>
      <c r="N13" s="90" t="s">
        <v>25</v>
      </c>
      <c r="O13" s="90" t="s">
        <v>25</v>
      </c>
      <c r="P13" s="37"/>
    </row>
    <row r="14">
      <c r="A14" s="92"/>
      <c r="B14" s="30">
        <v>10.0</v>
      </c>
      <c r="C14" s="23" t="s">
        <v>44</v>
      </c>
      <c r="D14" s="23" t="s">
        <v>45</v>
      </c>
      <c r="E14" s="88" t="str">
        <f t="shared" si="2"/>
        <v>9번 중 9번 참여</v>
      </c>
      <c r="F14" s="89">
        <f t="shared" si="3"/>
        <v>1</v>
      </c>
      <c r="G14" s="90" t="s">
        <v>25</v>
      </c>
      <c r="H14" s="90" t="s">
        <v>25</v>
      </c>
      <c r="I14" s="90" t="s">
        <v>25</v>
      </c>
      <c r="J14" s="90" t="s">
        <v>25</v>
      </c>
      <c r="K14" s="90" t="s">
        <v>25</v>
      </c>
      <c r="L14" s="90" t="s">
        <v>25</v>
      </c>
      <c r="M14" s="90" t="s">
        <v>25</v>
      </c>
      <c r="N14" s="90" t="s">
        <v>25</v>
      </c>
      <c r="O14" s="90" t="s">
        <v>25</v>
      </c>
      <c r="P14" s="37"/>
    </row>
    <row r="15">
      <c r="A15" s="86"/>
      <c r="B15" s="22">
        <v>11.0</v>
      </c>
      <c r="C15" s="31" t="s">
        <v>46</v>
      </c>
      <c r="D15" s="31" t="s">
        <v>47</v>
      </c>
      <c r="E15" s="88" t="str">
        <f t="shared" si="2"/>
        <v>9번 중 9번 참여</v>
      </c>
      <c r="F15" s="89">
        <f t="shared" si="3"/>
        <v>1</v>
      </c>
      <c r="G15" s="90" t="s">
        <v>25</v>
      </c>
      <c r="H15" s="90" t="s">
        <v>25</v>
      </c>
      <c r="I15" s="90" t="s">
        <v>25</v>
      </c>
      <c r="J15" s="90" t="s">
        <v>25</v>
      </c>
      <c r="K15" s="90" t="s">
        <v>25</v>
      </c>
      <c r="L15" s="90" t="s">
        <v>25</v>
      </c>
      <c r="M15" s="90" t="s">
        <v>25</v>
      </c>
      <c r="N15" s="90" t="s">
        <v>25</v>
      </c>
      <c r="O15" s="90" t="s">
        <v>25</v>
      </c>
      <c r="P15" s="37"/>
    </row>
    <row r="16">
      <c r="A16" s="92"/>
      <c r="B16" s="30">
        <v>12.0</v>
      </c>
      <c r="C16" s="23" t="s">
        <v>48</v>
      </c>
      <c r="D16" s="23" t="s">
        <v>49</v>
      </c>
      <c r="E16" s="88" t="str">
        <f t="shared" si="2"/>
        <v>9번 중 9번 참여</v>
      </c>
      <c r="F16" s="89">
        <f t="shared" si="3"/>
        <v>1</v>
      </c>
      <c r="G16" s="90" t="s">
        <v>25</v>
      </c>
      <c r="H16" s="90" t="s">
        <v>25</v>
      </c>
      <c r="I16" s="90" t="s">
        <v>25</v>
      </c>
      <c r="J16" s="90" t="s">
        <v>25</v>
      </c>
      <c r="K16" s="90" t="s">
        <v>25</v>
      </c>
      <c r="L16" s="90" t="s">
        <v>25</v>
      </c>
      <c r="M16" s="90" t="s">
        <v>25</v>
      </c>
      <c r="N16" s="90" t="s">
        <v>25</v>
      </c>
      <c r="O16" s="90" t="s">
        <v>25</v>
      </c>
      <c r="P16" s="37"/>
    </row>
    <row r="17">
      <c r="A17" s="86"/>
      <c r="B17" s="22">
        <v>13.0</v>
      </c>
      <c r="C17" s="31" t="s">
        <v>50</v>
      </c>
      <c r="D17" s="31" t="s">
        <v>51</v>
      </c>
      <c r="E17" s="88" t="str">
        <f t="shared" si="2"/>
        <v>9번 중 6번 참여</v>
      </c>
      <c r="F17" s="89">
        <f t="shared" si="3"/>
        <v>0.6666666667</v>
      </c>
      <c r="G17" s="90" t="s">
        <v>25</v>
      </c>
      <c r="H17" s="90" t="s">
        <v>25</v>
      </c>
      <c r="I17" s="90" t="s">
        <v>25</v>
      </c>
      <c r="J17" s="90" t="s">
        <v>25</v>
      </c>
      <c r="K17" s="90" t="s">
        <v>25</v>
      </c>
      <c r="L17" s="90" t="s">
        <v>25</v>
      </c>
      <c r="M17" s="41"/>
      <c r="N17" s="41"/>
      <c r="O17" s="41"/>
      <c r="P17" s="37"/>
    </row>
    <row r="18">
      <c r="A18" s="92"/>
      <c r="B18" s="30">
        <v>14.0</v>
      </c>
      <c r="C18" s="23" t="s">
        <v>52</v>
      </c>
      <c r="D18" s="23" t="s">
        <v>53</v>
      </c>
      <c r="E18" s="88" t="str">
        <f t="shared" si="2"/>
        <v/>
      </c>
      <c r="F18" s="89" t="str">
        <f t="shared" si="3"/>
        <v/>
      </c>
      <c r="G18" s="41"/>
      <c r="H18" s="41"/>
      <c r="I18" s="41"/>
      <c r="J18" s="41"/>
      <c r="K18" s="41"/>
      <c r="L18" s="41"/>
      <c r="M18" s="41"/>
      <c r="N18" s="41"/>
      <c r="O18" s="41"/>
      <c r="P18" s="37"/>
    </row>
    <row r="19">
      <c r="A19" s="86"/>
      <c r="B19" s="22">
        <v>15.0</v>
      </c>
      <c r="C19" s="96" t="s">
        <v>54</v>
      </c>
      <c r="D19" s="96" t="s">
        <v>55</v>
      </c>
      <c r="E19" s="88" t="str">
        <f t="shared" si="2"/>
        <v>9번 중 8번 참여</v>
      </c>
      <c r="F19" s="89">
        <f t="shared" si="3"/>
        <v>0.8888888889</v>
      </c>
      <c r="G19" s="90" t="s">
        <v>25</v>
      </c>
      <c r="H19" s="90" t="s">
        <v>25</v>
      </c>
      <c r="I19" s="90" t="s">
        <v>25</v>
      </c>
      <c r="J19" s="90" t="s">
        <v>25</v>
      </c>
      <c r="K19" s="90" t="s">
        <v>25</v>
      </c>
      <c r="L19" s="90" t="s">
        <v>25</v>
      </c>
      <c r="M19" s="90" t="s">
        <v>25</v>
      </c>
      <c r="N19" s="90" t="s">
        <v>25</v>
      </c>
      <c r="O19" s="41"/>
      <c r="P19" s="37"/>
    </row>
    <row r="20">
      <c r="A20" s="92"/>
      <c r="B20" s="30">
        <v>16.0</v>
      </c>
      <c r="C20" s="23" t="s">
        <v>56</v>
      </c>
      <c r="D20" s="23" t="s">
        <v>57</v>
      </c>
      <c r="E20" s="88" t="str">
        <f t="shared" si="2"/>
        <v>9번 중 9번 참여</v>
      </c>
      <c r="F20" s="89">
        <f t="shared" si="3"/>
        <v>1</v>
      </c>
      <c r="G20" s="90" t="s">
        <v>25</v>
      </c>
      <c r="H20" s="90" t="s">
        <v>25</v>
      </c>
      <c r="I20" s="90" t="s">
        <v>25</v>
      </c>
      <c r="J20" s="90" t="s">
        <v>25</v>
      </c>
      <c r="K20" s="90" t="s">
        <v>25</v>
      </c>
      <c r="L20" s="90" t="s">
        <v>25</v>
      </c>
      <c r="M20" s="90" t="s">
        <v>25</v>
      </c>
      <c r="N20" s="90" t="s">
        <v>25</v>
      </c>
      <c r="O20" s="90" t="s">
        <v>25</v>
      </c>
      <c r="P20" s="37"/>
    </row>
    <row r="21">
      <c r="A21" s="86"/>
      <c r="B21" s="22">
        <v>17.0</v>
      </c>
      <c r="C21" s="31" t="s">
        <v>58</v>
      </c>
      <c r="D21" s="97" t="s">
        <v>59</v>
      </c>
      <c r="E21" s="88" t="str">
        <f t="shared" si="2"/>
        <v/>
      </c>
      <c r="F21" s="89" t="str">
        <f t="shared" si="3"/>
        <v/>
      </c>
      <c r="G21" s="41"/>
      <c r="H21" s="41"/>
      <c r="I21" s="41"/>
      <c r="J21" s="41"/>
      <c r="K21" s="41"/>
      <c r="L21" s="41"/>
      <c r="M21" s="41"/>
      <c r="N21" s="41"/>
      <c r="O21" s="41"/>
      <c r="P21" s="37"/>
    </row>
    <row r="22">
      <c r="A22" s="92"/>
      <c r="B22" s="30">
        <v>18.0</v>
      </c>
      <c r="C22" s="23" t="s">
        <v>60</v>
      </c>
      <c r="D22" s="87" t="s">
        <v>61</v>
      </c>
      <c r="E22" s="88" t="str">
        <f t="shared" si="2"/>
        <v>9번 중 4번 참여</v>
      </c>
      <c r="F22" s="89">
        <f t="shared" si="3"/>
        <v>0.4444444444</v>
      </c>
      <c r="G22" s="90" t="s">
        <v>25</v>
      </c>
      <c r="H22" s="90" t="s">
        <v>25</v>
      </c>
      <c r="I22" s="90" t="s">
        <v>25</v>
      </c>
      <c r="J22" s="90" t="s">
        <v>25</v>
      </c>
      <c r="K22" s="41"/>
      <c r="L22" s="41"/>
      <c r="M22" s="41"/>
      <c r="N22" s="41"/>
      <c r="O22" s="41"/>
      <c r="P22" s="37"/>
    </row>
    <row r="23">
      <c r="A23" s="86"/>
      <c r="B23" s="22">
        <v>19.0</v>
      </c>
      <c r="C23" s="98" t="s">
        <v>62</v>
      </c>
      <c r="D23" s="99" t="s">
        <v>63</v>
      </c>
      <c r="E23" s="88" t="str">
        <f t="shared" si="2"/>
        <v>9번 중 9번 참여</v>
      </c>
      <c r="F23" s="89">
        <f t="shared" si="3"/>
        <v>1</v>
      </c>
      <c r="G23" s="90" t="s">
        <v>25</v>
      </c>
      <c r="H23" s="90" t="s">
        <v>25</v>
      </c>
      <c r="I23" s="90" t="s">
        <v>25</v>
      </c>
      <c r="J23" s="90" t="s">
        <v>25</v>
      </c>
      <c r="K23" s="90" t="s">
        <v>25</v>
      </c>
      <c r="L23" s="90" t="s">
        <v>25</v>
      </c>
      <c r="M23" s="90" t="s">
        <v>25</v>
      </c>
      <c r="N23" s="90" t="s">
        <v>25</v>
      </c>
      <c r="O23" s="90" t="s">
        <v>25</v>
      </c>
      <c r="P23" s="37"/>
    </row>
    <row r="24">
      <c r="A24" s="92"/>
      <c r="B24" s="30">
        <v>20.0</v>
      </c>
      <c r="C24" s="23" t="s">
        <v>64</v>
      </c>
      <c r="D24" s="100" t="s">
        <v>65</v>
      </c>
      <c r="E24" s="88" t="str">
        <f t="shared" si="2"/>
        <v/>
      </c>
      <c r="F24" s="89" t="str">
        <f t="shared" si="3"/>
        <v/>
      </c>
      <c r="G24" s="41"/>
      <c r="H24" s="41"/>
      <c r="I24" s="41"/>
      <c r="J24" s="41"/>
      <c r="K24" s="41"/>
      <c r="L24" s="41"/>
      <c r="M24" s="41"/>
      <c r="N24" s="41"/>
      <c r="O24" s="41"/>
      <c r="P24" s="37"/>
    </row>
    <row r="25">
      <c r="A25" s="86"/>
      <c r="B25" s="22">
        <v>21.0</v>
      </c>
      <c r="C25" s="101" t="s">
        <v>66</v>
      </c>
      <c r="D25" s="102" t="s">
        <v>67</v>
      </c>
      <c r="E25" s="88" t="str">
        <f t="shared" si="2"/>
        <v>9번 중 8번 참여</v>
      </c>
      <c r="F25" s="89">
        <f t="shared" si="3"/>
        <v>0.8888888889</v>
      </c>
      <c r="G25" s="90" t="s">
        <v>25</v>
      </c>
      <c r="H25" s="90" t="s">
        <v>25</v>
      </c>
      <c r="I25" s="90" t="s">
        <v>25</v>
      </c>
      <c r="J25" s="90" t="s">
        <v>25</v>
      </c>
      <c r="K25" s="90" t="s">
        <v>25</v>
      </c>
      <c r="L25" s="90" t="s">
        <v>25</v>
      </c>
      <c r="M25" s="90" t="s">
        <v>25</v>
      </c>
      <c r="N25" s="90" t="s">
        <v>25</v>
      </c>
      <c r="O25" s="41"/>
      <c r="P25" s="37"/>
    </row>
    <row r="26">
      <c r="A26" s="92"/>
      <c r="B26" s="30">
        <v>22.0</v>
      </c>
      <c r="C26" s="103" t="s">
        <v>68</v>
      </c>
      <c r="D26" s="104" t="s">
        <v>69</v>
      </c>
      <c r="E26" s="88" t="str">
        <f t="shared" si="2"/>
        <v/>
      </c>
      <c r="F26" s="89" t="str">
        <f t="shared" si="3"/>
        <v/>
      </c>
      <c r="G26" s="41"/>
      <c r="H26" s="41"/>
      <c r="I26" s="41"/>
      <c r="J26" s="41"/>
      <c r="K26" s="41"/>
      <c r="L26" s="41"/>
      <c r="M26" s="41"/>
      <c r="N26" s="41"/>
      <c r="O26" s="41"/>
      <c r="P26" s="37"/>
    </row>
    <row r="27">
      <c r="A27" s="86"/>
      <c r="B27" s="22">
        <v>23.0</v>
      </c>
      <c r="C27" s="23" t="s">
        <v>26</v>
      </c>
      <c r="D27" s="105" t="s">
        <v>27</v>
      </c>
      <c r="E27" s="88" t="str">
        <f t="shared" si="2"/>
        <v/>
      </c>
      <c r="F27" s="89" t="str">
        <f t="shared" si="3"/>
        <v/>
      </c>
      <c r="G27" s="41"/>
      <c r="H27" s="41"/>
      <c r="I27" s="41"/>
      <c r="J27" s="41"/>
      <c r="K27" s="41"/>
      <c r="L27" s="41"/>
      <c r="M27" s="41"/>
      <c r="N27" s="41"/>
      <c r="O27" s="41"/>
      <c r="P27" s="37"/>
    </row>
    <row r="28">
      <c r="A28" s="92"/>
      <c r="B28" s="30">
        <v>24.0</v>
      </c>
      <c r="C28" s="93" t="s">
        <v>28</v>
      </c>
      <c r="D28" s="94" t="s">
        <v>70</v>
      </c>
      <c r="E28" s="88" t="str">
        <f t="shared" si="2"/>
        <v>9번 중 9번 참여</v>
      </c>
      <c r="F28" s="89">
        <f t="shared" si="3"/>
        <v>1</v>
      </c>
      <c r="G28" s="90" t="s">
        <v>25</v>
      </c>
      <c r="H28" s="90" t="s">
        <v>25</v>
      </c>
      <c r="I28" s="90" t="s">
        <v>25</v>
      </c>
      <c r="J28" s="90" t="s">
        <v>25</v>
      </c>
      <c r="K28" s="90" t="s">
        <v>25</v>
      </c>
      <c r="L28" s="90" t="s">
        <v>25</v>
      </c>
      <c r="M28" s="90" t="s">
        <v>25</v>
      </c>
      <c r="N28" s="90" t="s">
        <v>25</v>
      </c>
      <c r="O28" s="90" t="s">
        <v>25</v>
      </c>
      <c r="P28" s="37"/>
    </row>
    <row r="29">
      <c r="A29" s="86"/>
      <c r="B29" s="22">
        <v>25.0</v>
      </c>
      <c r="C29" s="31" t="s">
        <v>30</v>
      </c>
      <c r="D29" s="31" t="s">
        <v>31</v>
      </c>
      <c r="E29" s="88" t="str">
        <f t="shared" si="2"/>
        <v/>
      </c>
      <c r="F29" s="89" t="str">
        <f t="shared" si="3"/>
        <v/>
      </c>
      <c r="G29" s="41"/>
      <c r="H29" s="41"/>
      <c r="I29" s="41"/>
      <c r="J29" s="41"/>
      <c r="K29" s="41"/>
      <c r="L29" s="41"/>
      <c r="M29" s="41"/>
      <c r="N29" s="41"/>
      <c r="O29" s="41"/>
      <c r="P29" s="37"/>
    </row>
    <row r="30">
      <c r="A30" s="92"/>
      <c r="B30" s="30">
        <v>26.0</v>
      </c>
      <c r="C30" s="23" t="s">
        <v>32</v>
      </c>
      <c r="D30" s="23" t="s">
        <v>33</v>
      </c>
      <c r="E30" s="88" t="str">
        <f t="shared" si="2"/>
        <v/>
      </c>
      <c r="F30" s="89" t="str">
        <f t="shared" si="3"/>
        <v/>
      </c>
      <c r="G30" s="90"/>
      <c r="H30" s="41"/>
      <c r="I30" s="41"/>
      <c r="J30" s="41"/>
      <c r="K30" s="41"/>
      <c r="L30" s="41"/>
      <c r="M30" s="41"/>
      <c r="N30" s="41"/>
      <c r="O30" s="41"/>
      <c r="P30" s="37"/>
    </row>
    <row r="31">
      <c r="A31" s="86"/>
      <c r="B31" s="22">
        <v>27.0</v>
      </c>
      <c r="C31" s="31" t="s">
        <v>34</v>
      </c>
      <c r="D31" s="31" t="s">
        <v>35</v>
      </c>
      <c r="E31" s="88" t="str">
        <f t="shared" si="2"/>
        <v/>
      </c>
      <c r="F31" s="89" t="str">
        <f t="shared" si="3"/>
        <v/>
      </c>
      <c r="G31" s="41"/>
      <c r="H31" s="41"/>
      <c r="I31" s="41"/>
      <c r="J31" s="41"/>
      <c r="K31" s="41"/>
      <c r="L31" s="41"/>
      <c r="M31" s="41"/>
      <c r="N31" s="41"/>
      <c r="O31" s="41"/>
      <c r="P31" s="37"/>
    </row>
    <row r="32">
      <c r="A32" s="92"/>
      <c r="B32" s="30">
        <v>28.0</v>
      </c>
      <c r="C32" s="23" t="s">
        <v>36</v>
      </c>
      <c r="D32" s="23" t="s">
        <v>72</v>
      </c>
      <c r="E32" s="88" t="str">
        <f t="shared" si="2"/>
        <v/>
      </c>
      <c r="F32" s="89" t="str">
        <f t="shared" si="3"/>
        <v/>
      </c>
      <c r="G32" s="41"/>
      <c r="H32" s="41"/>
      <c r="I32" s="41"/>
      <c r="J32" s="41"/>
      <c r="K32" s="41"/>
      <c r="L32" s="41"/>
      <c r="M32" s="41"/>
      <c r="N32" s="41"/>
      <c r="O32" s="41"/>
      <c r="P32" s="37"/>
    </row>
    <row r="33">
      <c r="A33" s="86"/>
      <c r="B33" s="22">
        <v>29.0</v>
      </c>
      <c r="C33" s="31" t="s">
        <v>38</v>
      </c>
      <c r="D33" s="31" t="s">
        <v>39</v>
      </c>
      <c r="E33" s="88" t="str">
        <f t="shared" si="2"/>
        <v/>
      </c>
      <c r="F33" s="89" t="str">
        <f t="shared" si="3"/>
        <v/>
      </c>
      <c r="G33" s="41"/>
      <c r="H33" s="41"/>
      <c r="I33" s="41"/>
      <c r="J33" s="41"/>
      <c r="K33" s="41"/>
      <c r="L33" s="41"/>
      <c r="M33" s="41"/>
      <c r="N33" s="41"/>
      <c r="O33" s="41"/>
      <c r="P33" s="37"/>
    </row>
    <row r="34">
      <c r="A34" s="92"/>
      <c r="B34" s="30">
        <v>30.0</v>
      </c>
      <c r="C34" s="23" t="s">
        <v>40</v>
      </c>
      <c r="D34" s="23" t="s">
        <v>41</v>
      </c>
      <c r="E34" s="88" t="str">
        <f t="shared" si="2"/>
        <v/>
      </c>
      <c r="F34" s="89" t="str">
        <f t="shared" si="3"/>
        <v/>
      </c>
      <c r="G34" s="41"/>
      <c r="H34" s="41"/>
      <c r="I34" s="41"/>
      <c r="J34" s="41"/>
      <c r="K34" s="41"/>
      <c r="L34" s="41"/>
      <c r="M34" s="41"/>
      <c r="N34" s="41"/>
      <c r="O34" s="41"/>
      <c r="P34" s="37"/>
    </row>
    <row r="35">
      <c r="A35" s="86"/>
      <c r="B35" s="22">
        <v>31.0</v>
      </c>
      <c r="C35" s="31" t="s">
        <v>42</v>
      </c>
      <c r="D35" s="101" t="s">
        <v>73</v>
      </c>
      <c r="E35" s="88" t="str">
        <f t="shared" si="2"/>
        <v/>
      </c>
      <c r="F35" s="89" t="str">
        <f t="shared" si="3"/>
        <v/>
      </c>
      <c r="G35" s="41"/>
      <c r="H35" s="41"/>
      <c r="I35" s="41"/>
      <c r="J35" s="41"/>
      <c r="K35" s="41"/>
      <c r="L35" s="41"/>
      <c r="M35" s="41"/>
      <c r="N35" s="41"/>
      <c r="O35" s="41"/>
      <c r="P35" s="37"/>
    </row>
    <row r="36">
      <c r="A36" s="92"/>
      <c r="B36" s="30">
        <v>32.0</v>
      </c>
      <c r="C36" s="23" t="s">
        <v>44</v>
      </c>
      <c r="D36" s="23" t="s">
        <v>45</v>
      </c>
      <c r="E36" s="88" t="str">
        <f t="shared" si="2"/>
        <v/>
      </c>
      <c r="F36" s="89" t="str">
        <f t="shared" si="3"/>
        <v/>
      </c>
      <c r="G36" s="41"/>
      <c r="H36" s="41"/>
      <c r="I36" s="41"/>
      <c r="J36" s="41"/>
      <c r="K36" s="41"/>
      <c r="L36" s="41"/>
      <c r="M36" s="41"/>
      <c r="N36" s="41"/>
      <c r="O36" s="41"/>
      <c r="P36" s="37"/>
    </row>
    <row r="37">
      <c r="A37" s="86"/>
      <c r="B37" s="22">
        <v>33.0</v>
      </c>
      <c r="C37" s="31" t="s">
        <v>46</v>
      </c>
      <c r="D37" s="31" t="s">
        <v>47</v>
      </c>
      <c r="E37" s="88" t="str">
        <f t="shared" si="2"/>
        <v/>
      </c>
      <c r="F37" s="89" t="str">
        <f t="shared" si="3"/>
        <v/>
      </c>
      <c r="G37" s="41"/>
      <c r="H37" s="41"/>
      <c r="I37" s="41"/>
      <c r="J37" s="41"/>
      <c r="K37" s="41"/>
      <c r="L37" s="41"/>
      <c r="M37" s="41"/>
      <c r="N37" s="41"/>
      <c r="O37" s="41"/>
      <c r="P37" s="37"/>
    </row>
    <row r="38">
      <c r="A38" s="92"/>
      <c r="B38" s="30">
        <v>34.0</v>
      </c>
      <c r="C38" s="23" t="s">
        <v>48</v>
      </c>
      <c r="D38" s="23" t="s">
        <v>49</v>
      </c>
      <c r="E38" s="88" t="str">
        <f t="shared" si="2"/>
        <v/>
      </c>
      <c r="F38" s="89" t="str">
        <f t="shared" si="3"/>
        <v/>
      </c>
      <c r="G38" s="41"/>
      <c r="H38" s="41"/>
      <c r="I38" s="41"/>
      <c r="J38" s="41"/>
      <c r="K38" s="41"/>
      <c r="L38" s="41"/>
      <c r="M38" s="41"/>
      <c r="N38" s="41"/>
      <c r="O38" s="41"/>
      <c r="P38" s="37"/>
    </row>
    <row r="39">
      <c r="A39" s="86"/>
      <c r="B39" s="22">
        <v>35.0</v>
      </c>
      <c r="C39" s="31" t="s">
        <v>50</v>
      </c>
      <c r="D39" s="31" t="s">
        <v>51</v>
      </c>
      <c r="E39" s="88" t="str">
        <f t="shared" si="2"/>
        <v/>
      </c>
      <c r="F39" s="89" t="str">
        <f t="shared" si="3"/>
        <v/>
      </c>
      <c r="G39" s="41"/>
      <c r="H39" s="41"/>
      <c r="I39" s="41"/>
      <c r="J39" s="41"/>
      <c r="K39" s="41"/>
      <c r="L39" s="41"/>
      <c r="M39" s="41"/>
      <c r="N39" s="41"/>
      <c r="O39" s="41"/>
      <c r="P39" s="37"/>
    </row>
    <row r="40">
      <c r="A40" s="92"/>
      <c r="B40" s="30">
        <v>36.0</v>
      </c>
      <c r="C40" s="23" t="s">
        <v>52</v>
      </c>
      <c r="D40" s="23" t="s">
        <v>53</v>
      </c>
      <c r="E40" s="88" t="str">
        <f t="shared" si="2"/>
        <v/>
      </c>
      <c r="F40" s="89" t="str">
        <f t="shared" si="3"/>
        <v/>
      </c>
      <c r="G40" s="41"/>
      <c r="H40" s="41"/>
      <c r="I40" s="41"/>
      <c r="J40" s="41"/>
      <c r="K40" s="41"/>
      <c r="L40" s="41"/>
      <c r="M40" s="41"/>
      <c r="N40" s="41"/>
      <c r="O40" s="41"/>
      <c r="P40" s="37"/>
    </row>
    <row r="41">
      <c r="A41" s="86"/>
      <c r="B41" s="22">
        <v>37.0</v>
      </c>
      <c r="C41" s="96" t="s">
        <v>54</v>
      </c>
      <c r="D41" s="96" t="s">
        <v>55</v>
      </c>
      <c r="E41" s="88" t="str">
        <f t="shared" si="2"/>
        <v/>
      </c>
      <c r="F41" s="89" t="str">
        <f t="shared" si="3"/>
        <v/>
      </c>
      <c r="G41" s="41"/>
      <c r="H41" s="41"/>
      <c r="I41" s="41"/>
      <c r="J41" s="41"/>
      <c r="K41" s="41"/>
      <c r="L41" s="41"/>
      <c r="M41" s="41"/>
      <c r="N41" s="41"/>
      <c r="O41" s="41"/>
      <c r="P41" s="37"/>
    </row>
    <row r="42">
      <c r="A42" s="92"/>
      <c r="B42" s="30">
        <v>38.0</v>
      </c>
      <c r="C42" s="23" t="s">
        <v>56</v>
      </c>
      <c r="D42" s="23" t="s">
        <v>57</v>
      </c>
      <c r="E42" s="88" t="str">
        <f t="shared" si="2"/>
        <v/>
      </c>
      <c r="F42" s="89" t="str">
        <f t="shared" si="3"/>
        <v/>
      </c>
      <c r="G42" s="41"/>
      <c r="H42" s="41"/>
      <c r="I42" s="41"/>
      <c r="J42" s="41"/>
      <c r="K42" s="41"/>
      <c r="L42" s="41"/>
      <c r="M42" s="41"/>
      <c r="N42" s="41"/>
      <c r="O42" s="41"/>
      <c r="P42" s="37"/>
    </row>
    <row r="43">
      <c r="A43" s="86"/>
      <c r="B43" s="22">
        <v>39.0</v>
      </c>
      <c r="C43" s="31" t="s">
        <v>58</v>
      </c>
      <c r="D43" s="97" t="s">
        <v>59</v>
      </c>
      <c r="E43" s="88" t="str">
        <f t="shared" si="2"/>
        <v/>
      </c>
      <c r="F43" s="89" t="str">
        <f t="shared" si="3"/>
        <v/>
      </c>
      <c r="G43" s="41"/>
      <c r="H43" s="41"/>
      <c r="I43" s="41"/>
      <c r="J43" s="41"/>
      <c r="K43" s="41"/>
      <c r="L43" s="41"/>
      <c r="M43" s="41"/>
      <c r="N43" s="41"/>
      <c r="O43" s="41"/>
      <c r="P43" s="37"/>
    </row>
    <row r="44">
      <c r="A44" s="92"/>
      <c r="B44" s="30">
        <v>40.0</v>
      </c>
      <c r="C44" s="23" t="s">
        <v>60</v>
      </c>
      <c r="D44" s="105" t="s">
        <v>61</v>
      </c>
      <c r="E44" s="88" t="str">
        <f t="shared" si="2"/>
        <v/>
      </c>
      <c r="F44" s="89" t="str">
        <f t="shared" si="3"/>
        <v/>
      </c>
      <c r="G44" s="41"/>
      <c r="H44" s="41"/>
      <c r="I44" s="41"/>
      <c r="J44" s="41"/>
      <c r="K44" s="41"/>
      <c r="L44" s="41"/>
      <c r="M44" s="41"/>
      <c r="N44" s="41"/>
      <c r="O44" s="41"/>
      <c r="P44" s="37"/>
    </row>
    <row r="45">
      <c r="A45" s="86"/>
      <c r="B45" s="22">
        <v>41.0</v>
      </c>
      <c r="C45" s="98" t="s">
        <v>62</v>
      </c>
      <c r="D45" s="140" t="s">
        <v>63</v>
      </c>
      <c r="E45" s="88" t="str">
        <f t="shared" si="2"/>
        <v/>
      </c>
      <c r="F45" s="89" t="str">
        <f t="shared" si="3"/>
        <v/>
      </c>
      <c r="G45" s="41"/>
      <c r="H45" s="41"/>
      <c r="I45" s="41"/>
      <c r="J45" s="41"/>
      <c r="K45" s="41"/>
      <c r="L45" s="41"/>
      <c r="M45" s="41"/>
      <c r="N45" s="41"/>
      <c r="O45" s="41"/>
      <c r="P45" s="37"/>
    </row>
    <row r="46">
      <c r="A46" s="92"/>
      <c r="B46" s="30">
        <v>42.0</v>
      </c>
      <c r="C46" s="23" t="s">
        <v>64</v>
      </c>
      <c r="D46" s="100" t="s">
        <v>65</v>
      </c>
      <c r="E46" s="88" t="str">
        <f t="shared" si="2"/>
        <v/>
      </c>
      <c r="F46" s="89" t="str">
        <f t="shared" si="3"/>
        <v/>
      </c>
      <c r="G46" s="41"/>
      <c r="H46" s="41"/>
      <c r="I46" s="41"/>
      <c r="J46" s="41"/>
      <c r="K46" s="41"/>
      <c r="L46" s="41"/>
      <c r="M46" s="41"/>
      <c r="N46" s="41"/>
      <c r="O46" s="41"/>
      <c r="P46" s="37"/>
    </row>
    <row r="47">
      <c r="A47" s="86"/>
      <c r="B47" s="22">
        <v>43.0</v>
      </c>
      <c r="C47" s="101" t="s">
        <v>66</v>
      </c>
      <c r="D47" s="102" t="s">
        <v>67</v>
      </c>
      <c r="E47" s="88" t="str">
        <f t="shared" si="2"/>
        <v>9번 중 2번 참여</v>
      </c>
      <c r="F47" s="89">
        <f t="shared" si="3"/>
        <v>0.2222222222</v>
      </c>
      <c r="G47" s="90" t="s">
        <v>25</v>
      </c>
      <c r="H47" s="90" t="s">
        <v>25</v>
      </c>
      <c r="I47" s="41"/>
      <c r="J47" s="41"/>
      <c r="K47" s="41"/>
      <c r="L47" s="41"/>
      <c r="M47" s="41"/>
      <c r="N47" s="41"/>
      <c r="O47" s="41"/>
      <c r="P47" s="37"/>
    </row>
    <row r="48">
      <c r="A48" s="92"/>
      <c r="B48" s="30">
        <v>44.0</v>
      </c>
      <c r="C48" s="103" t="s">
        <v>68</v>
      </c>
      <c r="D48" s="104" t="s">
        <v>69</v>
      </c>
      <c r="E48" s="88" t="str">
        <f t="shared" si="2"/>
        <v/>
      </c>
      <c r="F48" s="89" t="str">
        <f t="shared" si="3"/>
        <v/>
      </c>
      <c r="G48" s="41"/>
      <c r="H48" s="41"/>
      <c r="I48" s="41"/>
      <c r="J48" s="41"/>
      <c r="K48" s="41"/>
      <c r="L48" s="41"/>
      <c r="M48" s="41"/>
      <c r="N48" s="41"/>
      <c r="O48" s="41"/>
      <c r="P48" s="37"/>
    </row>
    <row r="49">
      <c r="A49" s="86"/>
      <c r="B49" s="22">
        <v>45.0</v>
      </c>
      <c r="C49" s="31" t="s">
        <v>74</v>
      </c>
      <c r="D49" s="97" t="s">
        <v>75</v>
      </c>
      <c r="E49" s="88" t="str">
        <f t="shared" si="2"/>
        <v>9번 중 2번 참여</v>
      </c>
      <c r="F49" s="89">
        <f t="shared" si="3"/>
        <v>0.2222222222</v>
      </c>
      <c r="G49" s="41"/>
      <c r="H49" s="90" t="s">
        <v>25</v>
      </c>
      <c r="I49" s="41"/>
      <c r="J49" s="90" t="s">
        <v>25</v>
      </c>
      <c r="K49" s="41"/>
      <c r="L49" s="41"/>
      <c r="M49" s="41"/>
      <c r="N49" s="41"/>
      <c r="O49" s="41"/>
      <c r="P49" s="37"/>
    </row>
    <row r="50">
      <c r="A50" s="92"/>
      <c r="B50" s="30">
        <v>46.0</v>
      </c>
      <c r="C50" s="23" t="s">
        <v>76</v>
      </c>
      <c r="D50" s="87" t="s">
        <v>77</v>
      </c>
      <c r="E50" s="88" t="str">
        <f t="shared" si="2"/>
        <v>9번 중 1번 참여</v>
      </c>
      <c r="F50" s="89">
        <f t="shared" si="3"/>
        <v>0.1111111111</v>
      </c>
      <c r="G50" s="41"/>
      <c r="H50" s="90" t="s">
        <v>25</v>
      </c>
      <c r="I50" s="41"/>
      <c r="J50" s="41"/>
      <c r="K50" s="41"/>
      <c r="L50" s="41"/>
      <c r="M50" s="41"/>
      <c r="N50" s="41"/>
      <c r="O50" s="41"/>
      <c r="P50" s="37"/>
    </row>
    <row r="51">
      <c r="A51" s="86"/>
      <c r="B51" s="22">
        <v>47.0</v>
      </c>
      <c r="C51" s="31" t="s">
        <v>78</v>
      </c>
      <c r="D51" s="107" t="s">
        <v>79</v>
      </c>
      <c r="E51" s="88" t="str">
        <f t="shared" si="2"/>
        <v>9번 중 9번 참여</v>
      </c>
      <c r="F51" s="89">
        <f t="shared" si="3"/>
        <v>1</v>
      </c>
      <c r="G51" s="90" t="s">
        <v>25</v>
      </c>
      <c r="H51" s="90" t="s">
        <v>25</v>
      </c>
      <c r="I51" s="90" t="s">
        <v>25</v>
      </c>
      <c r="J51" s="90" t="s">
        <v>25</v>
      </c>
      <c r="K51" s="90" t="s">
        <v>25</v>
      </c>
      <c r="L51" s="90" t="s">
        <v>25</v>
      </c>
      <c r="M51" s="90" t="s">
        <v>25</v>
      </c>
      <c r="N51" s="90" t="s">
        <v>25</v>
      </c>
      <c r="O51" s="90" t="s">
        <v>25</v>
      </c>
      <c r="P51" s="37"/>
    </row>
    <row r="52">
      <c r="A52" s="92"/>
      <c r="B52" s="30">
        <v>48.0</v>
      </c>
      <c r="C52" s="31" t="s">
        <v>81</v>
      </c>
      <c r="D52" s="31" t="s">
        <v>82</v>
      </c>
      <c r="E52" s="88" t="str">
        <f t="shared" si="2"/>
        <v>9번 중 8번 참여</v>
      </c>
      <c r="F52" s="89">
        <f t="shared" si="3"/>
        <v>0.8888888889</v>
      </c>
      <c r="G52" s="90" t="s">
        <v>25</v>
      </c>
      <c r="H52" s="90" t="s">
        <v>25</v>
      </c>
      <c r="I52" s="90" t="s">
        <v>25</v>
      </c>
      <c r="J52" s="41"/>
      <c r="K52" s="90" t="s">
        <v>25</v>
      </c>
      <c r="L52" s="90" t="s">
        <v>25</v>
      </c>
      <c r="M52" s="90" t="s">
        <v>25</v>
      </c>
      <c r="N52" s="90" t="s">
        <v>25</v>
      </c>
      <c r="O52" s="90" t="s">
        <v>25</v>
      </c>
      <c r="P52" s="37"/>
    </row>
    <row r="53">
      <c r="A53" s="86"/>
      <c r="B53" s="22">
        <v>49.0</v>
      </c>
      <c r="C53" s="93" t="s">
        <v>83</v>
      </c>
      <c r="D53" s="108" t="s">
        <v>84</v>
      </c>
      <c r="E53" s="88" t="str">
        <f t="shared" si="2"/>
        <v/>
      </c>
      <c r="F53" s="89" t="str">
        <f t="shared" si="3"/>
        <v/>
      </c>
      <c r="G53" s="41"/>
      <c r="H53" s="41"/>
      <c r="I53" s="41"/>
      <c r="J53" s="41"/>
      <c r="K53" s="41"/>
      <c r="L53" s="41"/>
      <c r="M53" s="41"/>
      <c r="N53" s="41"/>
      <c r="O53" s="41"/>
      <c r="P53" s="37"/>
    </row>
    <row r="54">
      <c r="A54" s="92"/>
      <c r="B54" s="30">
        <v>50.0</v>
      </c>
      <c r="C54" s="31" t="s">
        <v>85</v>
      </c>
      <c r="D54" s="97" t="s">
        <v>86</v>
      </c>
      <c r="E54" s="88" t="str">
        <f t="shared" si="2"/>
        <v>9번 중 6번 참여</v>
      </c>
      <c r="F54" s="89">
        <f t="shared" si="3"/>
        <v>0.6666666667</v>
      </c>
      <c r="G54" s="41"/>
      <c r="H54" s="90" t="s">
        <v>25</v>
      </c>
      <c r="I54" s="90" t="s">
        <v>25</v>
      </c>
      <c r="J54" s="90" t="s">
        <v>25</v>
      </c>
      <c r="K54" s="90" t="s">
        <v>25</v>
      </c>
      <c r="L54" s="90" t="s">
        <v>25</v>
      </c>
      <c r="M54" s="41"/>
      <c r="N54" s="90" t="s">
        <v>25</v>
      </c>
      <c r="O54" s="41"/>
      <c r="P54" s="37"/>
    </row>
    <row r="55">
      <c r="A55" s="86"/>
      <c r="B55" s="22">
        <v>51.0</v>
      </c>
      <c r="C55" s="23" t="s">
        <v>87</v>
      </c>
      <c r="D55" s="87" t="s">
        <v>88</v>
      </c>
      <c r="E55" s="88" t="str">
        <f t="shared" si="2"/>
        <v>9번 중 6번 참여</v>
      </c>
      <c r="F55" s="89">
        <f t="shared" si="3"/>
        <v>0.6666666667</v>
      </c>
      <c r="G55" s="41"/>
      <c r="H55" s="41"/>
      <c r="I55" s="90" t="s">
        <v>25</v>
      </c>
      <c r="J55" s="90" t="s">
        <v>25</v>
      </c>
      <c r="K55" s="41"/>
      <c r="L55" s="90" t="s">
        <v>25</v>
      </c>
      <c r="M55" s="90" t="s">
        <v>25</v>
      </c>
      <c r="N55" s="90" t="s">
        <v>25</v>
      </c>
      <c r="O55" s="90" t="s">
        <v>25</v>
      </c>
      <c r="P55" s="37"/>
    </row>
    <row r="56">
      <c r="A56" s="92"/>
      <c r="B56" s="30">
        <v>52.0</v>
      </c>
      <c r="C56" s="109" t="s">
        <v>89</v>
      </c>
      <c r="D56" s="110" t="s">
        <v>90</v>
      </c>
      <c r="E56" s="88" t="str">
        <f t="shared" si="2"/>
        <v/>
      </c>
      <c r="F56" s="89" t="str">
        <f t="shared" si="3"/>
        <v/>
      </c>
      <c r="G56" s="41"/>
      <c r="H56" s="41"/>
      <c r="I56" s="41"/>
      <c r="J56" s="41"/>
      <c r="K56" s="41"/>
      <c r="L56" s="41"/>
      <c r="M56" s="41"/>
      <c r="N56" s="90" t="s">
        <v>80</v>
      </c>
      <c r="O56" s="41"/>
      <c r="P56" s="37"/>
    </row>
    <row r="57">
      <c r="A57" s="86"/>
      <c r="B57" s="22">
        <v>53.0</v>
      </c>
      <c r="C57" s="61" t="s">
        <v>91</v>
      </c>
      <c r="D57" s="61" t="s">
        <v>92</v>
      </c>
      <c r="E57" s="88" t="str">
        <f t="shared" si="2"/>
        <v>9번 중 8번 참여</v>
      </c>
      <c r="F57" s="89">
        <f t="shared" si="3"/>
        <v>0.8888888889</v>
      </c>
      <c r="G57" s="90" t="s">
        <v>25</v>
      </c>
      <c r="H57" s="90" t="s">
        <v>25</v>
      </c>
      <c r="I57" s="90" t="s">
        <v>25</v>
      </c>
      <c r="J57" s="90" t="s">
        <v>25</v>
      </c>
      <c r="K57" s="90" t="s">
        <v>25</v>
      </c>
      <c r="L57" s="90" t="s">
        <v>25</v>
      </c>
      <c r="M57" s="41"/>
      <c r="N57" s="90" t="s">
        <v>25</v>
      </c>
      <c r="O57" s="90" t="s">
        <v>25</v>
      </c>
      <c r="P57" s="37"/>
    </row>
    <row r="58">
      <c r="A58" s="92"/>
      <c r="B58" s="30">
        <v>54.0</v>
      </c>
      <c r="C58" s="31" t="s">
        <v>93</v>
      </c>
      <c r="D58" s="31" t="s">
        <v>94</v>
      </c>
      <c r="E58" s="88" t="str">
        <f t="shared" si="2"/>
        <v/>
      </c>
      <c r="F58" s="89" t="str">
        <f t="shared" si="3"/>
        <v/>
      </c>
      <c r="G58" s="41"/>
      <c r="H58" s="41"/>
      <c r="I58" s="41"/>
      <c r="J58" s="41"/>
      <c r="K58" s="41"/>
      <c r="L58" s="41"/>
      <c r="M58" s="41"/>
      <c r="N58" s="41"/>
      <c r="O58" s="41"/>
      <c r="P58" s="37"/>
    </row>
    <row r="59">
      <c r="A59" s="86"/>
      <c r="B59" s="22">
        <v>55.0</v>
      </c>
      <c r="C59" s="23" t="s">
        <v>95</v>
      </c>
      <c r="D59" s="23" t="s">
        <v>96</v>
      </c>
      <c r="E59" s="88" t="str">
        <f t="shared" si="2"/>
        <v>9번 중 9번 참여</v>
      </c>
      <c r="F59" s="89">
        <f t="shared" si="3"/>
        <v>1</v>
      </c>
      <c r="G59" s="90" t="s">
        <v>25</v>
      </c>
      <c r="H59" s="90" t="s">
        <v>25</v>
      </c>
      <c r="I59" s="90" t="s">
        <v>25</v>
      </c>
      <c r="J59" s="90" t="s">
        <v>25</v>
      </c>
      <c r="K59" s="90" t="s">
        <v>25</v>
      </c>
      <c r="L59" s="90" t="s">
        <v>25</v>
      </c>
      <c r="M59" s="90" t="s">
        <v>25</v>
      </c>
      <c r="N59" s="90" t="s">
        <v>25</v>
      </c>
      <c r="O59" s="90" t="s">
        <v>25</v>
      </c>
      <c r="P59" s="37"/>
    </row>
    <row r="60">
      <c r="A60" s="92"/>
      <c r="B60" s="30">
        <v>56.0</v>
      </c>
      <c r="C60" s="31" t="s">
        <v>97</v>
      </c>
      <c r="D60" s="31" t="s">
        <v>98</v>
      </c>
      <c r="E60" s="88" t="str">
        <f t="shared" si="2"/>
        <v>9번 중 9번 참여</v>
      </c>
      <c r="F60" s="89">
        <f t="shared" si="3"/>
        <v>1</v>
      </c>
      <c r="G60" s="90" t="s">
        <v>25</v>
      </c>
      <c r="H60" s="90" t="s">
        <v>25</v>
      </c>
      <c r="I60" s="90" t="s">
        <v>25</v>
      </c>
      <c r="J60" s="90" t="s">
        <v>25</v>
      </c>
      <c r="K60" s="90" t="s">
        <v>25</v>
      </c>
      <c r="L60" s="90" t="s">
        <v>25</v>
      </c>
      <c r="M60" s="90" t="s">
        <v>25</v>
      </c>
      <c r="N60" s="90" t="s">
        <v>25</v>
      </c>
      <c r="O60" s="90" t="s">
        <v>25</v>
      </c>
      <c r="P60" s="37"/>
    </row>
    <row r="61">
      <c r="A61" s="86"/>
      <c r="B61" s="22">
        <v>57.0</v>
      </c>
      <c r="C61" s="23" t="s">
        <v>99</v>
      </c>
      <c r="D61" s="23" t="s">
        <v>100</v>
      </c>
      <c r="E61" s="88" t="str">
        <f t="shared" si="2"/>
        <v>9번 중 7번 참여</v>
      </c>
      <c r="F61" s="89">
        <f t="shared" si="3"/>
        <v>0.7777777778</v>
      </c>
      <c r="G61" s="90" t="s">
        <v>25</v>
      </c>
      <c r="H61" s="90" t="s">
        <v>25</v>
      </c>
      <c r="I61" s="90" t="s">
        <v>25</v>
      </c>
      <c r="J61" s="41"/>
      <c r="K61" s="41"/>
      <c r="L61" s="90" t="s">
        <v>25</v>
      </c>
      <c r="M61" s="90" t="s">
        <v>25</v>
      </c>
      <c r="N61" s="90" t="s">
        <v>25</v>
      </c>
      <c r="O61" s="90" t="s">
        <v>25</v>
      </c>
      <c r="P61" s="37"/>
    </row>
    <row r="62">
      <c r="A62" s="92"/>
      <c r="B62" s="30">
        <v>58.0</v>
      </c>
      <c r="C62" s="31" t="s">
        <v>101</v>
      </c>
      <c r="D62" s="97" t="s">
        <v>102</v>
      </c>
      <c r="E62" s="88" t="str">
        <f t="shared" si="2"/>
        <v>9번 중 8번 참여</v>
      </c>
      <c r="F62" s="89">
        <f t="shared" si="3"/>
        <v>0.8888888889</v>
      </c>
      <c r="G62" s="90" t="s">
        <v>25</v>
      </c>
      <c r="H62" s="90" t="s">
        <v>25</v>
      </c>
      <c r="I62" s="41"/>
      <c r="J62" s="90" t="s">
        <v>25</v>
      </c>
      <c r="K62" s="90" t="s">
        <v>25</v>
      </c>
      <c r="L62" s="90" t="s">
        <v>25</v>
      </c>
      <c r="M62" s="90" t="s">
        <v>25</v>
      </c>
      <c r="N62" s="90" t="s">
        <v>25</v>
      </c>
      <c r="O62" s="90" t="s">
        <v>25</v>
      </c>
      <c r="P62" s="37"/>
    </row>
    <row r="63">
      <c r="A63" s="86"/>
      <c r="B63" s="22">
        <v>59.0</v>
      </c>
      <c r="C63" s="23" t="s">
        <v>103</v>
      </c>
      <c r="D63" s="23" t="s">
        <v>104</v>
      </c>
      <c r="E63" s="88" t="str">
        <f t="shared" si="2"/>
        <v>9번 중 9번 참여</v>
      </c>
      <c r="F63" s="89">
        <f t="shared" si="3"/>
        <v>1</v>
      </c>
      <c r="G63" s="90" t="s">
        <v>25</v>
      </c>
      <c r="H63" s="90" t="s">
        <v>25</v>
      </c>
      <c r="I63" s="90" t="s">
        <v>25</v>
      </c>
      <c r="J63" s="90" t="s">
        <v>25</v>
      </c>
      <c r="K63" s="90" t="s">
        <v>25</v>
      </c>
      <c r="L63" s="90" t="s">
        <v>25</v>
      </c>
      <c r="M63" s="90" t="s">
        <v>25</v>
      </c>
      <c r="N63" s="90" t="s">
        <v>25</v>
      </c>
      <c r="O63" s="90" t="s">
        <v>25</v>
      </c>
      <c r="P63" s="37"/>
    </row>
    <row r="64">
      <c r="A64" s="92"/>
      <c r="B64" s="30">
        <v>60.0</v>
      </c>
      <c r="C64" s="111" t="s">
        <v>105</v>
      </c>
      <c r="D64" s="112" t="s">
        <v>106</v>
      </c>
      <c r="E64" s="88" t="str">
        <f t="shared" si="2"/>
        <v>9번 중 9번 참여</v>
      </c>
      <c r="F64" s="89">
        <f t="shared" si="3"/>
        <v>1</v>
      </c>
      <c r="G64" s="90" t="s">
        <v>25</v>
      </c>
      <c r="H64" s="90" t="s">
        <v>25</v>
      </c>
      <c r="I64" s="90" t="s">
        <v>25</v>
      </c>
      <c r="J64" s="90" t="s">
        <v>25</v>
      </c>
      <c r="K64" s="90" t="s">
        <v>25</v>
      </c>
      <c r="L64" s="90" t="s">
        <v>25</v>
      </c>
      <c r="M64" s="90" t="s">
        <v>25</v>
      </c>
      <c r="N64" s="90" t="s">
        <v>25</v>
      </c>
      <c r="O64" s="90" t="s">
        <v>25</v>
      </c>
      <c r="P64" s="37"/>
    </row>
    <row r="65">
      <c r="A65" s="86"/>
      <c r="B65" s="22">
        <v>61.0</v>
      </c>
      <c r="C65" s="113" t="s">
        <v>107</v>
      </c>
      <c r="D65" s="114" t="s">
        <v>108</v>
      </c>
      <c r="E65" s="88" t="str">
        <f t="shared" ref="E65:E66" si="4">IF(COUNTIF(G65:J65, "완료")=0, "", COUNTIF($G$4:$O$4, "완료") &amp; "번 중 " &amp; COUNTIF(G65:J65, "완료") &amp; "번 참여")
</f>
        <v/>
      </c>
      <c r="F65" s="89" t="str">
        <f t="shared" ref="F65:F66" si="5">IF(COUNTIF($G$4:$O$4, "완료")=0, "", IF(COUNTIF(G65:J65, "완료")=0, "", COUNTIF(G65:J65, "완료") / COUNTIF($G$4:$O$4, "완료")))
</f>
        <v/>
      </c>
      <c r="G65" s="41"/>
      <c r="H65" s="41"/>
      <c r="I65" s="41"/>
      <c r="J65" s="41"/>
      <c r="K65" s="90" t="s">
        <v>80</v>
      </c>
      <c r="L65" s="41"/>
      <c r="M65" s="41"/>
      <c r="N65" s="41"/>
      <c r="O65" s="41"/>
      <c r="P65" s="41"/>
    </row>
    <row r="66">
      <c r="A66" s="92"/>
      <c r="B66" s="30">
        <v>62.0</v>
      </c>
      <c r="C66" s="95" t="s">
        <v>109</v>
      </c>
      <c r="D66" s="95" t="s">
        <v>110</v>
      </c>
      <c r="E66" s="88" t="str">
        <f t="shared" si="4"/>
        <v>9번 중 3번 참여</v>
      </c>
      <c r="F66" s="89">
        <f t="shared" si="5"/>
        <v>0.3333333333</v>
      </c>
      <c r="G66" s="41"/>
      <c r="H66" s="142" t="s">
        <v>25</v>
      </c>
      <c r="I66" s="142" t="s">
        <v>25</v>
      </c>
      <c r="J66" s="141" t="s">
        <v>25</v>
      </c>
      <c r="K66" s="41"/>
      <c r="L66" s="90" t="s">
        <v>25</v>
      </c>
      <c r="M66" s="90" t="s">
        <v>25</v>
      </c>
      <c r="N66" s="41"/>
      <c r="O66" s="90" t="s">
        <v>25</v>
      </c>
      <c r="P66" s="41"/>
    </row>
    <row r="67">
      <c r="A67" s="86"/>
      <c r="B67" s="22">
        <v>63.0</v>
      </c>
      <c r="C67" s="31" t="s">
        <v>111</v>
      </c>
      <c r="D67" s="31" t="s">
        <v>112</v>
      </c>
      <c r="E67" s="88" t="str">
        <f t="shared" ref="E67:E124" si="6">IF(COUNTIF(G67:O67, "완료")=0, "", COUNTIF($G$4:$O$4, "완료") &amp; "번 중 " &amp; COUNTIF(G67:O67, "완료") &amp; "번 참여")
</f>
        <v/>
      </c>
      <c r="F67" s="89" t="str">
        <f t="shared" ref="F67:F124" si="7">IF(COUNTIF($G$4:$O$4, "완료")=0, "", IF(COUNTIF(G67:O67, "완료")=0, "", COUNTIF(G67:O67, "완료") / COUNTIF($G$4:$O$4, "완료")))
</f>
        <v/>
      </c>
      <c r="G67" s="41"/>
      <c r="N67" s="41"/>
      <c r="O67" s="41"/>
      <c r="P67" s="37"/>
    </row>
    <row r="68">
      <c r="A68" s="92"/>
      <c r="B68" s="30">
        <v>64.0</v>
      </c>
      <c r="C68" s="23" t="s">
        <v>113</v>
      </c>
      <c r="D68" s="23" t="s">
        <v>114</v>
      </c>
      <c r="E68" s="88" t="str">
        <f t="shared" si="6"/>
        <v>9번 중 9번 참여</v>
      </c>
      <c r="F68" s="89">
        <f t="shared" si="7"/>
        <v>1</v>
      </c>
      <c r="G68" s="90" t="s">
        <v>25</v>
      </c>
      <c r="H68" s="90" t="s">
        <v>25</v>
      </c>
      <c r="I68" s="90" t="s">
        <v>25</v>
      </c>
      <c r="J68" s="90" t="s">
        <v>25</v>
      </c>
      <c r="K68" s="90" t="s">
        <v>25</v>
      </c>
      <c r="L68" s="90" t="s">
        <v>25</v>
      </c>
      <c r="M68" s="90" t="s">
        <v>25</v>
      </c>
      <c r="N68" s="90" t="s">
        <v>25</v>
      </c>
      <c r="O68" s="90" t="s">
        <v>25</v>
      </c>
      <c r="P68" s="37"/>
    </row>
    <row r="69">
      <c r="A69" s="86"/>
      <c r="B69" s="22">
        <v>65.0</v>
      </c>
      <c r="C69" s="115" t="s">
        <v>115</v>
      </c>
      <c r="D69" s="116" t="s">
        <v>116</v>
      </c>
      <c r="E69" s="88" t="str">
        <f t="shared" si="6"/>
        <v/>
      </c>
      <c r="F69" s="89" t="str">
        <f t="shared" si="7"/>
        <v/>
      </c>
      <c r="G69" s="41"/>
      <c r="H69" s="41"/>
      <c r="I69" s="41"/>
      <c r="J69" s="41"/>
      <c r="K69" s="41"/>
      <c r="L69" s="41"/>
      <c r="M69" s="41"/>
      <c r="N69" s="41"/>
      <c r="O69" s="41"/>
      <c r="P69" s="37"/>
    </row>
    <row r="70">
      <c r="A70" s="117" t="s">
        <v>226</v>
      </c>
      <c r="B70" s="118">
        <v>66.0</v>
      </c>
      <c r="C70" s="119" t="s">
        <v>118</v>
      </c>
      <c r="D70" s="120" t="s">
        <v>119</v>
      </c>
      <c r="E70" s="88" t="str">
        <f t="shared" si="6"/>
        <v>9번 중 9번 참여</v>
      </c>
      <c r="F70" s="89">
        <f t="shared" si="7"/>
        <v>1</v>
      </c>
      <c r="G70" s="90" t="s">
        <v>25</v>
      </c>
      <c r="H70" s="90" t="s">
        <v>25</v>
      </c>
      <c r="I70" s="90" t="s">
        <v>25</v>
      </c>
      <c r="J70" s="90" t="s">
        <v>25</v>
      </c>
      <c r="K70" s="90" t="s">
        <v>25</v>
      </c>
      <c r="L70" s="90" t="s">
        <v>25</v>
      </c>
      <c r="M70" s="90" t="s">
        <v>25</v>
      </c>
      <c r="N70" s="90" t="s">
        <v>25</v>
      </c>
      <c r="O70" s="90" t="s">
        <v>25</v>
      </c>
      <c r="P70" s="37"/>
    </row>
    <row r="71">
      <c r="A71" s="117"/>
      <c r="B71" s="121">
        <v>67.0</v>
      </c>
      <c r="C71" s="94" t="s">
        <v>120</v>
      </c>
      <c r="D71" s="93" t="s">
        <v>121</v>
      </c>
      <c r="E71" s="88" t="str">
        <f t="shared" si="6"/>
        <v>9번 중 9번 참여</v>
      </c>
      <c r="F71" s="89">
        <f t="shared" si="7"/>
        <v>1</v>
      </c>
      <c r="G71" s="90" t="s">
        <v>25</v>
      </c>
      <c r="H71" s="90" t="s">
        <v>25</v>
      </c>
      <c r="I71" s="90" t="s">
        <v>25</v>
      </c>
      <c r="J71" s="90" t="s">
        <v>25</v>
      </c>
      <c r="K71" s="90" t="s">
        <v>25</v>
      </c>
      <c r="L71" s="90" t="s">
        <v>25</v>
      </c>
      <c r="M71" s="90" t="s">
        <v>25</v>
      </c>
      <c r="N71" s="90" t="s">
        <v>25</v>
      </c>
      <c r="O71" s="90" t="s">
        <v>25</v>
      </c>
      <c r="P71" s="37"/>
    </row>
    <row r="72">
      <c r="A72" s="92"/>
      <c r="B72" s="30">
        <v>68.0</v>
      </c>
      <c r="C72" s="101" t="s">
        <v>122</v>
      </c>
      <c r="D72" s="122" t="s">
        <v>123</v>
      </c>
      <c r="E72" s="88" t="str">
        <f t="shared" si="6"/>
        <v>9번 중 1번 참여</v>
      </c>
      <c r="F72" s="89">
        <f t="shared" si="7"/>
        <v>0.1111111111</v>
      </c>
      <c r="G72" s="90" t="s">
        <v>25</v>
      </c>
      <c r="H72" s="41"/>
      <c r="I72" s="41"/>
      <c r="J72" s="41"/>
      <c r="K72" s="41"/>
      <c r="L72" s="41"/>
      <c r="M72" s="41"/>
      <c r="N72" s="41"/>
      <c r="O72" s="41"/>
      <c r="P72" s="37"/>
    </row>
    <row r="73">
      <c r="A73" s="86"/>
      <c r="B73" s="22">
        <v>69.0</v>
      </c>
      <c r="C73" s="23" t="s">
        <v>124</v>
      </c>
      <c r="D73" s="23" t="s">
        <v>125</v>
      </c>
      <c r="E73" s="88" t="str">
        <f t="shared" si="6"/>
        <v>9번 중 8번 참여</v>
      </c>
      <c r="F73" s="89">
        <f t="shared" si="7"/>
        <v>0.8888888889</v>
      </c>
      <c r="G73" s="90" t="s">
        <v>25</v>
      </c>
      <c r="H73" s="90" t="s">
        <v>25</v>
      </c>
      <c r="I73" s="90" t="s">
        <v>25</v>
      </c>
      <c r="J73" s="90" t="s">
        <v>25</v>
      </c>
      <c r="K73" s="90" t="s">
        <v>25</v>
      </c>
      <c r="L73" s="90" t="s">
        <v>25</v>
      </c>
      <c r="M73" s="90" t="s">
        <v>80</v>
      </c>
      <c r="N73" s="90" t="s">
        <v>25</v>
      </c>
      <c r="O73" s="90" t="s">
        <v>25</v>
      </c>
      <c r="P73" s="91" t="s">
        <v>25</v>
      </c>
    </row>
    <row r="74">
      <c r="A74" s="92"/>
      <c r="B74" s="30">
        <v>70.0</v>
      </c>
      <c r="C74" s="61" t="s">
        <v>126</v>
      </c>
      <c r="D74" s="123" t="s">
        <v>127</v>
      </c>
      <c r="E74" s="88" t="str">
        <f t="shared" si="6"/>
        <v>9번 중 4번 참여</v>
      </c>
      <c r="F74" s="89">
        <f t="shared" si="7"/>
        <v>0.4444444444</v>
      </c>
      <c r="G74" s="90" t="s">
        <v>25</v>
      </c>
      <c r="H74" s="41"/>
      <c r="I74" s="90" t="s">
        <v>25</v>
      </c>
      <c r="J74" s="90" t="s">
        <v>25</v>
      </c>
      <c r="K74" s="90" t="s">
        <v>25</v>
      </c>
      <c r="L74" s="41"/>
      <c r="M74" s="41"/>
      <c r="N74" s="41"/>
      <c r="O74" s="41"/>
      <c r="P74" s="37"/>
    </row>
    <row r="75">
      <c r="A75" s="86"/>
      <c r="B75" s="22">
        <v>71.0</v>
      </c>
      <c r="C75" s="95" t="s">
        <v>128</v>
      </c>
      <c r="D75" s="124" t="s">
        <v>129</v>
      </c>
      <c r="E75" s="88" t="str">
        <f t="shared" si="6"/>
        <v>9번 중 9번 참여</v>
      </c>
      <c r="F75" s="89">
        <f t="shared" si="7"/>
        <v>1</v>
      </c>
      <c r="G75" s="90" t="s">
        <v>25</v>
      </c>
      <c r="H75" s="90" t="s">
        <v>25</v>
      </c>
      <c r="I75" s="90" t="s">
        <v>25</v>
      </c>
      <c r="J75" s="90" t="s">
        <v>25</v>
      </c>
      <c r="K75" s="90" t="s">
        <v>25</v>
      </c>
      <c r="L75" s="90" t="s">
        <v>25</v>
      </c>
      <c r="M75" s="90" t="s">
        <v>25</v>
      </c>
      <c r="N75" s="90" t="s">
        <v>25</v>
      </c>
      <c r="O75" s="90" t="s">
        <v>25</v>
      </c>
      <c r="P75" s="37"/>
    </row>
    <row r="76">
      <c r="A76" s="120"/>
      <c r="B76" s="94">
        <v>72.0</v>
      </c>
      <c r="C76" s="94" t="s">
        <v>130</v>
      </c>
      <c r="D76" s="101" t="s">
        <v>131</v>
      </c>
      <c r="E76" s="88" t="str">
        <f t="shared" si="6"/>
        <v/>
      </c>
      <c r="F76" s="89" t="str">
        <f t="shared" si="7"/>
        <v/>
      </c>
      <c r="G76" s="41"/>
      <c r="H76" s="41"/>
      <c r="I76" s="41"/>
      <c r="J76" s="41"/>
      <c r="K76" s="41"/>
      <c r="L76" s="41"/>
      <c r="M76" s="41"/>
      <c r="N76" s="41"/>
      <c r="O76" s="41"/>
      <c r="P76" s="37"/>
    </row>
    <row r="77">
      <c r="A77" s="94"/>
      <c r="B77" s="94">
        <v>73.0</v>
      </c>
      <c r="C77" s="93" t="s">
        <v>132</v>
      </c>
      <c r="D77" s="23" t="s">
        <v>133</v>
      </c>
      <c r="E77" s="88" t="str">
        <f t="shared" si="6"/>
        <v>9번 중 2번 참여</v>
      </c>
      <c r="F77" s="89">
        <f t="shared" si="7"/>
        <v>0.2222222222</v>
      </c>
      <c r="G77" s="90" t="s">
        <v>25</v>
      </c>
      <c r="H77" s="90" t="s">
        <v>25</v>
      </c>
      <c r="I77" s="41"/>
      <c r="J77" s="41"/>
      <c r="K77" s="41"/>
      <c r="L77" s="41"/>
      <c r="M77" s="41"/>
      <c r="N77" s="41"/>
      <c r="O77" s="41"/>
      <c r="P77" s="37"/>
    </row>
    <row r="78">
      <c r="A78" s="92"/>
      <c r="B78" s="30">
        <v>74.0</v>
      </c>
      <c r="C78" s="98" t="s">
        <v>28</v>
      </c>
      <c r="D78" s="98" t="s">
        <v>70</v>
      </c>
      <c r="E78" s="88" t="str">
        <f t="shared" si="6"/>
        <v>9번 중 9번 참여</v>
      </c>
      <c r="F78" s="89">
        <f t="shared" si="7"/>
        <v>1</v>
      </c>
      <c r="G78" s="90" t="s">
        <v>25</v>
      </c>
      <c r="H78" s="90" t="s">
        <v>25</v>
      </c>
      <c r="I78" s="90" t="s">
        <v>25</v>
      </c>
      <c r="J78" s="90" t="s">
        <v>25</v>
      </c>
      <c r="K78" s="90" t="s">
        <v>25</v>
      </c>
      <c r="L78" s="90" t="s">
        <v>25</v>
      </c>
      <c r="M78" s="90" t="s">
        <v>25</v>
      </c>
      <c r="N78" s="90" t="s">
        <v>25</v>
      </c>
      <c r="O78" s="90" t="s">
        <v>25</v>
      </c>
      <c r="P78" s="37"/>
    </row>
    <row r="79">
      <c r="A79" s="86"/>
      <c r="B79" s="22">
        <v>75.0</v>
      </c>
      <c r="C79" s="101" t="s">
        <v>136</v>
      </c>
      <c r="D79" s="31" t="s">
        <v>137</v>
      </c>
      <c r="E79" s="88" t="str">
        <f t="shared" si="6"/>
        <v/>
      </c>
      <c r="F79" s="89" t="str">
        <f t="shared" si="7"/>
        <v/>
      </c>
      <c r="G79" s="41"/>
      <c r="H79" s="41"/>
      <c r="I79" s="41"/>
      <c r="J79" s="41"/>
      <c r="K79" s="41"/>
      <c r="L79" s="41"/>
      <c r="M79" s="41"/>
      <c r="N79" s="41"/>
      <c r="O79" s="41"/>
      <c r="P79" s="37"/>
    </row>
    <row r="80">
      <c r="A80" s="92"/>
      <c r="B80" s="30">
        <v>76.0</v>
      </c>
      <c r="C80" s="95" t="s">
        <v>138</v>
      </c>
      <c r="D80" s="23" t="s">
        <v>139</v>
      </c>
      <c r="E80" s="88" t="str">
        <f t="shared" si="6"/>
        <v/>
      </c>
      <c r="F80" s="89" t="str">
        <f t="shared" si="7"/>
        <v/>
      </c>
      <c r="G80" s="90" t="s">
        <v>80</v>
      </c>
      <c r="H80" s="41"/>
      <c r="I80" s="41"/>
      <c r="J80" s="41"/>
      <c r="K80" s="41"/>
      <c r="L80" s="41"/>
      <c r="M80" s="41"/>
      <c r="N80" s="41"/>
      <c r="O80" s="41"/>
      <c r="P80" s="37"/>
    </row>
    <row r="81">
      <c r="A81" s="86"/>
      <c r="B81" s="22">
        <v>77.0</v>
      </c>
      <c r="C81" s="93" t="s">
        <v>140</v>
      </c>
      <c r="D81" s="23" t="s">
        <v>141</v>
      </c>
      <c r="E81" s="88" t="str">
        <f t="shared" si="6"/>
        <v>9번 중 6번 참여</v>
      </c>
      <c r="F81" s="89">
        <f t="shared" si="7"/>
        <v>0.6666666667</v>
      </c>
      <c r="G81" s="41"/>
      <c r="H81" s="90" t="s">
        <v>25</v>
      </c>
      <c r="I81" s="90" t="s">
        <v>25</v>
      </c>
      <c r="J81" s="90" t="s">
        <v>25</v>
      </c>
      <c r="K81" s="41"/>
      <c r="L81" s="90" t="s">
        <v>25</v>
      </c>
      <c r="M81" s="41"/>
      <c r="N81" s="90" t="s">
        <v>25</v>
      </c>
      <c r="O81" s="90" t="s">
        <v>25</v>
      </c>
      <c r="P81" s="37"/>
    </row>
    <row r="82">
      <c r="A82" s="92"/>
      <c r="B82" s="30">
        <v>78.0</v>
      </c>
      <c r="C82" s="23" t="s">
        <v>142</v>
      </c>
      <c r="D82" s="23" t="s">
        <v>143</v>
      </c>
      <c r="E82" s="88" t="str">
        <f t="shared" si="6"/>
        <v/>
      </c>
      <c r="F82" s="89" t="str">
        <f t="shared" si="7"/>
        <v/>
      </c>
      <c r="G82" s="41"/>
      <c r="H82" s="41"/>
      <c r="I82" s="41"/>
      <c r="J82" s="41"/>
      <c r="K82" s="41"/>
      <c r="L82" s="41"/>
      <c r="M82" s="41"/>
      <c r="N82" s="41"/>
      <c r="O82" s="41"/>
      <c r="P82" s="37"/>
    </row>
    <row r="83">
      <c r="A83" s="86"/>
      <c r="B83" s="22">
        <v>79.0</v>
      </c>
      <c r="C83" s="31" t="s">
        <v>144</v>
      </c>
      <c r="D83" s="31" t="s">
        <v>145</v>
      </c>
      <c r="E83" s="88" t="str">
        <f t="shared" si="6"/>
        <v/>
      </c>
      <c r="F83" s="89" t="str">
        <f t="shared" si="7"/>
        <v/>
      </c>
      <c r="G83" s="41"/>
      <c r="H83" s="41"/>
      <c r="I83" s="41"/>
      <c r="J83" s="41"/>
      <c r="K83" s="41"/>
      <c r="L83" s="41"/>
      <c r="M83" s="41"/>
      <c r="N83" s="41"/>
      <c r="O83" s="41"/>
      <c r="P83" s="37"/>
    </row>
    <row r="84">
      <c r="A84" s="92"/>
      <c r="B84" s="30">
        <v>80.0</v>
      </c>
      <c r="C84" s="23" t="s">
        <v>146</v>
      </c>
      <c r="D84" s="23" t="s">
        <v>147</v>
      </c>
      <c r="E84" s="88" t="str">
        <f t="shared" si="6"/>
        <v>9번 중 9번 참여</v>
      </c>
      <c r="F84" s="89">
        <f t="shared" si="7"/>
        <v>1</v>
      </c>
      <c r="G84" s="90" t="s">
        <v>25</v>
      </c>
      <c r="H84" s="90" t="s">
        <v>25</v>
      </c>
      <c r="I84" s="90" t="s">
        <v>25</v>
      </c>
      <c r="J84" s="90" t="s">
        <v>25</v>
      </c>
      <c r="K84" s="90" t="s">
        <v>25</v>
      </c>
      <c r="L84" s="90" t="s">
        <v>25</v>
      </c>
      <c r="M84" s="90" t="s">
        <v>25</v>
      </c>
      <c r="N84" s="90" t="s">
        <v>25</v>
      </c>
      <c r="O84" s="90" t="s">
        <v>25</v>
      </c>
      <c r="P84" s="37"/>
    </row>
    <row r="85">
      <c r="A85" s="86"/>
      <c r="B85" s="22">
        <v>81.0</v>
      </c>
      <c r="C85" s="31" t="s">
        <v>148</v>
      </c>
      <c r="D85" s="31" t="s">
        <v>149</v>
      </c>
      <c r="E85" s="88" t="str">
        <f t="shared" si="6"/>
        <v>9번 중 9번 참여</v>
      </c>
      <c r="F85" s="89">
        <f t="shared" si="7"/>
        <v>1</v>
      </c>
      <c r="G85" s="90" t="s">
        <v>25</v>
      </c>
      <c r="H85" s="90" t="s">
        <v>25</v>
      </c>
      <c r="I85" s="90" t="s">
        <v>25</v>
      </c>
      <c r="J85" s="90" t="s">
        <v>25</v>
      </c>
      <c r="K85" s="90" t="s">
        <v>25</v>
      </c>
      <c r="L85" s="90" t="s">
        <v>25</v>
      </c>
      <c r="M85" s="90" t="s">
        <v>25</v>
      </c>
      <c r="N85" s="90" t="s">
        <v>25</v>
      </c>
      <c r="O85" s="90" t="s">
        <v>25</v>
      </c>
      <c r="P85" s="37"/>
    </row>
    <row r="86">
      <c r="A86" s="92"/>
      <c r="B86" s="30">
        <v>82.0</v>
      </c>
      <c r="C86" s="31" t="s">
        <v>150</v>
      </c>
      <c r="D86" s="107" t="s">
        <v>151</v>
      </c>
      <c r="E86" s="88" t="str">
        <f t="shared" si="6"/>
        <v/>
      </c>
      <c r="F86" s="89" t="str">
        <f t="shared" si="7"/>
        <v/>
      </c>
      <c r="G86" s="41"/>
      <c r="H86" s="41"/>
      <c r="I86" s="41"/>
      <c r="J86" s="41"/>
      <c r="K86" s="41"/>
      <c r="L86" s="41"/>
      <c r="M86" s="41"/>
      <c r="N86" s="41"/>
      <c r="O86" s="41"/>
      <c r="P86" s="37"/>
    </row>
    <row r="87">
      <c r="A87" s="86"/>
      <c r="B87" s="22">
        <v>83.0</v>
      </c>
      <c r="C87" s="23" t="s">
        <v>152</v>
      </c>
      <c r="D87" s="23" t="s">
        <v>153</v>
      </c>
      <c r="E87" s="88" t="str">
        <f t="shared" si="6"/>
        <v/>
      </c>
      <c r="F87" s="89" t="str">
        <f t="shared" si="7"/>
        <v/>
      </c>
      <c r="G87" s="41"/>
      <c r="H87" s="41"/>
      <c r="I87" s="41"/>
      <c r="J87" s="41"/>
      <c r="K87" s="41"/>
      <c r="L87" s="41"/>
      <c r="M87" s="41"/>
      <c r="N87" s="41"/>
      <c r="O87" s="41"/>
      <c r="P87" s="37"/>
    </row>
    <row r="88">
      <c r="A88" s="92"/>
      <c r="B88" s="30">
        <v>84.0</v>
      </c>
      <c r="C88" s="31" t="s">
        <v>154</v>
      </c>
      <c r="D88" s="31" t="s">
        <v>155</v>
      </c>
      <c r="E88" s="88" t="str">
        <f t="shared" si="6"/>
        <v>9번 중 9번 참여</v>
      </c>
      <c r="F88" s="89">
        <f t="shared" si="7"/>
        <v>1</v>
      </c>
      <c r="G88" s="90" t="s">
        <v>25</v>
      </c>
      <c r="H88" s="90" t="s">
        <v>25</v>
      </c>
      <c r="I88" s="90" t="s">
        <v>25</v>
      </c>
      <c r="J88" s="90" t="s">
        <v>25</v>
      </c>
      <c r="K88" s="90" t="s">
        <v>25</v>
      </c>
      <c r="L88" s="90" t="s">
        <v>25</v>
      </c>
      <c r="M88" s="90" t="s">
        <v>25</v>
      </c>
      <c r="N88" s="90" t="s">
        <v>25</v>
      </c>
      <c r="O88" s="90" t="s">
        <v>25</v>
      </c>
      <c r="P88" s="37"/>
    </row>
    <row r="89">
      <c r="A89" s="86"/>
      <c r="B89" s="22">
        <v>85.0</v>
      </c>
      <c r="C89" s="23" t="s">
        <v>156</v>
      </c>
      <c r="D89" s="23" t="s">
        <v>157</v>
      </c>
      <c r="E89" s="88" t="str">
        <f t="shared" si="6"/>
        <v>9번 중 8번 참여</v>
      </c>
      <c r="F89" s="89">
        <f t="shared" si="7"/>
        <v>0.8888888889</v>
      </c>
      <c r="G89" s="90" t="s">
        <v>25</v>
      </c>
      <c r="H89" s="90" t="s">
        <v>25</v>
      </c>
      <c r="I89" s="90" t="s">
        <v>25</v>
      </c>
      <c r="J89" s="90" t="s">
        <v>25</v>
      </c>
      <c r="K89" s="90" t="s">
        <v>25</v>
      </c>
      <c r="L89" s="41"/>
      <c r="M89" s="90" t="s">
        <v>25</v>
      </c>
      <c r="N89" s="90" t="s">
        <v>25</v>
      </c>
      <c r="O89" s="90" t="s">
        <v>25</v>
      </c>
      <c r="P89" s="37"/>
    </row>
    <row r="90">
      <c r="A90" s="92"/>
      <c r="B90" s="30">
        <v>86.0</v>
      </c>
      <c r="C90" s="125" t="s">
        <v>158</v>
      </c>
      <c r="D90" s="125" t="s">
        <v>159</v>
      </c>
      <c r="E90" s="88" t="str">
        <f t="shared" si="6"/>
        <v>9번 중 9번 참여</v>
      </c>
      <c r="F90" s="89">
        <f t="shared" si="7"/>
        <v>1</v>
      </c>
      <c r="G90" s="90" t="s">
        <v>25</v>
      </c>
      <c r="H90" s="90" t="s">
        <v>25</v>
      </c>
      <c r="I90" s="90" t="s">
        <v>25</v>
      </c>
      <c r="J90" s="90" t="s">
        <v>25</v>
      </c>
      <c r="K90" s="90" t="s">
        <v>25</v>
      </c>
      <c r="L90" s="90" t="s">
        <v>25</v>
      </c>
      <c r="M90" s="90" t="s">
        <v>25</v>
      </c>
      <c r="N90" s="90" t="s">
        <v>25</v>
      </c>
      <c r="O90" s="90" t="s">
        <v>25</v>
      </c>
      <c r="P90" s="37"/>
    </row>
    <row r="91">
      <c r="A91" s="86"/>
      <c r="B91" s="22">
        <v>87.0</v>
      </c>
      <c r="C91" s="127" t="s">
        <v>160</v>
      </c>
      <c r="D91" s="127" t="s">
        <v>161</v>
      </c>
      <c r="E91" s="88" t="str">
        <f t="shared" si="6"/>
        <v>9번 중 9번 참여</v>
      </c>
      <c r="F91" s="89">
        <f t="shared" si="7"/>
        <v>1</v>
      </c>
      <c r="G91" s="90" t="s">
        <v>25</v>
      </c>
      <c r="H91" s="90" t="s">
        <v>25</v>
      </c>
      <c r="I91" s="90" t="s">
        <v>25</v>
      </c>
      <c r="J91" s="90" t="s">
        <v>25</v>
      </c>
      <c r="K91" s="90" t="s">
        <v>25</v>
      </c>
      <c r="L91" s="90" t="s">
        <v>25</v>
      </c>
      <c r="M91" s="90" t="s">
        <v>25</v>
      </c>
      <c r="N91" s="90" t="s">
        <v>25</v>
      </c>
      <c r="O91" s="90" t="s">
        <v>25</v>
      </c>
      <c r="P91" s="37"/>
    </row>
    <row r="92">
      <c r="A92" s="92"/>
      <c r="B92" s="30">
        <v>88.0</v>
      </c>
      <c r="C92" s="31" t="s">
        <v>162</v>
      </c>
      <c r="D92" s="31" t="s">
        <v>163</v>
      </c>
      <c r="E92" s="88" t="str">
        <f t="shared" si="6"/>
        <v>9번 중 9번 참여</v>
      </c>
      <c r="F92" s="89">
        <f t="shared" si="7"/>
        <v>1</v>
      </c>
      <c r="G92" s="90" t="s">
        <v>25</v>
      </c>
      <c r="H92" s="90" t="s">
        <v>25</v>
      </c>
      <c r="I92" s="90" t="s">
        <v>25</v>
      </c>
      <c r="J92" s="90" t="s">
        <v>25</v>
      </c>
      <c r="K92" s="90" t="s">
        <v>25</v>
      </c>
      <c r="L92" s="90" t="s">
        <v>25</v>
      </c>
      <c r="M92" s="90" t="s">
        <v>25</v>
      </c>
      <c r="N92" s="90" t="s">
        <v>25</v>
      </c>
      <c r="O92" s="90" t="s">
        <v>25</v>
      </c>
      <c r="P92" s="37"/>
    </row>
    <row r="93">
      <c r="A93" s="86"/>
      <c r="B93" s="22">
        <v>89.0</v>
      </c>
      <c r="C93" s="23" t="s">
        <v>164</v>
      </c>
      <c r="D93" s="23" t="s">
        <v>165</v>
      </c>
      <c r="E93" s="88" t="str">
        <f t="shared" si="6"/>
        <v>9번 중 8번 참여</v>
      </c>
      <c r="F93" s="89">
        <f t="shared" si="7"/>
        <v>0.8888888889</v>
      </c>
      <c r="G93" s="90" t="s">
        <v>25</v>
      </c>
      <c r="H93" s="90" t="s">
        <v>25</v>
      </c>
      <c r="I93" s="90" t="s">
        <v>25</v>
      </c>
      <c r="J93" s="90" t="s">
        <v>25</v>
      </c>
      <c r="K93" s="90" t="s">
        <v>25</v>
      </c>
      <c r="L93" s="90" t="s">
        <v>25</v>
      </c>
      <c r="M93" s="90" t="s">
        <v>25</v>
      </c>
      <c r="N93" s="90" t="s">
        <v>25</v>
      </c>
      <c r="O93" s="41"/>
      <c r="P93" s="37"/>
    </row>
    <row r="94">
      <c r="A94" s="92"/>
      <c r="B94" s="30">
        <v>90.0</v>
      </c>
      <c r="C94" s="125" t="s">
        <v>166</v>
      </c>
      <c r="D94" s="125" t="s">
        <v>167</v>
      </c>
      <c r="E94" s="88" t="str">
        <f t="shared" si="6"/>
        <v>9번 중 8번 참여</v>
      </c>
      <c r="F94" s="89">
        <f t="shared" si="7"/>
        <v>0.8888888889</v>
      </c>
      <c r="G94" s="90" t="s">
        <v>25</v>
      </c>
      <c r="H94" s="90" t="s">
        <v>25</v>
      </c>
      <c r="I94" s="41"/>
      <c r="J94" s="90" t="s">
        <v>25</v>
      </c>
      <c r="K94" s="90" t="s">
        <v>25</v>
      </c>
      <c r="L94" s="90" t="s">
        <v>25</v>
      </c>
      <c r="M94" s="90" t="s">
        <v>25</v>
      </c>
      <c r="N94" s="90" t="s">
        <v>25</v>
      </c>
      <c r="O94" s="90" t="s">
        <v>25</v>
      </c>
      <c r="P94" s="37"/>
    </row>
    <row r="95">
      <c r="A95" s="86"/>
      <c r="B95" s="22">
        <v>91.0</v>
      </c>
      <c r="C95" s="23" t="s">
        <v>168</v>
      </c>
      <c r="D95" s="100" t="s">
        <v>169</v>
      </c>
      <c r="E95" s="88" t="str">
        <f t="shared" si="6"/>
        <v>9번 중 6번 참여</v>
      </c>
      <c r="F95" s="89">
        <f t="shared" si="7"/>
        <v>0.6666666667</v>
      </c>
      <c r="G95" s="90" t="s">
        <v>25</v>
      </c>
      <c r="H95" s="90" t="s">
        <v>25</v>
      </c>
      <c r="I95" s="41"/>
      <c r="J95" s="90" t="s">
        <v>25</v>
      </c>
      <c r="K95" s="90" t="s">
        <v>25</v>
      </c>
      <c r="L95" s="90" t="s">
        <v>25</v>
      </c>
      <c r="M95" s="90" t="s">
        <v>25</v>
      </c>
      <c r="N95" s="41"/>
      <c r="O95" s="41"/>
      <c r="P95" s="37"/>
    </row>
    <row r="96">
      <c r="A96" s="92"/>
      <c r="B96" s="30">
        <v>92.0</v>
      </c>
      <c r="C96" s="31" t="s">
        <v>170</v>
      </c>
      <c r="D96" s="31" t="s">
        <v>171</v>
      </c>
      <c r="E96" s="88" t="str">
        <f t="shared" si="6"/>
        <v>9번 중 9번 참여</v>
      </c>
      <c r="F96" s="89">
        <f t="shared" si="7"/>
        <v>1</v>
      </c>
      <c r="G96" s="90" t="s">
        <v>25</v>
      </c>
      <c r="H96" s="90" t="s">
        <v>25</v>
      </c>
      <c r="I96" s="90" t="s">
        <v>25</v>
      </c>
      <c r="J96" s="90" t="s">
        <v>25</v>
      </c>
      <c r="K96" s="90" t="s">
        <v>25</v>
      </c>
      <c r="L96" s="90" t="s">
        <v>25</v>
      </c>
      <c r="M96" s="90" t="s">
        <v>25</v>
      </c>
      <c r="N96" s="90" t="s">
        <v>25</v>
      </c>
      <c r="O96" s="90" t="s">
        <v>25</v>
      </c>
      <c r="P96" s="37"/>
    </row>
    <row r="97">
      <c r="A97" s="86"/>
      <c r="B97" s="22">
        <v>93.0</v>
      </c>
      <c r="C97" s="23" t="s">
        <v>172</v>
      </c>
      <c r="D97" s="100" t="s">
        <v>173</v>
      </c>
      <c r="E97" s="88" t="str">
        <f t="shared" si="6"/>
        <v>9번 중 9번 참여</v>
      </c>
      <c r="F97" s="89">
        <f t="shared" si="7"/>
        <v>1</v>
      </c>
      <c r="G97" s="90" t="s">
        <v>25</v>
      </c>
      <c r="H97" s="90" t="s">
        <v>25</v>
      </c>
      <c r="I97" s="90" t="s">
        <v>25</v>
      </c>
      <c r="J97" s="90" t="s">
        <v>25</v>
      </c>
      <c r="K97" s="90" t="s">
        <v>25</v>
      </c>
      <c r="L97" s="90" t="s">
        <v>25</v>
      </c>
      <c r="M97" s="90" t="s">
        <v>25</v>
      </c>
      <c r="N97" s="90" t="s">
        <v>25</v>
      </c>
      <c r="O97" s="90" t="s">
        <v>25</v>
      </c>
      <c r="P97" s="37"/>
    </row>
    <row r="98">
      <c r="A98" s="92"/>
      <c r="B98" s="30">
        <v>94.0</v>
      </c>
      <c r="C98" s="31" t="s">
        <v>174</v>
      </c>
      <c r="D98" s="128" t="s">
        <v>175</v>
      </c>
      <c r="E98" s="88" t="str">
        <f t="shared" si="6"/>
        <v>9번 중 2번 참여</v>
      </c>
      <c r="F98" s="89">
        <f t="shared" si="7"/>
        <v>0.2222222222</v>
      </c>
      <c r="G98" s="41"/>
      <c r="H98" s="41"/>
      <c r="I98" s="90" t="s">
        <v>25</v>
      </c>
      <c r="J98" s="90" t="s">
        <v>25</v>
      </c>
      <c r="K98" s="41"/>
      <c r="L98" s="41"/>
      <c r="M98" s="41"/>
      <c r="N98" s="41"/>
      <c r="O98" s="41"/>
      <c r="P98" s="37"/>
    </row>
    <row r="99">
      <c r="A99" s="86"/>
      <c r="B99" s="22">
        <v>95.0</v>
      </c>
      <c r="C99" s="109" t="s">
        <v>176</v>
      </c>
      <c r="D99" s="110" t="s">
        <v>177</v>
      </c>
      <c r="E99" s="88" t="str">
        <f t="shared" si="6"/>
        <v>9번 중 7번 참여</v>
      </c>
      <c r="F99" s="89">
        <f t="shared" si="7"/>
        <v>0.7777777778</v>
      </c>
      <c r="G99" s="90" t="s">
        <v>80</v>
      </c>
      <c r="H99" s="90" t="s">
        <v>80</v>
      </c>
      <c r="I99" s="90" t="s">
        <v>25</v>
      </c>
      <c r="J99" s="90" t="s">
        <v>25</v>
      </c>
      <c r="K99" s="90" t="s">
        <v>25</v>
      </c>
      <c r="L99" s="90" t="s">
        <v>25</v>
      </c>
      <c r="M99" s="90" t="s">
        <v>25</v>
      </c>
      <c r="N99" s="90" t="s">
        <v>25</v>
      </c>
      <c r="O99" s="90" t="s">
        <v>25</v>
      </c>
      <c r="P99" s="37"/>
    </row>
    <row r="100">
      <c r="A100" s="92"/>
      <c r="B100" s="30">
        <v>96.0</v>
      </c>
      <c r="C100" s="94" t="s">
        <v>178</v>
      </c>
      <c r="D100" s="129" t="s">
        <v>179</v>
      </c>
      <c r="E100" s="88" t="str">
        <f t="shared" si="6"/>
        <v>9번 중 8번 참여</v>
      </c>
      <c r="F100" s="89">
        <f t="shared" si="7"/>
        <v>0.8888888889</v>
      </c>
      <c r="G100" s="90" t="s">
        <v>25</v>
      </c>
      <c r="H100" s="90" t="s">
        <v>25</v>
      </c>
      <c r="I100" s="90" t="s">
        <v>25</v>
      </c>
      <c r="J100" s="90" t="s">
        <v>25</v>
      </c>
      <c r="K100" s="90" t="s">
        <v>25</v>
      </c>
      <c r="L100" s="90" t="s">
        <v>25</v>
      </c>
      <c r="M100" s="90" t="s">
        <v>25</v>
      </c>
      <c r="N100" s="90" t="s">
        <v>25</v>
      </c>
      <c r="O100" s="41"/>
      <c r="P100" s="37"/>
    </row>
    <row r="101">
      <c r="A101" s="86"/>
      <c r="B101" s="22">
        <v>97.0</v>
      </c>
      <c r="C101" s="23" t="s">
        <v>180</v>
      </c>
      <c r="D101" s="100" t="s">
        <v>181</v>
      </c>
      <c r="E101" s="88" t="str">
        <f t="shared" si="6"/>
        <v>9번 중 9번 참여</v>
      </c>
      <c r="F101" s="89">
        <f t="shared" si="7"/>
        <v>1</v>
      </c>
      <c r="G101" s="90" t="s">
        <v>25</v>
      </c>
      <c r="H101" s="90" t="s">
        <v>25</v>
      </c>
      <c r="I101" s="90" t="s">
        <v>25</v>
      </c>
      <c r="J101" s="90" t="s">
        <v>25</v>
      </c>
      <c r="K101" s="90" t="s">
        <v>25</v>
      </c>
      <c r="L101" s="90" t="s">
        <v>25</v>
      </c>
      <c r="M101" s="90" t="s">
        <v>25</v>
      </c>
      <c r="N101" s="90" t="s">
        <v>25</v>
      </c>
      <c r="O101" s="90" t="s">
        <v>25</v>
      </c>
      <c r="P101" s="37"/>
    </row>
    <row r="102">
      <c r="A102" s="92"/>
      <c r="B102" s="30">
        <v>98.0</v>
      </c>
      <c r="C102" s="130" t="s">
        <v>205</v>
      </c>
      <c r="D102" s="113" t="s">
        <v>206</v>
      </c>
      <c r="E102" s="88" t="str">
        <f t="shared" si="6"/>
        <v>9번 중 4번 참여</v>
      </c>
      <c r="F102" s="89">
        <f t="shared" si="7"/>
        <v>0.4444444444</v>
      </c>
      <c r="G102" s="90" t="s">
        <v>25</v>
      </c>
      <c r="H102" s="90" t="s">
        <v>25</v>
      </c>
      <c r="I102" s="41"/>
      <c r="J102" s="90" t="s">
        <v>25</v>
      </c>
      <c r="K102" s="41"/>
      <c r="L102" s="41"/>
      <c r="M102" s="41"/>
      <c r="N102" s="90" t="s">
        <v>25</v>
      </c>
      <c r="O102" s="41"/>
      <c r="P102" s="37"/>
    </row>
    <row r="103">
      <c r="A103" s="86"/>
      <c r="B103" s="22">
        <v>99.0</v>
      </c>
      <c r="C103" s="50" t="s">
        <v>182</v>
      </c>
      <c r="D103" s="131" t="s">
        <v>183</v>
      </c>
      <c r="E103" s="88" t="str">
        <f t="shared" si="6"/>
        <v>9번 중 8번 참여</v>
      </c>
      <c r="F103" s="89">
        <f t="shared" si="7"/>
        <v>0.8888888889</v>
      </c>
      <c r="G103" s="90" t="s">
        <v>25</v>
      </c>
      <c r="H103" s="90" t="s">
        <v>80</v>
      </c>
      <c r="I103" s="90" t="s">
        <v>25</v>
      </c>
      <c r="J103" s="90" t="s">
        <v>25</v>
      </c>
      <c r="K103" s="90" t="s">
        <v>25</v>
      </c>
      <c r="L103" s="90" t="s">
        <v>25</v>
      </c>
      <c r="M103" s="90" t="s">
        <v>25</v>
      </c>
      <c r="N103" s="90" t="s">
        <v>25</v>
      </c>
      <c r="O103" s="90" t="s">
        <v>25</v>
      </c>
      <c r="P103" s="37"/>
    </row>
    <row r="104">
      <c r="A104" s="92"/>
      <c r="B104" s="30">
        <v>100.0</v>
      </c>
      <c r="C104" s="101" t="s">
        <v>184</v>
      </c>
      <c r="D104" s="101" t="s">
        <v>185</v>
      </c>
      <c r="E104" s="88" t="str">
        <f t="shared" si="6"/>
        <v>9번 중 9번 참여</v>
      </c>
      <c r="F104" s="89">
        <f t="shared" si="7"/>
        <v>1</v>
      </c>
      <c r="G104" s="90" t="s">
        <v>25</v>
      </c>
      <c r="H104" s="90" t="s">
        <v>25</v>
      </c>
      <c r="I104" s="90" t="s">
        <v>25</v>
      </c>
      <c r="J104" s="90" t="s">
        <v>25</v>
      </c>
      <c r="K104" s="90" t="s">
        <v>25</v>
      </c>
      <c r="L104" s="90" t="s">
        <v>25</v>
      </c>
      <c r="M104" s="90" t="s">
        <v>25</v>
      </c>
      <c r="N104" s="90" t="s">
        <v>25</v>
      </c>
      <c r="O104" s="90" t="s">
        <v>25</v>
      </c>
      <c r="P104" s="37"/>
    </row>
    <row r="105">
      <c r="A105" s="86"/>
      <c r="B105" s="22">
        <v>101.0</v>
      </c>
      <c r="C105" s="132" t="s">
        <v>128</v>
      </c>
      <c r="D105" s="124" t="s">
        <v>259</v>
      </c>
      <c r="E105" s="88" t="str">
        <f t="shared" si="6"/>
        <v/>
      </c>
      <c r="F105" s="89" t="str">
        <f t="shared" si="7"/>
        <v/>
      </c>
      <c r="G105" s="41"/>
      <c r="H105" s="41"/>
      <c r="I105" s="41"/>
      <c r="J105" s="41"/>
      <c r="K105" s="41"/>
      <c r="L105" s="41"/>
      <c r="M105" s="41"/>
      <c r="N105" s="41"/>
      <c r="O105" s="41"/>
      <c r="P105" s="37"/>
    </row>
    <row r="106">
      <c r="A106" s="92"/>
      <c r="B106" s="30">
        <v>102.0</v>
      </c>
      <c r="C106" s="133" t="s">
        <v>124</v>
      </c>
      <c r="D106" s="95" t="s">
        <v>260</v>
      </c>
      <c r="E106" s="88" t="str">
        <f t="shared" si="6"/>
        <v/>
      </c>
      <c r="F106" s="89" t="str">
        <f t="shared" si="7"/>
        <v/>
      </c>
      <c r="G106" s="41"/>
      <c r="H106" s="41"/>
      <c r="I106" s="41"/>
      <c r="J106" s="41"/>
      <c r="K106" s="41"/>
      <c r="L106" s="41"/>
      <c r="M106" s="41"/>
      <c r="N106" s="41"/>
      <c r="O106" s="41"/>
      <c r="P106" s="37"/>
    </row>
    <row r="107">
      <c r="A107" s="86"/>
      <c r="B107" s="22">
        <v>103.0</v>
      </c>
      <c r="C107" s="134" t="s">
        <v>115</v>
      </c>
      <c r="D107" s="116" t="s">
        <v>261</v>
      </c>
      <c r="E107" s="88" t="str">
        <f t="shared" si="6"/>
        <v/>
      </c>
      <c r="F107" s="89" t="str">
        <f t="shared" si="7"/>
        <v/>
      </c>
      <c r="G107" s="41"/>
      <c r="H107" s="41"/>
      <c r="I107" s="41"/>
      <c r="J107" s="41"/>
      <c r="K107" s="41"/>
      <c r="L107" s="41"/>
      <c r="M107" s="41"/>
      <c r="N107" s="41"/>
      <c r="O107" s="41"/>
      <c r="P107" s="37"/>
    </row>
    <row r="108">
      <c r="A108" s="92"/>
      <c r="B108" s="30">
        <v>104.0</v>
      </c>
      <c r="C108" s="136" t="s">
        <v>122</v>
      </c>
      <c r="D108" s="122" t="s">
        <v>262</v>
      </c>
      <c r="E108" s="88" t="str">
        <f t="shared" si="6"/>
        <v/>
      </c>
      <c r="F108" s="89" t="str">
        <f t="shared" si="7"/>
        <v/>
      </c>
      <c r="G108" s="41"/>
      <c r="H108" s="41"/>
      <c r="I108" s="41"/>
      <c r="J108" s="41"/>
      <c r="K108" s="41"/>
      <c r="L108" s="41"/>
      <c r="M108" s="41"/>
      <c r="N108" s="41"/>
      <c r="O108" s="41"/>
      <c r="P108" s="37"/>
    </row>
    <row r="109">
      <c r="A109" s="86"/>
      <c r="B109" s="22">
        <v>105.0</v>
      </c>
      <c r="C109" s="68"/>
      <c r="D109" s="68"/>
      <c r="E109" s="88" t="str">
        <f t="shared" si="6"/>
        <v/>
      </c>
      <c r="F109" s="89" t="str">
        <f t="shared" si="7"/>
        <v/>
      </c>
      <c r="G109" s="41"/>
      <c r="H109" s="41"/>
      <c r="I109" s="41"/>
      <c r="J109" s="41"/>
      <c r="K109" s="41"/>
      <c r="L109" s="41"/>
      <c r="M109" s="41"/>
      <c r="N109" s="41"/>
      <c r="O109" s="41"/>
      <c r="P109" s="37"/>
    </row>
    <row r="110">
      <c r="A110" s="92"/>
      <c r="B110" s="30">
        <v>106.0</v>
      </c>
      <c r="C110" s="67"/>
      <c r="D110" s="67"/>
      <c r="E110" s="88" t="str">
        <f t="shared" si="6"/>
        <v/>
      </c>
      <c r="F110" s="89" t="str">
        <f t="shared" si="7"/>
        <v/>
      </c>
      <c r="G110" s="41"/>
      <c r="H110" s="41"/>
      <c r="I110" s="41"/>
      <c r="J110" s="41"/>
      <c r="K110" s="41"/>
      <c r="L110" s="41"/>
      <c r="M110" s="41"/>
      <c r="N110" s="41"/>
      <c r="O110" s="41"/>
      <c r="P110" s="37"/>
    </row>
    <row r="111">
      <c r="A111" s="86"/>
      <c r="B111" s="22">
        <v>107.0</v>
      </c>
      <c r="C111" s="68"/>
      <c r="D111" s="68"/>
      <c r="E111" s="88" t="str">
        <f t="shared" si="6"/>
        <v/>
      </c>
      <c r="F111" s="89" t="str">
        <f t="shared" si="7"/>
        <v/>
      </c>
      <c r="G111" s="41"/>
      <c r="H111" s="41"/>
      <c r="I111" s="41"/>
      <c r="J111" s="41"/>
      <c r="K111" s="41"/>
      <c r="L111" s="41"/>
      <c r="M111" s="41"/>
      <c r="N111" s="41"/>
      <c r="O111" s="41"/>
      <c r="P111" s="37"/>
    </row>
    <row r="112">
      <c r="A112" s="92"/>
      <c r="B112" s="30">
        <v>108.0</v>
      </c>
      <c r="C112" s="67"/>
      <c r="D112" s="67"/>
      <c r="E112" s="88" t="str">
        <f t="shared" si="6"/>
        <v/>
      </c>
      <c r="F112" s="89" t="str">
        <f t="shared" si="7"/>
        <v/>
      </c>
      <c r="G112" s="41"/>
      <c r="H112" s="41"/>
      <c r="I112" s="41"/>
      <c r="J112" s="41"/>
      <c r="K112" s="41"/>
      <c r="L112" s="41"/>
      <c r="M112" s="41"/>
      <c r="N112" s="41"/>
      <c r="O112" s="41"/>
      <c r="P112" s="37"/>
    </row>
    <row r="113">
      <c r="A113" s="86"/>
      <c r="B113" s="22">
        <v>109.0</v>
      </c>
      <c r="C113" s="68"/>
      <c r="D113" s="68"/>
      <c r="E113" s="88" t="str">
        <f t="shared" si="6"/>
        <v/>
      </c>
      <c r="F113" s="89" t="str">
        <f t="shared" si="7"/>
        <v/>
      </c>
      <c r="G113" s="41"/>
      <c r="H113" s="41"/>
      <c r="I113" s="41"/>
      <c r="J113" s="41"/>
      <c r="K113" s="41"/>
      <c r="L113" s="41"/>
      <c r="M113" s="41"/>
      <c r="N113" s="41"/>
      <c r="O113" s="41"/>
      <c r="P113" s="37"/>
    </row>
    <row r="114">
      <c r="A114" s="92"/>
      <c r="B114" s="30">
        <v>110.0</v>
      </c>
      <c r="C114" s="67"/>
      <c r="D114" s="67"/>
      <c r="E114" s="88" t="str">
        <f t="shared" si="6"/>
        <v/>
      </c>
      <c r="F114" s="89" t="str">
        <f t="shared" si="7"/>
        <v/>
      </c>
      <c r="G114" s="41"/>
      <c r="H114" s="41"/>
      <c r="I114" s="41"/>
      <c r="J114" s="41"/>
      <c r="K114" s="41"/>
      <c r="L114" s="41"/>
      <c r="M114" s="41"/>
      <c r="N114" s="41"/>
      <c r="O114" s="41"/>
      <c r="P114" s="37"/>
    </row>
    <row r="115">
      <c r="A115" s="86"/>
      <c r="B115" s="22">
        <v>111.0</v>
      </c>
      <c r="C115" s="68"/>
      <c r="D115" s="68"/>
      <c r="E115" s="88" t="str">
        <f t="shared" si="6"/>
        <v/>
      </c>
      <c r="F115" s="89" t="str">
        <f t="shared" si="7"/>
        <v/>
      </c>
      <c r="G115" s="41"/>
      <c r="H115" s="41"/>
      <c r="I115" s="41"/>
      <c r="J115" s="41"/>
      <c r="K115" s="41"/>
      <c r="L115" s="41"/>
      <c r="M115" s="41"/>
      <c r="N115" s="41"/>
      <c r="O115" s="41"/>
      <c r="P115" s="37"/>
    </row>
    <row r="116">
      <c r="A116" s="92"/>
      <c r="B116" s="30">
        <v>112.0</v>
      </c>
      <c r="C116" s="67"/>
      <c r="D116" s="67"/>
      <c r="E116" s="88" t="str">
        <f t="shared" si="6"/>
        <v/>
      </c>
      <c r="F116" s="89" t="str">
        <f t="shared" si="7"/>
        <v/>
      </c>
      <c r="G116" s="41"/>
      <c r="H116" s="41"/>
      <c r="I116" s="41"/>
      <c r="J116" s="41"/>
      <c r="K116" s="41"/>
      <c r="L116" s="41"/>
      <c r="M116" s="41"/>
      <c r="N116" s="41"/>
      <c r="O116" s="41"/>
      <c r="P116" s="37"/>
    </row>
    <row r="117">
      <c r="A117" s="86"/>
      <c r="B117" s="22">
        <v>113.0</v>
      </c>
      <c r="C117" s="68"/>
      <c r="D117" s="68"/>
      <c r="E117" s="88" t="str">
        <f t="shared" si="6"/>
        <v/>
      </c>
      <c r="F117" s="89" t="str">
        <f t="shared" si="7"/>
        <v/>
      </c>
      <c r="G117" s="41"/>
      <c r="H117" s="41"/>
      <c r="I117" s="41"/>
      <c r="J117" s="41"/>
      <c r="K117" s="41"/>
      <c r="L117" s="41"/>
      <c r="M117" s="41"/>
      <c r="N117" s="41"/>
      <c r="O117" s="41"/>
      <c r="P117" s="37"/>
    </row>
    <row r="118">
      <c r="A118" s="92"/>
      <c r="B118" s="30">
        <v>114.0</v>
      </c>
      <c r="C118" s="67"/>
      <c r="D118" s="67"/>
      <c r="E118" s="88" t="str">
        <f t="shared" si="6"/>
        <v/>
      </c>
      <c r="F118" s="89" t="str">
        <f t="shared" si="7"/>
        <v/>
      </c>
      <c r="G118" s="41"/>
      <c r="H118" s="41"/>
      <c r="I118" s="41"/>
      <c r="J118" s="41"/>
      <c r="K118" s="41"/>
      <c r="L118" s="41"/>
      <c r="M118" s="41"/>
      <c r="N118" s="41"/>
      <c r="O118" s="41"/>
      <c r="P118" s="37"/>
    </row>
    <row r="119">
      <c r="A119" s="86"/>
      <c r="B119" s="22">
        <v>115.0</v>
      </c>
      <c r="C119" s="68"/>
      <c r="D119" s="68"/>
      <c r="E119" s="88" t="str">
        <f t="shared" si="6"/>
        <v/>
      </c>
      <c r="F119" s="89" t="str">
        <f t="shared" si="7"/>
        <v/>
      </c>
      <c r="G119" s="41"/>
      <c r="H119" s="41"/>
      <c r="I119" s="41"/>
      <c r="J119" s="41"/>
      <c r="K119" s="41"/>
      <c r="L119" s="41"/>
      <c r="M119" s="41"/>
      <c r="N119" s="41"/>
      <c r="O119" s="41"/>
      <c r="P119" s="37"/>
    </row>
    <row r="120">
      <c r="A120" s="92"/>
      <c r="B120" s="30">
        <v>116.0</v>
      </c>
      <c r="C120" s="67"/>
      <c r="D120" s="67"/>
      <c r="E120" s="88" t="str">
        <f t="shared" si="6"/>
        <v/>
      </c>
      <c r="F120" s="89" t="str">
        <f t="shared" si="7"/>
        <v/>
      </c>
      <c r="G120" s="41"/>
      <c r="H120" s="41"/>
      <c r="I120" s="41"/>
      <c r="J120" s="41"/>
      <c r="K120" s="41"/>
      <c r="L120" s="41"/>
      <c r="M120" s="41"/>
      <c r="N120" s="41"/>
      <c r="O120" s="41"/>
      <c r="P120" s="37"/>
    </row>
    <row r="121">
      <c r="A121" s="86"/>
      <c r="B121" s="22">
        <v>117.0</v>
      </c>
      <c r="C121" s="68"/>
      <c r="D121" s="68"/>
      <c r="E121" s="88" t="str">
        <f t="shared" si="6"/>
        <v/>
      </c>
      <c r="F121" s="89" t="str">
        <f t="shared" si="7"/>
        <v/>
      </c>
      <c r="G121" s="41"/>
      <c r="H121" s="41"/>
      <c r="I121" s="41"/>
      <c r="J121" s="41"/>
      <c r="K121" s="41"/>
      <c r="L121" s="41"/>
      <c r="M121" s="41"/>
      <c r="N121" s="41"/>
      <c r="O121" s="41"/>
      <c r="P121" s="37"/>
    </row>
    <row r="122">
      <c r="A122" s="137"/>
      <c r="B122" s="69">
        <v>118.0</v>
      </c>
      <c r="C122" s="70"/>
      <c r="D122" s="70"/>
      <c r="E122" s="88" t="str">
        <f t="shared" si="6"/>
        <v/>
      </c>
      <c r="F122" s="89" t="str">
        <f t="shared" si="7"/>
        <v/>
      </c>
      <c r="G122" s="73"/>
      <c r="H122" s="73"/>
      <c r="I122" s="73"/>
      <c r="J122" s="73"/>
      <c r="K122" s="73"/>
      <c r="L122" s="73"/>
      <c r="M122" s="73"/>
      <c r="N122" s="73"/>
      <c r="O122" s="73"/>
      <c r="P122" s="1"/>
    </row>
    <row r="123">
      <c r="A123" s="137"/>
      <c r="B123" s="69">
        <v>119.0</v>
      </c>
      <c r="C123" s="70"/>
      <c r="D123" s="70"/>
      <c r="E123" s="88" t="str">
        <f t="shared" si="6"/>
        <v/>
      </c>
      <c r="F123" s="89" t="str">
        <f t="shared" si="7"/>
        <v/>
      </c>
      <c r="G123" s="73"/>
      <c r="H123" s="73"/>
      <c r="I123" s="73"/>
      <c r="J123" s="73"/>
      <c r="K123" s="73"/>
      <c r="L123" s="73"/>
      <c r="M123" s="73"/>
      <c r="N123" s="73"/>
      <c r="O123" s="73"/>
      <c r="P123" s="1"/>
    </row>
    <row r="124">
      <c r="A124" s="137"/>
      <c r="B124" s="69">
        <v>120.0</v>
      </c>
      <c r="C124" s="70"/>
      <c r="D124" s="70"/>
      <c r="E124" s="88" t="str">
        <f t="shared" si="6"/>
        <v/>
      </c>
      <c r="F124" s="89" t="str">
        <f t="shared" si="7"/>
        <v/>
      </c>
      <c r="G124" s="73"/>
      <c r="H124" s="73"/>
      <c r="I124" s="73"/>
      <c r="J124" s="73"/>
      <c r="K124" s="73"/>
      <c r="L124" s="73"/>
      <c r="M124" s="73"/>
      <c r="N124" s="73"/>
      <c r="O124" s="73"/>
      <c r="P124" s="1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</row>
  </sheetData>
  <mergeCells count="2">
    <mergeCell ref="B1:D2"/>
    <mergeCell ref="E1:F2"/>
  </mergeCells>
  <dataValidations>
    <dataValidation type="list" allowBlank="1" showErrorMessage="1" sqref="G4:P65 K66:P66 G66:G67 N67:P67 G68:P124">
      <formula1>"선택,완료"</formula1>
    </dataValidation>
  </dataValidations>
  <hyperlinks>
    <hyperlink r:id="rId1" ref="D5"/>
    <hyperlink r:id="rId2" ref="D22"/>
    <hyperlink r:id="rId3" ref="D23"/>
    <hyperlink r:id="rId4" ref="D27"/>
    <hyperlink r:id="rId5" ref="D44"/>
    <hyperlink r:id="rId6" ref="D45"/>
    <hyperlink r:id="rId7" ref="D50"/>
    <hyperlink r:id="rId8" ref="D51"/>
    <hyperlink r:id="rId9" ref="D55"/>
    <hyperlink r:id="rId10" ref="D64"/>
    <hyperlink r:id="rId11" ref="D69"/>
    <hyperlink r:id="rId12" ref="D86"/>
    <hyperlink r:id="rId13" ref="D98"/>
    <hyperlink r:id="rId14" ref="D107"/>
  </hyperlinks>
  <drawing r:id="rId15"/>
  <tableParts count="1">
    <tablePart r:id="rId1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2" width="4.88"/>
    <col customWidth="1" min="3" max="3" width="18.63"/>
    <col customWidth="1" min="4" max="4" width="21.13"/>
  </cols>
  <sheetData>
    <row r="1">
      <c r="A1" s="74"/>
      <c r="B1" s="75" t="s">
        <v>0</v>
      </c>
      <c r="E1" s="3" t="s">
        <v>1</v>
      </c>
      <c r="G1" s="143" t="s">
        <v>263</v>
      </c>
      <c r="H1" s="143" t="s">
        <v>264</v>
      </c>
      <c r="I1" s="143" t="s">
        <v>265</v>
      </c>
      <c r="J1" s="143" t="s">
        <v>266</v>
      </c>
      <c r="K1" s="143" t="s">
        <v>267</v>
      </c>
      <c r="L1" s="143" t="s">
        <v>268</v>
      </c>
      <c r="M1" s="143" t="s">
        <v>269</v>
      </c>
      <c r="N1" s="143" t="s">
        <v>270</v>
      </c>
      <c r="O1" s="143" t="s">
        <v>271</v>
      </c>
    </row>
    <row r="2">
      <c r="A2" s="77"/>
      <c r="G2" s="78" t="s">
        <v>272</v>
      </c>
      <c r="H2" s="78" t="s">
        <v>273</v>
      </c>
      <c r="I2" s="78" t="s">
        <v>274</v>
      </c>
      <c r="J2" s="78" t="s">
        <v>275</v>
      </c>
      <c r="K2" s="78" t="s">
        <v>276</v>
      </c>
      <c r="L2" s="78" t="s">
        <v>277</v>
      </c>
      <c r="M2" s="78" t="s">
        <v>278</v>
      </c>
      <c r="N2" s="78" t="s">
        <v>279</v>
      </c>
      <c r="O2" s="78" t="s">
        <v>280</v>
      </c>
    </row>
    <row r="3">
      <c r="A3" s="1"/>
      <c r="B3" s="1"/>
      <c r="C3" s="1"/>
      <c r="D3" s="1"/>
      <c r="E3" s="9"/>
      <c r="F3" s="9"/>
      <c r="G3" s="11" t="str">
        <f t="shared" ref="G3:O3" si="1">COUNTIF(G5:G200, "완료") &amp; "명 완료"
</f>
        <v>62명 완료</v>
      </c>
      <c r="H3" s="11" t="str">
        <f t="shared" si="1"/>
        <v>62명 완료</v>
      </c>
      <c r="I3" s="11" t="str">
        <f t="shared" si="1"/>
        <v>62명 완료</v>
      </c>
      <c r="J3" s="11" t="str">
        <f t="shared" si="1"/>
        <v>62명 완료</v>
      </c>
      <c r="K3" s="11" t="str">
        <f t="shared" si="1"/>
        <v>62명 완료</v>
      </c>
      <c r="L3" s="11" t="str">
        <f t="shared" si="1"/>
        <v>59명 완료</v>
      </c>
      <c r="M3" s="11" t="str">
        <f t="shared" si="1"/>
        <v>57명 완료</v>
      </c>
      <c r="N3" s="11" t="str">
        <f t="shared" si="1"/>
        <v>59명 완료</v>
      </c>
      <c r="O3" s="11" t="str">
        <f t="shared" si="1"/>
        <v>47명 완료</v>
      </c>
    </row>
    <row r="4">
      <c r="A4" s="80"/>
      <c r="B4" s="81" t="s">
        <v>20</v>
      </c>
      <c r="C4" s="82" t="s">
        <v>21</v>
      </c>
      <c r="D4" s="82" t="s">
        <v>22</v>
      </c>
      <c r="E4" s="83" t="s">
        <v>23</v>
      </c>
      <c r="F4" s="83" t="s">
        <v>24</v>
      </c>
      <c r="G4" s="84" t="s">
        <v>25</v>
      </c>
      <c r="H4" s="84" t="s">
        <v>25</v>
      </c>
      <c r="I4" s="84" t="s">
        <v>25</v>
      </c>
      <c r="J4" s="84" t="s">
        <v>25</v>
      </c>
      <c r="K4" s="84" t="s">
        <v>25</v>
      </c>
      <c r="L4" s="84" t="s">
        <v>25</v>
      </c>
      <c r="M4" s="84" t="s">
        <v>25</v>
      </c>
      <c r="N4" s="84" t="s">
        <v>25</v>
      </c>
      <c r="O4" s="84" t="s">
        <v>25</v>
      </c>
    </row>
    <row r="5">
      <c r="A5" s="86"/>
      <c r="B5" s="22">
        <v>1.0</v>
      </c>
      <c r="C5" s="23" t="s">
        <v>26</v>
      </c>
      <c r="D5" s="105" t="s">
        <v>27</v>
      </c>
      <c r="E5" s="88" t="str">
        <f t="shared" ref="E5:E124" si="2">IF(COUNTIF(G5:O5, "완료")=0, "", COUNTIF($G$4:$O$4, "완료") &amp; "번 중 " &amp; COUNTIF(G5:O5, "완료") &amp; "번 참여")
</f>
        <v>9번 중 9번 참여</v>
      </c>
      <c r="F5" s="89">
        <f t="shared" ref="F5:F124" si="3">IF(COUNTIF($G$4:$O$4, "완료")=0, "", IF(COUNTIF(G5:O5, "완료")=0, "", COUNTIF(G5:O5, "완료") / COUNTIF($G$4:$O$4, "완료")))
</f>
        <v>1</v>
      </c>
      <c r="G5" s="90" t="s">
        <v>25</v>
      </c>
      <c r="H5" s="90" t="s">
        <v>25</v>
      </c>
      <c r="I5" s="90" t="s">
        <v>25</v>
      </c>
      <c r="J5" s="90" t="s">
        <v>25</v>
      </c>
      <c r="K5" s="90" t="s">
        <v>25</v>
      </c>
      <c r="L5" s="90" t="s">
        <v>25</v>
      </c>
      <c r="M5" s="90" t="s">
        <v>25</v>
      </c>
      <c r="N5" s="90" t="s">
        <v>25</v>
      </c>
      <c r="O5" s="90" t="s">
        <v>25</v>
      </c>
    </row>
    <row r="6">
      <c r="A6" s="92"/>
      <c r="B6" s="30">
        <v>2.0</v>
      </c>
      <c r="C6" s="93" t="s">
        <v>28</v>
      </c>
      <c r="D6" s="93" t="s">
        <v>29</v>
      </c>
      <c r="E6" s="88" t="str">
        <f t="shared" si="2"/>
        <v>9번 중 9번 참여</v>
      </c>
      <c r="F6" s="89">
        <f t="shared" si="3"/>
        <v>1</v>
      </c>
      <c r="G6" s="90" t="s">
        <v>25</v>
      </c>
      <c r="H6" s="90" t="s">
        <v>25</v>
      </c>
      <c r="I6" s="90" t="s">
        <v>25</v>
      </c>
      <c r="J6" s="90" t="s">
        <v>25</v>
      </c>
      <c r="K6" s="90" t="s">
        <v>25</v>
      </c>
      <c r="L6" s="90" t="s">
        <v>25</v>
      </c>
      <c r="M6" s="90" t="s">
        <v>25</v>
      </c>
      <c r="N6" s="90" t="s">
        <v>25</v>
      </c>
      <c r="O6" s="90" t="s">
        <v>25</v>
      </c>
    </row>
    <row r="7">
      <c r="A7" s="86"/>
      <c r="B7" s="22">
        <v>3.0</v>
      </c>
      <c r="C7" s="31" t="s">
        <v>30</v>
      </c>
      <c r="D7" s="31" t="s">
        <v>31</v>
      </c>
      <c r="E7" s="88" t="str">
        <f t="shared" si="2"/>
        <v>9번 중 6번 참여</v>
      </c>
      <c r="F7" s="89">
        <f t="shared" si="3"/>
        <v>0.6666666667</v>
      </c>
      <c r="G7" s="90" t="s">
        <v>25</v>
      </c>
      <c r="H7" s="90" t="s">
        <v>25</v>
      </c>
      <c r="I7" s="90" t="s">
        <v>25</v>
      </c>
      <c r="J7" s="90" t="s">
        <v>25</v>
      </c>
      <c r="K7" s="90" t="s">
        <v>25</v>
      </c>
      <c r="L7" s="90" t="s">
        <v>25</v>
      </c>
      <c r="M7" s="41"/>
      <c r="N7" s="41"/>
      <c r="O7" s="41"/>
    </row>
    <row r="8">
      <c r="A8" s="92"/>
      <c r="B8" s="30">
        <v>4.0</v>
      </c>
      <c r="C8" s="23" t="s">
        <v>32</v>
      </c>
      <c r="D8" s="23" t="s">
        <v>33</v>
      </c>
      <c r="E8" s="88" t="str">
        <f t="shared" si="2"/>
        <v>9번 중 6번 참여</v>
      </c>
      <c r="F8" s="89">
        <f t="shared" si="3"/>
        <v>0.6666666667</v>
      </c>
      <c r="G8" s="90" t="s">
        <v>25</v>
      </c>
      <c r="H8" s="90" t="s">
        <v>25</v>
      </c>
      <c r="I8" s="90" t="s">
        <v>25</v>
      </c>
      <c r="J8" s="90" t="s">
        <v>25</v>
      </c>
      <c r="K8" s="90" t="s">
        <v>25</v>
      </c>
      <c r="L8" s="90" t="s">
        <v>25</v>
      </c>
      <c r="M8" s="41"/>
      <c r="N8" s="41"/>
      <c r="O8" s="41"/>
    </row>
    <row r="9">
      <c r="A9" s="86"/>
      <c r="B9" s="22">
        <v>5.0</v>
      </c>
      <c r="C9" s="31" t="s">
        <v>34</v>
      </c>
      <c r="D9" s="31" t="s">
        <v>35</v>
      </c>
      <c r="E9" s="88" t="str">
        <f t="shared" si="2"/>
        <v>9번 중 8번 참여</v>
      </c>
      <c r="F9" s="89">
        <f t="shared" si="3"/>
        <v>0.8888888889</v>
      </c>
      <c r="G9" s="41"/>
      <c r="H9" s="90" t="s">
        <v>25</v>
      </c>
      <c r="I9" s="90" t="s">
        <v>25</v>
      </c>
      <c r="J9" s="90" t="s">
        <v>25</v>
      </c>
      <c r="K9" s="90" t="s">
        <v>25</v>
      </c>
      <c r="L9" s="90" t="s">
        <v>25</v>
      </c>
      <c r="M9" s="90" t="s">
        <v>25</v>
      </c>
      <c r="N9" s="90" t="s">
        <v>25</v>
      </c>
      <c r="O9" s="90" t="s">
        <v>25</v>
      </c>
    </row>
    <row r="10">
      <c r="A10" s="92"/>
      <c r="B10" s="30">
        <v>6.0</v>
      </c>
      <c r="C10" s="23" t="s">
        <v>36</v>
      </c>
      <c r="D10" s="23" t="s">
        <v>72</v>
      </c>
      <c r="E10" s="88" t="str">
        <f t="shared" si="2"/>
        <v>9번 중 9번 참여</v>
      </c>
      <c r="F10" s="89">
        <f t="shared" si="3"/>
        <v>1</v>
      </c>
      <c r="G10" s="90" t="s">
        <v>25</v>
      </c>
      <c r="H10" s="90" t="s">
        <v>25</v>
      </c>
      <c r="I10" s="90" t="s">
        <v>25</v>
      </c>
      <c r="J10" s="90" t="s">
        <v>25</v>
      </c>
      <c r="K10" s="90" t="s">
        <v>25</v>
      </c>
      <c r="L10" s="90" t="s">
        <v>25</v>
      </c>
      <c r="M10" s="90" t="s">
        <v>25</v>
      </c>
      <c r="N10" s="90" t="s">
        <v>25</v>
      </c>
      <c r="O10" s="90" t="s">
        <v>25</v>
      </c>
    </row>
    <row r="11">
      <c r="A11" s="86"/>
      <c r="B11" s="22">
        <v>7.0</v>
      </c>
      <c r="C11" s="31" t="s">
        <v>38</v>
      </c>
      <c r="D11" s="31" t="s">
        <v>39</v>
      </c>
      <c r="E11" s="88" t="str">
        <f t="shared" si="2"/>
        <v>9번 중 9번 참여</v>
      </c>
      <c r="F11" s="89">
        <f t="shared" si="3"/>
        <v>1</v>
      </c>
      <c r="G11" s="90" t="s">
        <v>25</v>
      </c>
      <c r="H11" s="90" t="s">
        <v>25</v>
      </c>
      <c r="I11" s="90" t="s">
        <v>25</v>
      </c>
      <c r="J11" s="90" t="s">
        <v>25</v>
      </c>
      <c r="K11" s="90" t="s">
        <v>25</v>
      </c>
      <c r="L11" s="90" t="s">
        <v>25</v>
      </c>
      <c r="M11" s="90" t="s">
        <v>25</v>
      </c>
      <c r="N11" s="90" t="s">
        <v>25</v>
      </c>
      <c r="O11" s="90" t="s">
        <v>25</v>
      </c>
    </row>
    <row r="12">
      <c r="A12" s="92"/>
      <c r="B12" s="30">
        <v>8.0</v>
      </c>
      <c r="C12" s="23" t="s">
        <v>40</v>
      </c>
      <c r="D12" s="23" t="s">
        <v>41</v>
      </c>
      <c r="E12" s="88" t="str">
        <f t="shared" si="2"/>
        <v>9번 중 9번 참여</v>
      </c>
      <c r="F12" s="89">
        <f t="shared" si="3"/>
        <v>1</v>
      </c>
      <c r="G12" s="90" t="s">
        <v>25</v>
      </c>
      <c r="H12" s="90" t="s">
        <v>25</v>
      </c>
      <c r="I12" s="90" t="s">
        <v>25</v>
      </c>
      <c r="J12" s="90" t="s">
        <v>25</v>
      </c>
      <c r="K12" s="90" t="s">
        <v>25</v>
      </c>
      <c r="L12" s="90" t="s">
        <v>25</v>
      </c>
      <c r="M12" s="90" t="s">
        <v>25</v>
      </c>
      <c r="N12" s="90" t="s">
        <v>25</v>
      </c>
      <c r="O12" s="90" t="s">
        <v>25</v>
      </c>
    </row>
    <row r="13">
      <c r="A13" s="86"/>
      <c r="B13" s="22">
        <v>9.0</v>
      </c>
      <c r="C13" s="31" t="s">
        <v>42</v>
      </c>
      <c r="D13" s="101" t="s">
        <v>73</v>
      </c>
      <c r="E13" s="88" t="str">
        <f t="shared" si="2"/>
        <v>9번 중 7번 참여</v>
      </c>
      <c r="F13" s="89">
        <f t="shared" si="3"/>
        <v>0.7777777778</v>
      </c>
      <c r="G13" s="90" t="s">
        <v>25</v>
      </c>
      <c r="H13" s="41"/>
      <c r="I13" s="90" t="s">
        <v>25</v>
      </c>
      <c r="J13" s="90" t="s">
        <v>25</v>
      </c>
      <c r="K13" s="41"/>
      <c r="L13" s="90" t="s">
        <v>25</v>
      </c>
      <c r="M13" s="90" t="s">
        <v>25</v>
      </c>
      <c r="N13" s="90" t="s">
        <v>25</v>
      </c>
      <c r="O13" s="90" t="s">
        <v>25</v>
      </c>
    </row>
    <row r="14">
      <c r="A14" s="92"/>
      <c r="B14" s="30">
        <v>10.0</v>
      </c>
      <c r="C14" s="23" t="s">
        <v>44</v>
      </c>
      <c r="D14" s="23" t="s">
        <v>45</v>
      </c>
      <c r="E14" s="88" t="str">
        <f t="shared" si="2"/>
        <v>9번 중 9번 참여</v>
      </c>
      <c r="F14" s="89">
        <f t="shared" si="3"/>
        <v>1</v>
      </c>
      <c r="G14" s="90" t="s">
        <v>25</v>
      </c>
      <c r="H14" s="90" t="s">
        <v>25</v>
      </c>
      <c r="I14" s="90" t="s">
        <v>25</v>
      </c>
      <c r="J14" s="90" t="s">
        <v>25</v>
      </c>
      <c r="K14" s="90" t="s">
        <v>25</v>
      </c>
      <c r="L14" s="90" t="s">
        <v>25</v>
      </c>
      <c r="M14" s="90" t="s">
        <v>25</v>
      </c>
      <c r="N14" s="90" t="s">
        <v>25</v>
      </c>
      <c r="O14" s="90" t="s">
        <v>25</v>
      </c>
    </row>
    <row r="15">
      <c r="A15" s="86"/>
      <c r="B15" s="22">
        <v>11.0</v>
      </c>
      <c r="C15" s="31" t="s">
        <v>46</v>
      </c>
      <c r="D15" s="31" t="s">
        <v>47</v>
      </c>
      <c r="E15" s="88" t="str">
        <f t="shared" si="2"/>
        <v>9번 중 6번 참여</v>
      </c>
      <c r="F15" s="89">
        <f t="shared" si="3"/>
        <v>0.6666666667</v>
      </c>
      <c r="G15" s="41"/>
      <c r="H15" s="41"/>
      <c r="I15" s="41"/>
      <c r="J15" s="90" t="s">
        <v>25</v>
      </c>
      <c r="K15" s="90" t="s">
        <v>25</v>
      </c>
      <c r="L15" s="90" t="s">
        <v>25</v>
      </c>
      <c r="M15" s="90" t="s">
        <v>25</v>
      </c>
      <c r="N15" s="90" t="s">
        <v>25</v>
      </c>
      <c r="O15" s="90" t="s">
        <v>25</v>
      </c>
    </row>
    <row r="16">
      <c r="A16" s="92"/>
      <c r="B16" s="30">
        <v>12.0</v>
      </c>
      <c r="C16" s="23" t="s">
        <v>48</v>
      </c>
      <c r="D16" s="23" t="s">
        <v>49</v>
      </c>
      <c r="E16" s="88" t="str">
        <f t="shared" si="2"/>
        <v>9번 중 8번 참여</v>
      </c>
      <c r="F16" s="89">
        <f t="shared" si="3"/>
        <v>0.8888888889</v>
      </c>
      <c r="G16" s="90" t="s">
        <v>25</v>
      </c>
      <c r="H16" s="90" t="s">
        <v>25</v>
      </c>
      <c r="I16" s="41"/>
      <c r="J16" s="90" t="s">
        <v>25</v>
      </c>
      <c r="K16" s="90" t="s">
        <v>25</v>
      </c>
      <c r="L16" s="90" t="s">
        <v>25</v>
      </c>
      <c r="M16" s="90" t="s">
        <v>25</v>
      </c>
      <c r="N16" s="90" t="s">
        <v>25</v>
      </c>
      <c r="O16" s="90" t="s">
        <v>25</v>
      </c>
    </row>
    <row r="17">
      <c r="A17" s="86"/>
      <c r="B17" s="22">
        <v>13.0</v>
      </c>
      <c r="C17" s="31" t="s">
        <v>50</v>
      </c>
      <c r="D17" s="31" t="s">
        <v>51</v>
      </c>
      <c r="E17" s="88" t="str">
        <f t="shared" si="2"/>
        <v>9번 중 8번 참여</v>
      </c>
      <c r="F17" s="89">
        <f t="shared" si="3"/>
        <v>0.8888888889</v>
      </c>
      <c r="G17" s="90" t="s">
        <v>25</v>
      </c>
      <c r="H17" s="90" t="s">
        <v>25</v>
      </c>
      <c r="I17" s="90" t="s">
        <v>25</v>
      </c>
      <c r="J17" s="90" t="s">
        <v>25</v>
      </c>
      <c r="K17" s="90" t="s">
        <v>25</v>
      </c>
      <c r="L17" s="90" t="s">
        <v>25</v>
      </c>
      <c r="M17" s="90" t="s">
        <v>25</v>
      </c>
      <c r="N17" s="90" t="s">
        <v>25</v>
      </c>
      <c r="O17" s="41"/>
    </row>
    <row r="18">
      <c r="A18" s="92"/>
      <c r="B18" s="30">
        <v>14.0</v>
      </c>
      <c r="C18" s="23" t="s">
        <v>52</v>
      </c>
      <c r="D18" s="23" t="s">
        <v>53</v>
      </c>
      <c r="E18" s="88" t="str">
        <f t="shared" si="2"/>
        <v>9번 중 8번 참여</v>
      </c>
      <c r="F18" s="89">
        <f t="shared" si="3"/>
        <v>0.8888888889</v>
      </c>
      <c r="G18" s="90" t="s">
        <v>25</v>
      </c>
      <c r="H18" s="90" t="s">
        <v>25</v>
      </c>
      <c r="I18" s="90" t="s">
        <v>25</v>
      </c>
      <c r="J18" s="90" t="s">
        <v>25</v>
      </c>
      <c r="K18" s="90" t="s">
        <v>25</v>
      </c>
      <c r="L18" s="90" t="s">
        <v>25</v>
      </c>
      <c r="M18" s="90" t="s">
        <v>25</v>
      </c>
      <c r="N18" s="90" t="s">
        <v>25</v>
      </c>
      <c r="O18" s="41"/>
    </row>
    <row r="19">
      <c r="A19" s="86"/>
      <c r="B19" s="22">
        <v>15.0</v>
      </c>
      <c r="C19" s="96" t="s">
        <v>54</v>
      </c>
      <c r="D19" s="96" t="s">
        <v>55</v>
      </c>
      <c r="E19" s="88" t="str">
        <f t="shared" si="2"/>
        <v>9번 중 9번 참여</v>
      </c>
      <c r="F19" s="89">
        <f t="shared" si="3"/>
        <v>1</v>
      </c>
      <c r="G19" s="90" t="s">
        <v>25</v>
      </c>
      <c r="H19" s="90" t="s">
        <v>25</v>
      </c>
      <c r="I19" s="90" t="s">
        <v>25</v>
      </c>
      <c r="J19" s="90" t="s">
        <v>25</v>
      </c>
      <c r="K19" s="90" t="s">
        <v>25</v>
      </c>
      <c r="L19" s="90" t="s">
        <v>25</v>
      </c>
      <c r="M19" s="90" t="s">
        <v>25</v>
      </c>
      <c r="N19" s="90" t="s">
        <v>25</v>
      </c>
      <c r="O19" s="90" t="s">
        <v>25</v>
      </c>
    </row>
    <row r="20">
      <c r="A20" s="92"/>
      <c r="B20" s="30">
        <v>16.0</v>
      </c>
      <c r="C20" s="23" t="s">
        <v>56</v>
      </c>
      <c r="D20" s="23" t="s">
        <v>57</v>
      </c>
      <c r="E20" s="88" t="str">
        <f t="shared" si="2"/>
        <v>9번 중 9번 참여</v>
      </c>
      <c r="F20" s="89">
        <f t="shared" si="3"/>
        <v>1</v>
      </c>
      <c r="G20" s="90" t="s">
        <v>25</v>
      </c>
      <c r="H20" s="90" t="s">
        <v>25</v>
      </c>
      <c r="I20" s="90" t="s">
        <v>25</v>
      </c>
      <c r="J20" s="90" t="s">
        <v>25</v>
      </c>
      <c r="K20" s="90" t="s">
        <v>25</v>
      </c>
      <c r="L20" s="90" t="s">
        <v>25</v>
      </c>
      <c r="M20" s="90" t="s">
        <v>25</v>
      </c>
      <c r="N20" s="90" t="s">
        <v>25</v>
      </c>
      <c r="O20" s="90" t="s">
        <v>25</v>
      </c>
    </row>
    <row r="21">
      <c r="A21" s="86"/>
      <c r="B21" s="22">
        <v>17.0</v>
      </c>
      <c r="C21" s="31" t="s">
        <v>58</v>
      </c>
      <c r="D21" s="97" t="s">
        <v>59</v>
      </c>
      <c r="E21" s="88" t="str">
        <f t="shared" si="2"/>
        <v/>
      </c>
      <c r="F21" s="89" t="str">
        <f t="shared" si="3"/>
        <v/>
      </c>
      <c r="G21" s="41"/>
      <c r="H21" s="41"/>
      <c r="I21" s="41"/>
      <c r="J21" s="41"/>
      <c r="K21" s="41"/>
      <c r="L21" s="41"/>
      <c r="M21" s="41"/>
      <c r="N21" s="41"/>
      <c r="O21" s="41"/>
    </row>
    <row r="22">
      <c r="A22" s="92"/>
      <c r="B22" s="30">
        <v>18.0</v>
      </c>
      <c r="C22" s="23" t="s">
        <v>60</v>
      </c>
      <c r="D22" s="105" t="s">
        <v>61</v>
      </c>
      <c r="E22" s="88" t="str">
        <f t="shared" si="2"/>
        <v>9번 중 9번 참여</v>
      </c>
      <c r="F22" s="89">
        <f t="shared" si="3"/>
        <v>1</v>
      </c>
      <c r="G22" s="90" t="s">
        <v>25</v>
      </c>
      <c r="H22" s="90" t="s">
        <v>25</v>
      </c>
      <c r="I22" s="90" t="s">
        <v>25</v>
      </c>
      <c r="J22" s="90" t="s">
        <v>25</v>
      </c>
      <c r="K22" s="90" t="s">
        <v>25</v>
      </c>
      <c r="L22" s="90" t="s">
        <v>25</v>
      </c>
      <c r="M22" s="90" t="s">
        <v>25</v>
      </c>
      <c r="N22" s="90" t="s">
        <v>25</v>
      </c>
      <c r="O22" s="90" t="s">
        <v>25</v>
      </c>
    </row>
    <row r="23">
      <c r="A23" s="86"/>
      <c r="B23" s="22">
        <v>19.0</v>
      </c>
      <c r="C23" s="98" t="s">
        <v>62</v>
      </c>
      <c r="D23" s="140" t="s">
        <v>63</v>
      </c>
      <c r="E23" s="88" t="str">
        <f t="shared" si="2"/>
        <v>9번 중 9번 참여</v>
      </c>
      <c r="F23" s="89">
        <f t="shared" si="3"/>
        <v>1</v>
      </c>
      <c r="G23" s="90" t="s">
        <v>25</v>
      </c>
      <c r="H23" s="90" t="s">
        <v>25</v>
      </c>
      <c r="I23" s="90" t="s">
        <v>25</v>
      </c>
      <c r="J23" s="90" t="s">
        <v>25</v>
      </c>
      <c r="K23" s="90" t="s">
        <v>25</v>
      </c>
      <c r="L23" s="90" t="s">
        <v>25</v>
      </c>
      <c r="M23" s="90" t="s">
        <v>25</v>
      </c>
      <c r="N23" s="90" t="s">
        <v>25</v>
      </c>
      <c r="O23" s="90" t="s">
        <v>25</v>
      </c>
    </row>
    <row r="24">
      <c r="A24" s="92"/>
      <c r="B24" s="30">
        <v>20.0</v>
      </c>
      <c r="C24" s="23" t="s">
        <v>64</v>
      </c>
      <c r="D24" s="100" t="s">
        <v>65</v>
      </c>
      <c r="E24" s="88" t="str">
        <f t="shared" si="2"/>
        <v/>
      </c>
      <c r="F24" s="89" t="str">
        <f t="shared" si="3"/>
        <v/>
      </c>
      <c r="G24" s="41"/>
      <c r="H24" s="41"/>
      <c r="I24" s="41"/>
      <c r="J24" s="41"/>
      <c r="K24" s="41"/>
      <c r="L24" s="41"/>
      <c r="M24" s="41"/>
      <c r="N24" s="41"/>
      <c r="O24" s="41"/>
    </row>
    <row r="25">
      <c r="A25" s="86"/>
      <c r="B25" s="22">
        <v>21.0</v>
      </c>
      <c r="C25" s="101" t="s">
        <v>66</v>
      </c>
      <c r="D25" s="102" t="s">
        <v>67</v>
      </c>
      <c r="E25" s="88" t="str">
        <f t="shared" si="2"/>
        <v>9번 중 9번 참여</v>
      </c>
      <c r="F25" s="89">
        <f t="shared" si="3"/>
        <v>1</v>
      </c>
      <c r="G25" s="90" t="s">
        <v>25</v>
      </c>
      <c r="H25" s="90" t="s">
        <v>25</v>
      </c>
      <c r="I25" s="90" t="s">
        <v>25</v>
      </c>
      <c r="J25" s="90" t="s">
        <v>25</v>
      </c>
      <c r="K25" s="90" t="s">
        <v>25</v>
      </c>
      <c r="L25" s="90" t="s">
        <v>25</v>
      </c>
      <c r="M25" s="90" t="s">
        <v>25</v>
      </c>
      <c r="N25" s="90" t="s">
        <v>25</v>
      </c>
      <c r="O25" s="90" t="s">
        <v>25</v>
      </c>
    </row>
    <row r="26">
      <c r="A26" s="92"/>
      <c r="B26" s="30">
        <v>22.0</v>
      </c>
      <c r="C26" s="103" t="s">
        <v>68</v>
      </c>
      <c r="D26" s="104" t="s">
        <v>69</v>
      </c>
      <c r="E26" s="88" t="str">
        <f t="shared" si="2"/>
        <v/>
      </c>
      <c r="F26" s="89" t="str">
        <f t="shared" si="3"/>
        <v/>
      </c>
      <c r="G26" s="41"/>
      <c r="H26" s="41"/>
      <c r="I26" s="41"/>
      <c r="J26" s="41"/>
      <c r="K26" s="41"/>
      <c r="L26" s="41"/>
      <c r="M26" s="41"/>
      <c r="N26" s="41"/>
      <c r="O26" s="41"/>
    </row>
    <row r="27">
      <c r="A27" s="86"/>
      <c r="B27" s="22">
        <v>23.0</v>
      </c>
      <c r="C27" s="31" t="s">
        <v>74</v>
      </c>
      <c r="D27" s="97" t="s">
        <v>75</v>
      </c>
      <c r="E27" s="88" t="str">
        <f t="shared" si="2"/>
        <v>9번 중 7번 참여</v>
      </c>
      <c r="F27" s="89">
        <f t="shared" si="3"/>
        <v>0.7777777778</v>
      </c>
      <c r="G27" s="41"/>
      <c r="H27" s="90" t="s">
        <v>25</v>
      </c>
      <c r="I27" s="41"/>
      <c r="J27" s="90" t="s">
        <v>25</v>
      </c>
      <c r="K27" s="90" t="s">
        <v>25</v>
      </c>
      <c r="L27" s="90" t="s">
        <v>25</v>
      </c>
      <c r="M27" s="90" t="s">
        <v>25</v>
      </c>
      <c r="N27" s="90" t="s">
        <v>25</v>
      </c>
      <c r="O27" s="90" t="s">
        <v>25</v>
      </c>
    </row>
    <row r="28">
      <c r="A28" s="92"/>
      <c r="B28" s="30">
        <v>24.0</v>
      </c>
      <c r="C28" s="23" t="s">
        <v>76</v>
      </c>
      <c r="D28" s="87" t="s">
        <v>77</v>
      </c>
      <c r="E28" s="88" t="str">
        <f t="shared" si="2"/>
        <v>9번 중 5번 참여</v>
      </c>
      <c r="F28" s="89">
        <f t="shared" si="3"/>
        <v>0.5555555556</v>
      </c>
      <c r="G28" s="90" t="s">
        <v>25</v>
      </c>
      <c r="H28" s="90" t="s">
        <v>25</v>
      </c>
      <c r="I28" s="90" t="s">
        <v>25</v>
      </c>
      <c r="J28" s="90" t="s">
        <v>25</v>
      </c>
      <c r="K28" s="90" t="s">
        <v>25</v>
      </c>
      <c r="L28" s="41"/>
      <c r="M28" s="41"/>
      <c r="N28" s="41"/>
      <c r="O28" s="41"/>
    </row>
    <row r="29">
      <c r="A29" s="86"/>
      <c r="B29" s="22">
        <v>25.0</v>
      </c>
      <c r="C29" s="31" t="s">
        <v>78</v>
      </c>
      <c r="D29" s="107" t="s">
        <v>79</v>
      </c>
      <c r="E29" s="88" t="str">
        <f t="shared" si="2"/>
        <v>9번 중 9번 참여</v>
      </c>
      <c r="F29" s="89">
        <f t="shared" si="3"/>
        <v>1</v>
      </c>
      <c r="G29" s="90" t="s">
        <v>25</v>
      </c>
      <c r="H29" s="90" t="s">
        <v>25</v>
      </c>
      <c r="I29" s="90" t="s">
        <v>25</v>
      </c>
      <c r="J29" s="90" t="s">
        <v>25</v>
      </c>
      <c r="K29" s="90" t="s">
        <v>25</v>
      </c>
      <c r="L29" s="90" t="s">
        <v>25</v>
      </c>
      <c r="M29" s="90" t="s">
        <v>25</v>
      </c>
      <c r="N29" s="90" t="s">
        <v>25</v>
      </c>
      <c r="O29" s="90" t="s">
        <v>25</v>
      </c>
    </row>
    <row r="30">
      <c r="A30" s="92"/>
      <c r="B30" s="30">
        <v>26.0</v>
      </c>
      <c r="C30" s="31" t="s">
        <v>81</v>
      </c>
      <c r="D30" s="31" t="s">
        <v>82</v>
      </c>
      <c r="E30" s="88" t="str">
        <f t="shared" si="2"/>
        <v>9번 중 7번 참여</v>
      </c>
      <c r="F30" s="89">
        <f t="shared" si="3"/>
        <v>0.7777777778</v>
      </c>
      <c r="G30" s="90" t="s">
        <v>25</v>
      </c>
      <c r="H30" s="90" t="s">
        <v>25</v>
      </c>
      <c r="I30" s="90" t="s">
        <v>25</v>
      </c>
      <c r="J30" s="90" t="s">
        <v>25</v>
      </c>
      <c r="K30" s="90" t="s">
        <v>25</v>
      </c>
      <c r="L30" s="41"/>
      <c r="M30" s="41"/>
      <c r="N30" s="90" t="s">
        <v>25</v>
      </c>
      <c r="O30" s="90" t="s">
        <v>25</v>
      </c>
    </row>
    <row r="31">
      <c r="A31" s="86"/>
      <c r="B31" s="22">
        <v>27.0</v>
      </c>
      <c r="C31" s="93" t="s">
        <v>83</v>
      </c>
      <c r="D31" s="108" t="s">
        <v>84</v>
      </c>
      <c r="E31" s="88" t="str">
        <f t="shared" si="2"/>
        <v/>
      </c>
      <c r="F31" s="89" t="str">
        <f t="shared" si="3"/>
        <v/>
      </c>
      <c r="G31" s="41"/>
      <c r="H31" s="41"/>
      <c r="I31" s="41"/>
      <c r="J31" s="41"/>
      <c r="K31" s="41"/>
      <c r="L31" s="41"/>
      <c r="M31" s="41"/>
      <c r="N31" s="41"/>
      <c r="O31" s="41"/>
    </row>
    <row r="32">
      <c r="A32" s="92"/>
      <c r="B32" s="30">
        <v>28.0</v>
      </c>
      <c r="C32" s="31" t="s">
        <v>85</v>
      </c>
      <c r="D32" s="97" t="s">
        <v>86</v>
      </c>
      <c r="E32" s="88" t="str">
        <f t="shared" si="2"/>
        <v>9번 중 8번 참여</v>
      </c>
      <c r="F32" s="89">
        <f t="shared" si="3"/>
        <v>0.8888888889</v>
      </c>
      <c r="G32" s="90" t="s">
        <v>25</v>
      </c>
      <c r="H32" s="90" t="s">
        <v>25</v>
      </c>
      <c r="I32" s="90" t="s">
        <v>25</v>
      </c>
      <c r="J32" s="90" t="s">
        <v>25</v>
      </c>
      <c r="K32" s="41"/>
      <c r="L32" s="90" t="s">
        <v>25</v>
      </c>
      <c r="M32" s="90" t="s">
        <v>25</v>
      </c>
      <c r="N32" s="90" t="s">
        <v>25</v>
      </c>
      <c r="O32" s="90" t="s">
        <v>25</v>
      </c>
    </row>
    <row r="33">
      <c r="A33" s="86"/>
      <c r="B33" s="22">
        <v>29.0</v>
      </c>
      <c r="C33" s="23" t="s">
        <v>87</v>
      </c>
      <c r="D33" s="87" t="s">
        <v>88</v>
      </c>
      <c r="E33" s="88" t="str">
        <f t="shared" si="2"/>
        <v>9번 중 6번 참여</v>
      </c>
      <c r="F33" s="89">
        <f t="shared" si="3"/>
        <v>0.6666666667</v>
      </c>
      <c r="G33" s="90" t="s">
        <v>25</v>
      </c>
      <c r="H33" s="41"/>
      <c r="I33" s="41"/>
      <c r="J33" s="90" t="s">
        <v>25</v>
      </c>
      <c r="K33" s="90" t="s">
        <v>25</v>
      </c>
      <c r="L33" s="90" t="s">
        <v>25</v>
      </c>
      <c r="M33" s="41"/>
      <c r="N33" s="90" t="s">
        <v>25</v>
      </c>
      <c r="O33" s="90" t="s">
        <v>25</v>
      </c>
    </row>
    <row r="34">
      <c r="A34" s="92"/>
      <c r="B34" s="30">
        <v>30.0</v>
      </c>
      <c r="C34" s="109" t="s">
        <v>89</v>
      </c>
      <c r="D34" s="110" t="s">
        <v>90</v>
      </c>
      <c r="E34" s="88" t="str">
        <f t="shared" si="2"/>
        <v/>
      </c>
      <c r="F34" s="89" t="str">
        <f t="shared" si="3"/>
        <v/>
      </c>
      <c r="G34" s="41"/>
      <c r="H34" s="41"/>
      <c r="I34" s="41"/>
      <c r="J34" s="41"/>
      <c r="K34" s="90" t="s">
        <v>80</v>
      </c>
      <c r="L34" s="41"/>
      <c r="M34" s="41"/>
      <c r="N34" s="41"/>
      <c r="O34" s="41"/>
    </row>
    <row r="35">
      <c r="A35" s="86"/>
      <c r="B35" s="22">
        <v>31.0</v>
      </c>
      <c r="C35" s="61" t="s">
        <v>91</v>
      </c>
      <c r="D35" s="61" t="s">
        <v>92</v>
      </c>
      <c r="E35" s="88" t="str">
        <f t="shared" si="2"/>
        <v>9번 중 8번 참여</v>
      </c>
      <c r="F35" s="89">
        <f t="shared" si="3"/>
        <v>0.8888888889</v>
      </c>
      <c r="G35" s="90" t="s">
        <v>25</v>
      </c>
      <c r="H35" s="90" t="s">
        <v>25</v>
      </c>
      <c r="I35" s="90" t="s">
        <v>25</v>
      </c>
      <c r="J35" s="90" t="s">
        <v>25</v>
      </c>
      <c r="K35" s="90" t="s">
        <v>25</v>
      </c>
      <c r="L35" s="90" t="s">
        <v>25</v>
      </c>
      <c r="M35" s="90" t="s">
        <v>25</v>
      </c>
      <c r="N35" s="90" t="s">
        <v>25</v>
      </c>
      <c r="O35" s="41"/>
    </row>
    <row r="36">
      <c r="A36" s="92"/>
      <c r="B36" s="30">
        <v>32.0</v>
      </c>
      <c r="C36" s="31" t="s">
        <v>93</v>
      </c>
      <c r="D36" s="31" t="s">
        <v>94</v>
      </c>
      <c r="E36" s="88" t="str">
        <f t="shared" si="2"/>
        <v>9번 중 8번 참여</v>
      </c>
      <c r="F36" s="89">
        <f t="shared" si="3"/>
        <v>0.8888888889</v>
      </c>
      <c r="G36" s="90" t="s">
        <v>25</v>
      </c>
      <c r="H36" s="90" t="s">
        <v>25</v>
      </c>
      <c r="I36" s="90" t="s">
        <v>25</v>
      </c>
      <c r="J36" s="90" t="s">
        <v>25</v>
      </c>
      <c r="K36" s="90" t="s">
        <v>25</v>
      </c>
      <c r="L36" s="90" t="s">
        <v>25</v>
      </c>
      <c r="M36" s="90" t="s">
        <v>25</v>
      </c>
      <c r="N36" s="90" t="s">
        <v>25</v>
      </c>
      <c r="O36" s="41"/>
    </row>
    <row r="37">
      <c r="A37" s="86"/>
      <c r="B37" s="22">
        <v>33.0</v>
      </c>
      <c r="C37" s="23" t="s">
        <v>95</v>
      </c>
      <c r="D37" s="23" t="s">
        <v>96</v>
      </c>
      <c r="E37" s="88" t="str">
        <f t="shared" si="2"/>
        <v>9번 중 9번 참여</v>
      </c>
      <c r="F37" s="89">
        <f t="shared" si="3"/>
        <v>1</v>
      </c>
      <c r="G37" s="90" t="s">
        <v>25</v>
      </c>
      <c r="H37" s="90" t="s">
        <v>25</v>
      </c>
      <c r="I37" s="90" t="s">
        <v>25</v>
      </c>
      <c r="J37" s="90" t="s">
        <v>25</v>
      </c>
      <c r="K37" s="90" t="s">
        <v>25</v>
      </c>
      <c r="L37" s="90" t="s">
        <v>25</v>
      </c>
      <c r="M37" s="90" t="s">
        <v>25</v>
      </c>
      <c r="N37" s="90" t="s">
        <v>25</v>
      </c>
      <c r="O37" s="90" t="s">
        <v>25</v>
      </c>
    </row>
    <row r="38">
      <c r="A38" s="92"/>
      <c r="B38" s="30">
        <v>34.0</v>
      </c>
      <c r="C38" s="31" t="s">
        <v>97</v>
      </c>
      <c r="D38" s="31" t="s">
        <v>98</v>
      </c>
      <c r="E38" s="88" t="str">
        <f t="shared" si="2"/>
        <v>9번 중 9번 참여</v>
      </c>
      <c r="F38" s="89">
        <f t="shared" si="3"/>
        <v>1</v>
      </c>
      <c r="G38" s="90" t="s">
        <v>25</v>
      </c>
      <c r="H38" s="90" t="s">
        <v>25</v>
      </c>
      <c r="I38" s="90" t="s">
        <v>25</v>
      </c>
      <c r="J38" s="90" t="s">
        <v>25</v>
      </c>
      <c r="K38" s="90" t="s">
        <v>25</v>
      </c>
      <c r="L38" s="90" t="s">
        <v>25</v>
      </c>
      <c r="M38" s="90" t="s">
        <v>25</v>
      </c>
      <c r="N38" s="90" t="s">
        <v>25</v>
      </c>
      <c r="O38" s="90" t="s">
        <v>25</v>
      </c>
    </row>
    <row r="39">
      <c r="A39" s="86"/>
      <c r="B39" s="22">
        <v>35.0</v>
      </c>
      <c r="C39" s="23" t="s">
        <v>99</v>
      </c>
      <c r="D39" s="23" t="s">
        <v>100</v>
      </c>
      <c r="E39" s="88" t="str">
        <f t="shared" si="2"/>
        <v>9번 중 3번 참여</v>
      </c>
      <c r="F39" s="89">
        <f t="shared" si="3"/>
        <v>0.3333333333</v>
      </c>
      <c r="G39" s="90" t="s">
        <v>25</v>
      </c>
      <c r="H39" s="41"/>
      <c r="I39" s="90" t="s">
        <v>25</v>
      </c>
      <c r="J39" s="41"/>
      <c r="K39" s="41"/>
      <c r="L39" s="90" t="s">
        <v>25</v>
      </c>
      <c r="M39" s="41"/>
      <c r="N39" s="41"/>
      <c r="O39" s="41"/>
    </row>
    <row r="40">
      <c r="A40" s="92"/>
      <c r="B40" s="30">
        <v>36.0</v>
      </c>
      <c r="C40" s="31" t="s">
        <v>101</v>
      </c>
      <c r="D40" s="97" t="s">
        <v>102</v>
      </c>
      <c r="E40" s="88" t="str">
        <f t="shared" si="2"/>
        <v>9번 중 7번 참여</v>
      </c>
      <c r="F40" s="89">
        <f t="shared" si="3"/>
        <v>0.7777777778</v>
      </c>
      <c r="G40" s="90" t="s">
        <v>25</v>
      </c>
      <c r="H40" s="90" t="s">
        <v>25</v>
      </c>
      <c r="I40" s="41"/>
      <c r="J40" s="90" t="s">
        <v>25</v>
      </c>
      <c r="K40" s="90" t="s">
        <v>25</v>
      </c>
      <c r="L40" s="90" t="s">
        <v>25</v>
      </c>
      <c r="M40" s="90" t="s">
        <v>25</v>
      </c>
      <c r="N40" s="90" t="s">
        <v>25</v>
      </c>
      <c r="O40" s="41"/>
    </row>
    <row r="41">
      <c r="A41" s="86"/>
      <c r="B41" s="22">
        <v>37.0</v>
      </c>
      <c r="C41" s="23" t="s">
        <v>103</v>
      </c>
      <c r="D41" s="23" t="s">
        <v>104</v>
      </c>
      <c r="E41" s="88" t="str">
        <f t="shared" si="2"/>
        <v>9번 중 9번 참여</v>
      </c>
      <c r="F41" s="89">
        <f t="shared" si="3"/>
        <v>1</v>
      </c>
      <c r="G41" s="90" t="s">
        <v>25</v>
      </c>
      <c r="H41" s="90" t="s">
        <v>25</v>
      </c>
      <c r="I41" s="90" t="s">
        <v>25</v>
      </c>
      <c r="J41" s="90" t="s">
        <v>25</v>
      </c>
      <c r="K41" s="90" t="s">
        <v>25</v>
      </c>
      <c r="L41" s="90" t="s">
        <v>25</v>
      </c>
      <c r="M41" s="90" t="s">
        <v>25</v>
      </c>
      <c r="N41" s="90" t="s">
        <v>25</v>
      </c>
      <c r="O41" s="90" t="s">
        <v>25</v>
      </c>
    </row>
    <row r="42">
      <c r="A42" s="92"/>
      <c r="B42" s="30">
        <v>38.0</v>
      </c>
      <c r="C42" s="111" t="s">
        <v>281</v>
      </c>
      <c r="D42" s="144" t="s">
        <v>282</v>
      </c>
      <c r="E42" s="88" t="str">
        <f t="shared" si="2"/>
        <v>9번 중 9번 참여</v>
      </c>
      <c r="F42" s="89">
        <f t="shared" si="3"/>
        <v>1</v>
      </c>
      <c r="G42" s="90" t="s">
        <v>25</v>
      </c>
      <c r="H42" s="90" t="s">
        <v>25</v>
      </c>
      <c r="I42" s="90" t="s">
        <v>25</v>
      </c>
      <c r="J42" s="90" t="s">
        <v>25</v>
      </c>
      <c r="K42" s="90" t="s">
        <v>25</v>
      </c>
      <c r="L42" s="90" t="s">
        <v>25</v>
      </c>
      <c r="M42" s="90" t="s">
        <v>25</v>
      </c>
      <c r="N42" s="90" t="s">
        <v>25</v>
      </c>
      <c r="O42" s="90" t="s">
        <v>25</v>
      </c>
    </row>
    <row r="43">
      <c r="A43" s="86"/>
      <c r="B43" s="145">
        <v>39.0</v>
      </c>
      <c r="C43" s="113" t="s">
        <v>107</v>
      </c>
      <c r="D43" s="114" t="s">
        <v>108</v>
      </c>
      <c r="E43" s="88" t="str">
        <f t="shared" si="2"/>
        <v>9번 중 8번 참여</v>
      </c>
      <c r="F43" s="89">
        <f t="shared" si="3"/>
        <v>0.8888888889</v>
      </c>
      <c r="G43" s="90" t="s">
        <v>25</v>
      </c>
      <c r="H43" s="90" t="s">
        <v>25</v>
      </c>
      <c r="I43" s="90" t="s">
        <v>25</v>
      </c>
      <c r="J43" s="90" t="s">
        <v>25</v>
      </c>
      <c r="K43" s="90" t="s">
        <v>25</v>
      </c>
      <c r="L43" s="90" t="s">
        <v>25</v>
      </c>
      <c r="M43" s="90" t="s">
        <v>25</v>
      </c>
      <c r="N43" s="90" t="s">
        <v>25</v>
      </c>
      <c r="O43" s="41"/>
    </row>
    <row r="44">
      <c r="A44" s="92"/>
      <c r="B44" s="30">
        <v>40.0</v>
      </c>
      <c r="C44" s="95" t="s">
        <v>109</v>
      </c>
      <c r="D44" s="95" t="s">
        <v>110</v>
      </c>
      <c r="E44" s="88" t="str">
        <f t="shared" si="2"/>
        <v>9번 중 7번 참여</v>
      </c>
      <c r="F44" s="89">
        <f t="shared" si="3"/>
        <v>0.7777777778</v>
      </c>
      <c r="G44" s="90" t="s">
        <v>25</v>
      </c>
      <c r="H44" s="90" t="s">
        <v>25</v>
      </c>
      <c r="I44" s="90" t="s">
        <v>25</v>
      </c>
      <c r="J44" s="90" t="s">
        <v>25</v>
      </c>
      <c r="K44" s="90" t="s">
        <v>25</v>
      </c>
      <c r="L44" s="90" t="s">
        <v>25</v>
      </c>
      <c r="M44" s="41"/>
      <c r="N44" s="90" t="s">
        <v>25</v>
      </c>
      <c r="O44" s="41"/>
    </row>
    <row r="45">
      <c r="A45" s="86"/>
      <c r="B45" s="22">
        <v>41.0</v>
      </c>
      <c r="C45" s="31" t="s">
        <v>111</v>
      </c>
      <c r="D45" s="31" t="s">
        <v>112</v>
      </c>
      <c r="E45" s="88" t="str">
        <f t="shared" si="2"/>
        <v/>
      </c>
      <c r="F45" s="89" t="str">
        <f t="shared" si="3"/>
        <v/>
      </c>
      <c r="G45" s="41"/>
      <c r="H45" s="41"/>
      <c r="I45" s="41"/>
      <c r="J45" s="41"/>
      <c r="K45" s="41"/>
      <c r="L45" s="41"/>
      <c r="M45" s="41"/>
      <c r="N45" s="41"/>
      <c r="O45" s="41"/>
    </row>
    <row r="46">
      <c r="A46" s="92"/>
      <c r="B46" s="30">
        <v>42.0</v>
      </c>
      <c r="C46" s="23" t="s">
        <v>113</v>
      </c>
      <c r="D46" s="23" t="s">
        <v>114</v>
      </c>
      <c r="E46" s="88" t="str">
        <f t="shared" si="2"/>
        <v>9번 중 9번 참여</v>
      </c>
      <c r="F46" s="89">
        <f t="shared" si="3"/>
        <v>1</v>
      </c>
      <c r="G46" s="90" t="s">
        <v>25</v>
      </c>
      <c r="H46" s="90" t="s">
        <v>25</v>
      </c>
      <c r="I46" s="90" t="s">
        <v>25</v>
      </c>
      <c r="J46" s="90" t="s">
        <v>25</v>
      </c>
      <c r="K46" s="90" t="s">
        <v>25</v>
      </c>
      <c r="L46" s="90" t="s">
        <v>25</v>
      </c>
      <c r="M46" s="90" t="s">
        <v>25</v>
      </c>
      <c r="N46" s="90" t="s">
        <v>25</v>
      </c>
      <c r="O46" s="90" t="s">
        <v>25</v>
      </c>
    </row>
    <row r="47">
      <c r="A47" s="86"/>
      <c r="B47" s="22"/>
      <c r="C47" s="23"/>
      <c r="D47" s="23"/>
      <c r="E47" s="88" t="str">
        <f t="shared" si="2"/>
        <v/>
      </c>
      <c r="F47" s="89" t="str">
        <f t="shared" si="3"/>
        <v/>
      </c>
      <c r="G47" s="41"/>
      <c r="H47" s="41"/>
      <c r="I47" s="41"/>
      <c r="J47" s="41"/>
      <c r="K47" s="41"/>
      <c r="L47" s="41"/>
      <c r="M47" s="41"/>
      <c r="N47" s="41"/>
      <c r="O47" s="41"/>
    </row>
    <row r="48">
      <c r="A48" s="146" t="s">
        <v>226</v>
      </c>
      <c r="B48" s="30">
        <v>44.0</v>
      </c>
      <c r="C48" s="93" t="s">
        <v>283</v>
      </c>
      <c r="D48" s="93" t="s">
        <v>119</v>
      </c>
      <c r="E48" s="88" t="str">
        <f t="shared" si="2"/>
        <v>9번 중 9번 참여</v>
      </c>
      <c r="F48" s="89">
        <f t="shared" si="3"/>
        <v>1</v>
      </c>
      <c r="G48" s="90" t="s">
        <v>25</v>
      </c>
      <c r="H48" s="90" t="s">
        <v>25</v>
      </c>
      <c r="I48" s="90" t="s">
        <v>25</v>
      </c>
      <c r="J48" s="90" t="s">
        <v>25</v>
      </c>
      <c r="K48" s="90" t="s">
        <v>25</v>
      </c>
      <c r="L48" s="90" t="s">
        <v>25</v>
      </c>
      <c r="M48" s="90" t="s">
        <v>25</v>
      </c>
      <c r="N48" s="90" t="s">
        <v>25</v>
      </c>
      <c r="O48" s="90" t="s">
        <v>25</v>
      </c>
    </row>
    <row r="49">
      <c r="A49" s="86"/>
      <c r="B49" s="22">
        <v>45.0</v>
      </c>
      <c r="C49" s="23" t="s">
        <v>284</v>
      </c>
      <c r="D49" s="100" t="s">
        <v>121</v>
      </c>
      <c r="E49" s="88" t="str">
        <f t="shared" si="2"/>
        <v>9번 중 9번 참여</v>
      </c>
      <c r="F49" s="89">
        <f t="shared" si="3"/>
        <v>1</v>
      </c>
      <c r="G49" s="90" t="s">
        <v>25</v>
      </c>
      <c r="H49" s="90" t="s">
        <v>25</v>
      </c>
      <c r="I49" s="90" t="s">
        <v>25</v>
      </c>
      <c r="J49" s="90" t="s">
        <v>25</v>
      </c>
      <c r="K49" s="90" t="s">
        <v>25</v>
      </c>
      <c r="L49" s="90" t="s">
        <v>25</v>
      </c>
      <c r="M49" s="90" t="s">
        <v>25</v>
      </c>
      <c r="N49" s="90" t="s">
        <v>25</v>
      </c>
      <c r="O49" s="90" t="s">
        <v>25</v>
      </c>
    </row>
    <row r="50">
      <c r="A50" s="92"/>
      <c r="B50" s="30">
        <v>46.0</v>
      </c>
      <c r="C50" s="31"/>
      <c r="D50" s="97"/>
      <c r="E50" s="88" t="str">
        <f t="shared" si="2"/>
        <v/>
      </c>
      <c r="F50" s="89" t="str">
        <f t="shared" si="3"/>
        <v/>
      </c>
      <c r="G50" s="41"/>
      <c r="H50" s="41"/>
      <c r="I50" s="41"/>
      <c r="J50" s="41"/>
      <c r="K50" s="41"/>
      <c r="L50" s="41"/>
      <c r="M50" s="41"/>
      <c r="N50" s="41"/>
      <c r="O50" s="41"/>
    </row>
    <row r="51">
      <c r="A51" s="86"/>
      <c r="B51" s="22"/>
      <c r="C51" s="111"/>
      <c r="D51" s="147"/>
      <c r="E51" s="88" t="str">
        <f t="shared" si="2"/>
        <v/>
      </c>
      <c r="F51" s="89" t="str">
        <f t="shared" si="3"/>
        <v/>
      </c>
      <c r="G51" s="41"/>
      <c r="H51" s="41"/>
      <c r="I51" s="41"/>
      <c r="J51" s="41"/>
      <c r="K51" s="41"/>
      <c r="L51" s="41"/>
      <c r="M51" s="41"/>
      <c r="N51" s="41"/>
      <c r="O51" s="41"/>
    </row>
    <row r="52">
      <c r="A52" s="92"/>
      <c r="B52" s="30">
        <v>48.0</v>
      </c>
      <c r="C52" s="61" t="s">
        <v>126</v>
      </c>
      <c r="D52" s="123" t="s">
        <v>127</v>
      </c>
      <c r="E52" s="88" t="str">
        <f t="shared" si="2"/>
        <v>9번 중 9번 참여</v>
      </c>
      <c r="F52" s="89">
        <f t="shared" si="3"/>
        <v>1</v>
      </c>
      <c r="G52" s="90" t="s">
        <v>25</v>
      </c>
      <c r="H52" s="90" t="s">
        <v>25</v>
      </c>
      <c r="I52" s="90" t="s">
        <v>25</v>
      </c>
      <c r="J52" s="90" t="s">
        <v>25</v>
      </c>
      <c r="K52" s="90" t="s">
        <v>25</v>
      </c>
      <c r="L52" s="90" t="s">
        <v>25</v>
      </c>
      <c r="M52" s="90" t="s">
        <v>25</v>
      </c>
      <c r="N52" s="90" t="s">
        <v>25</v>
      </c>
      <c r="O52" s="90" t="s">
        <v>25</v>
      </c>
    </row>
    <row r="53">
      <c r="A53" s="86"/>
      <c r="B53" s="22"/>
      <c r="C53" s="95"/>
      <c r="D53" s="95"/>
      <c r="E53" s="88" t="str">
        <f t="shared" si="2"/>
        <v/>
      </c>
      <c r="F53" s="89" t="str">
        <f t="shared" si="3"/>
        <v/>
      </c>
      <c r="G53" s="41"/>
      <c r="H53" s="41"/>
      <c r="I53" s="41"/>
      <c r="J53" s="41"/>
      <c r="K53" s="41"/>
      <c r="L53" s="41"/>
      <c r="M53" s="41"/>
      <c r="N53" s="41"/>
      <c r="O53" s="41"/>
    </row>
    <row r="54">
      <c r="A54" s="92"/>
      <c r="B54" s="30"/>
      <c r="C54" s="31"/>
      <c r="D54" s="31"/>
      <c r="E54" s="88" t="str">
        <f t="shared" si="2"/>
        <v>9번 중 1번 참여</v>
      </c>
      <c r="F54" s="89">
        <f t="shared" si="3"/>
        <v>0.1111111111</v>
      </c>
      <c r="G54" s="41"/>
      <c r="H54" s="41"/>
      <c r="I54" s="90" t="s">
        <v>25</v>
      </c>
      <c r="J54" s="41"/>
      <c r="K54" s="41"/>
      <c r="L54" s="41"/>
      <c r="M54" s="41"/>
      <c r="N54" s="41"/>
      <c r="O54" s="41"/>
    </row>
    <row r="55">
      <c r="A55" s="86"/>
      <c r="B55" s="22">
        <v>51.0</v>
      </c>
      <c r="C55" s="23" t="s">
        <v>132</v>
      </c>
      <c r="D55" s="23" t="s">
        <v>133</v>
      </c>
      <c r="E55" s="88" t="str">
        <f t="shared" si="2"/>
        <v>9번 중 9번 참여</v>
      </c>
      <c r="F55" s="89">
        <f t="shared" si="3"/>
        <v>1</v>
      </c>
      <c r="G55" s="90" t="s">
        <v>25</v>
      </c>
      <c r="H55" s="90" t="s">
        <v>25</v>
      </c>
      <c r="I55" s="90" t="s">
        <v>25</v>
      </c>
      <c r="J55" s="90" t="s">
        <v>25</v>
      </c>
      <c r="K55" s="90" t="s">
        <v>25</v>
      </c>
      <c r="L55" s="90" t="s">
        <v>25</v>
      </c>
      <c r="M55" s="90" t="s">
        <v>25</v>
      </c>
      <c r="N55" s="90" t="s">
        <v>25</v>
      </c>
      <c r="O55" s="90" t="s">
        <v>25</v>
      </c>
    </row>
    <row r="56">
      <c r="A56" s="92"/>
      <c r="B56" s="30">
        <v>52.0</v>
      </c>
      <c r="C56" s="98" t="s">
        <v>28</v>
      </c>
      <c r="D56" s="98" t="s">
        <v>70</v>
      </c>
      <c r="E56" s="88" t="str">
        <f t="shared" si="2"/>
        <v>9번 중 9번 참여</v>
      </c>
      <c r="F56" s="89">
        <f t="shared" si="3"/>
        <v>1</v>
      </c>
      <c r="G56" s="90" t="s">
        <v>25</v>
      </c>
      <c r="H56" s="90" t="s">
        <v>25</v>
      </c>
      <c r="I56" s="90" t="s">
        <v>25</v>
      </c>
      <c r="J56" s="90" t="s">
        <v>25</v>
      </c>
      <c r="K56" s="90" t="s">
        <v>25</v>
      </c>
      <c r="L56" s="90" t="s">
        <v>25</v>
      </c>
      <c r="M56" s="90" t="s">
        <v>25</v>
      </c>
      <c r="N56" s="90" t="s">
        <v>25</v>
      </c>
      <c r="O56" s="90" t="s">
        <v>25</v>
      </c>
    </row>
    <row r="57">
      <c r="A57" s="86"/>
      <c r="B57" s="22">
        <v>53.0</v>
      </c>
      <c r="C57" s="101" t="s">
        <v>136</v>
      </c>
      <c r="D57" s="31" t="s">
        <v>137</v>
      </c>
      <c r="E57" s="88" t="str">
        <f t="shared" si="2"/>
        <v>9번 중 9번 참여</v>
      </c>
      <c r="F57" s="89">
        <f t="shared" si="3"/>
        <v>1</v>
      </c>
      <c r="G57" s="90" t="s">
        <v>25</v>
      </c>
      <c r="H57" s="90" t="s">
        <v>25</v>
      </c>
      <c r="I57" s="90" t="s">
        <v>25</v>
      </c>
      <c r="J57" s="90" t="s">
        <v>25</v>
      </c>
      <c r="K57" s="90" t="s">
        <v>25</v>
      </c>
      <c r="L57" s="90" t="s">
        <v>25</v>
      </c>
      <c r="M57" s="90" t="s">
        <v>25</v>
      </c>
      <c r="N57" s="90" t="s">
        <v>25</v>
      </c>
      <c r="O57" s="90" t="s">
        <v>25</v>
      </c>
    </row>
    <row r="58">
      <c r="A58" s="92"/>
      <c r="B58" s="30">
        <v>54.0</v>
      </c>
      <c r="C58" s="95" t="s">
        <v>138</v>
      </c>
      <c r="D58" s="23" t="s">
        <v>139</v>
      </c>
      <c r="E58" s="88" t="str">
        <f t="shared" si="2"/>
        <v>9번 중 9번 참여</v>
      </c>
      <c r="F58" s="89">
        <f t="shared" si="3"/>
        <v>1</v>
      </c>
      <c r="G58" s="90" t="s">
        <v>25</v>
      </c>
      <c r="H58" s="90" t="s">
        <v>25</v>
      </c>
      <c r="I58" s="90" t="s">
        <v>25</v>
      </c>
      <c r="J58" s="90" t="s">
        <v>25</v>
      </c>
      <c r="K58" s="90" t="s">
        <v>25</v>
      </c>
      <c r="L58" s="90" t="s">
        <v>25</v>
      </c>
      <c r="M58" s="90" t="s">
        <v>25</v>
      </c>
      <c r="N58" s="90" t="s">
        <v>25</v>
      </c>
      <c r="O58" s="90" t="s">
        <v>25</v>
      </c>
    </row>
    <row r="59">
      <c r="A59" s="86"/>
      <c r="B59" s="22">
        <v>55.0</v>
      </c>
      <c r="C59" s="93" t="s">
        <v>140</v>
      </c>
      <c r="D59" s="23" t="s">
        <v>141</v>
      </c>
      <c r="E59" s="88" t="str">
        <f t="shared" si="2"/>
        <v>9번 중 7번 참여</v>
      </c>
      <c r="F59" s="89">
        <f t="shared" si="3"/>
        <v>0.7777777778</v>
      </c>
      <c r="G59" s="90" t="s">
        <v>25</v>
      </c>
      <c r="H59" s="90" t="s">
        <v>25</v>
      </c>
      <c r="I59" s="90" t="s">
        <v>25</v>
      </c>
      <c r="J59" s="41"/>
      <c r="K59" s="90" t="s">
        <v>25</v>
      </c>
      <c r="L59" s="90" t="s">
        <v>25</v>
      </c>
      <c r="M59" s="90" t="s">
        <v>25</v>
      </c>
      <c r="N59" s="90" t="s">
        <v>25</v>
      </c>
      <c r="O59" s="41"/>
    </row>
    <row r="60">
      <c r="A60" s="92"/>
      <c r="B60" s="30">
        <v>56.0</v>
      </c>
      <c r="C60" s="23" t="s">
        <v>142</v>
      </c>
      <c r="D60" s="23" t="s">
        <v>143</v>
      </c>
      <c r="E60" s="88" t="str">
        <f t="shared" si="2"/>
        <v/>
      </c>
      <c r="F60" s="89" t="str">
        <f t="shared" si="3"/>
        <v/>
      </c>
      <c r="G60" s="41"/>
      <c r="H60" s="41"/>
      <c r="I60" s="41"/>
      <c r="J60" s="41"/>
      <c r="K60" s="41"/>
      <c r="L60" s="41"/>
      <c r="M60" s="41"/>
      <c r="N60" s="41"/>
      <c r="O60" s="41"/>
    </row>
    <row r="61">
      <c r="A61" s="86"/>
      <c r="B61" s="22">
        <v>57.0</v>
      </c>
      <c r="C61" s="31" t="s">
        <v>144</v>
      </c>
      <c r="D61" s="31" t="s">
        <v>145</v>
      </c>
      <c r="E61" s="88" t="str">
        <f t="shared" si="2"/>
        <v/>
      </c>
      <c r="F61" s="89" t="str">
        <f t="shared" si="3"/>
        <v/>
      </c>
      <c r="G61" s="41"/>
      <c r="H61" s="41"/>
      <c r="I61" s="41"/>
      <c r="J61" s="41"/>
      <c r="K61" s="41"/>
      <c r="L61" s="41"/>
      <c r="M61" s="41"/>
      <c r="N61" s="41"/>
      <c r="O61" s="41"/>
    </row>
    <row r="62">
      <c r="A62" s="92"/>
      <c r="B62" s="30">
        <v>58.0</v>
      </c>
      <c r="C62" s="23" t="s">
        <v>146</v>
      </c>
      <c r="D62" s="23" t="s">
        <v>147</v>
      </c>
      <c r="E62" s="88" t="str">
        <f t="shared" si="2"/>
        <v>9번 중 9번 참여</v>
      </c>
      <c r="F62" s="89">
        <f t="shared" si="3"/>
        <v>1</v>
      </c>
      <c r="G62" s="90" t="s">
        <v>25</v>
      </c>
      <c r="H62" s="90" t="s">
        <v>25</v>
      </c>
      <c r="I62" s="90" t="s">
        <v>25</v>
      </c>
      <c r="J62" s="90" t="s">
        <v>25</v>
      </c>
      <c r="K62" s="90" t="s">
        <v>25</v>
      </c>
      <c r="L62" s="90" t="s">
        <v>25</v>
      </c>
      <c r="M62" s="90" t="s">
        <v>25</v>
      </c>
      <c r="N62" s="90" t="s">
        <v>25</v>
      </c>
      <c r="O62" s="90" t="s">
        <v>25</v>
      </c>
    </row>
    <row r="63">
      <c r="A63" s="86"/>
      <c r="B63" s="22">
        <v>59.0</v>
      </c>
      <c r="C63" s="31" t="s">
        <v>148</v>
      </c>
      <c r="D63" s="31" t="s">
        <v>149</v>
      </c>
      <c r="E63" s="88" t="str">
        <f t="shared" si="2"/>
        <v>9번 중 9번 참여</v>
      </c>
      <c r="F63" s="89">
        <f t="shared" si="3"/>
        <v>1</v>
      </c>
      <c r="G63" s="90" t="s">
        <v>25</v>
      </c>
      <c r="H63" s="90" t="s">
        <v>25</v>
      </c>
      <c r="I63" s="90" t="s">
        <v>25</v>
      </c>
      <c r="J63" s="90" t="s">
        <v>25</v>
      </c>
      <c r="K63" s="90" t="s">
        <v>25</v>
      </c>
      <c r="L63" s="90" t="s">
        <v>25</v>
      </c>
      <c r="M63" s="90" t="s">
        <v>25</v>
      </c>
      <c r="N63" s="90" t="s">
        <v>25</v>
      </c>
      <c r="O63" s="90" t="s">
        <v>25</v>
      </c>
    </row>
    <row r="64">
      <c r="A64" s="92"/>
      <c r="B64" s="30">
        <v>60.0</v>
      </c>
      <c r="C64" s="31" t="s">
        <v>150</v>
      </c>
      <c r="D64" s="107" t="s">
        <v>151</v>
      </c>
      <c r="E64" s="88" t="str">
        <f t="shared" si="2"/>
        <v/>
      </c>
      <c r="F64" s="89" t="str">
        <f t="shared" si="3"/>
        <v/>
      </c>
      <c r="G64" s="41"/>
      <c r="H64" s="41"/>
      <c r="I64" s="41"/>
      <c r="J64" s="41"/>
      <c r="K64" s="41"/>
      <c r="L64" s="41"/>
      <c r="M64" s="41"/>
      <c r="N64" s="41"/>
      <c r="O64" s="41"/>
    </row>
    <row r="65">
      <c r="A65" s="86"/>
      <c r="B65" s="22">
        <v>61.0</v>
      </c>
      <c r="C65" s="23" t="s">
        <v>152</v>
      </c>
      <c r="D65" s="23" t="s">
        <v>153</v>
      </c>
      <c r="E65" s="88" t="str">
        <f t="shared" si="2"/>
        <v>9번 중 7번 참여</v>
      </c>
      <c r="F65" s="89">
        <f t="shared" si="3"/>
        <v>0.7777777778</v>
      </c>
      <c r="G65" s="90" t="s">
        <v>25</v>
      </c>
      <c r="H65" s="90" t="s">
        <v>25</v>
      </c>
      <c r="I65" s="90" t="s">
        <v>25</v>
      </c>
      <c r="J65" s="90" t="s">
        <v>25</v>
      </c>
      <c r="K65" s="90" t="s">
        <v>25</v>
      </c>
      <c r="L65" s="90" t="s">
        <v>25</v>
      </c>
      <c r="M65" s="90" t="s">
        <v>25</v>
      </c>
      <c r="N65" s="41"/>
      <c r="O65" s="41"/>
    </row>
    <row r="66">
      <c r="A66" s="92"/>
      <c r="B66" s="30">
        <v>62.0</v>
      </c>
      <c r="C66" s="31" t="s">
        <v>154</v>
      </c>
      <c r="D66" s="31" t="s">
        <v>155</v>
      </c>
      <c r="E66" s="88" t="str">
        <f t="shared" si="2"/>
        <v>9번 중 9번 참여</v>
      </c>
      <c r="F66" s="89">
        <f t="shared" si="3"/>
        <v>1</v>
      </c>
      <c r="G66" s="90" t="s">
        <v>25</v>
      </c>
      <c r="H66" s="90" t="s">
        <v>25</v>
      </c>
      <c r="I66" s="90" t="s">
        <v>25</v>
      </c>
      <c r="J66" s="90" t="s">
        <v>25</v>
      </c>
      <c r="K66" s="90" t="s">
        <v>25</v>
      </c>
      <c r="L66" s="90" t="s">
        <v>25</v>
      </c>
      <c r="M66" s="90" t="s">
        <v>25</v>
      </c>
      <c r="N66" s="90" t="s">
        <v>25</v>
      </c>
      <c r="O66" s="90" t="s">
        <v>25</v>
      </c>
    </row>
    <row r="67">
      <c r="A67" s="86"/>
      <c r="B67" s="22">
        <v>63.0</v>
      </c>
      <c r="C67" s="23" t="s">
        <v>156</v>
      </c>
      <c r="D67" s="23" t="s">
        <v>157</v>
      </c>
      <c r="E67" s="88" t="str">
        <f t="shared" si="2"/>
        <v>9번 중 6번 참여</v>
      </c>
      <c r="F67" s="89">
        <f t="shared" si="3"/>
        <v>0.6666666667</v>
      </c>
      <c r="G67" s="90" t="s">
        <v>25</v>
      </c>
      <c r="H67" s="90" t="s">
        <v>25</v>
      </c>
      <c r="I67" s="90" t="s">
        <v>25</v>
      </c>
      <c r="J67" s="41"/>
      <c r="K67" s="41"/>
      <c r="L67" s="41"/>
      <c r="M67" s="90" t="s">
        <v>25</v>
      </c>
      <c r="N67" s="90" t="s">
        <v>25</v>
      </c>
      <c r="O67" s="90" t="s">
        <v>25</v>
      </c>
    </row>
    <row r="68">
      <c r="A68" s="92"/>
      <c r="B68" s="30">
        <v>64.0</v>
      </c>
      <c r="C68" s="125" t="s">
        <v>158</v>
      </c>
      <c r="D68" s="125" t="s">
        <v>159</v>
      </c>
      <c r="E68" s="88" t="str">
        <f t="shared" si="2"/>
        <v>9번 중 9번 참여</v>
      </c>
      <c r="F68" s="89">
        <f t="shared" si="3"/>
        <v>1</v>
      </c>
      <c r="G68" s="90" t="s">
        <v>25</v>
      </c>
      <c r="H68" s="90" t="s">
        <v>25</v>
      </c>
      <c r="I68" s="90" t="s">
        <v>25</v>
      </c>
      <c r="J68" s="90" t="s">
        <v>25</v>
      </c>
      <c r="K68" s="90" t="s">
        <v>25</v>
      </c>
      <c r="L68" s="90" t="s">
        <v>25</v>
      </c>
      <c r="M68" s="90" t="s">
        <v>25</v>
      </c>
      <c r="N68" s="90" t="s">
        <v>25</v>
      </c>
      <c r="O68" s="90" t="s">
        <v>25</v>
      </c>
    </row>
    <row r="69">
      <c r="A69" s="86"/>
      <c r="B69" s="22">
        <v>65.0</v>
      </c>
      <c r="C69" s="127" t="s">
        <v>160</v>
      </c>
      <c r="D69" s="127" t="s">
        <v>161</v>
      </c>
      <c r="E69" s="88" t="str">
        <f t="shared" si="2"/>
        <v>9번 중 9번 참여</v>
      </c>
      <c r="F69" s="89">
        <f t="shared" si="3"/>
        <v>1</v>
      </c>
      <c r="G69" s="90" t="s">
        <v>25</v>
      </c>
      <c r="H69" s="90" t="s">
        <v>25</v>
      </c>
      <c r="I69" s="90" t="s">
        <v>25</v>
      </c>
      <c r="J69" s="90" t="s">
        <v>25</v>
      </c>
      <c r="K69" s="90" t="s">
        <v>25</v>
      </c>
      <c r="L69" s="90" t="s">
        <v>25</v>
      </c>
      <c r="M69" s="90" t="s">
        <v>25</v>
      </c>
      <c r="N69" s="90" t="s">
        <v>25</v>
      </c>
      <c r="O69" s="90" t="s">
        <v>25</v>
      </c>
    </row>
    <row r="70">
      <c r="A70" s="92"/>
      <c r="B70" s="30">
        <v>66.0</v>
      </c>
      <c r="C70" s="31" t="s">
        <v>162</v>
      </c>
      <c r="D70" s="31" t="s">
        <v>163</v>
      </c>
      <c r="E70" s="88" t="str">
        <f t="shared" si="2"/>
        <v>9번 중 9번 참여</v>
      </c>
      <c r="F70" s="89">
        <f t="shared" si="3"/>
        <v>1</v>
      </c>
      <c r="G70" s="90" t="s">
        <v>25</v>
      </c>
      <c r="H70" s="90" t="s">
        <v>25</v>
      </c>
      <c r="I70" s="90" t="s">
        <v>25</v>
      </c>
      <c r="J70" s="90" t="s">
        <v>25</v>
      </c>
      <c r="K70" s="90" t="s">
        <v>25</v>
      </c>
      <c r="L70" s="90" t="s">
        <v>25</v>
      </c>
      <c r="M70" s="90" t="s">
        <v>25</v>
      </c>
      <c r="N70" s="90" t="s">
        <v>25</v>
      </c>
      <c r="O70" s="90" t="s">
        <v>25</v>
      </c>
    </row>
    <row r="71">
      <c r="A71" s="86"/>
      <c r="B71" s="22">
        <v>67.0</v>
      </c>
      <c r="C71" s="23" t="s">
        <v>164</v>
      </c>
      <c r="D71" s="23" t="s">
        <v>165</v>
      </c>
      <c r="E71" s="88" t="str">
        <f t="shared" si="2"/>
        <v>9번 중 5번 참여</v>
      </c>
      <c r="F71" s="89">
        <f t="shared" si="3"/>
        <v>0.5555555556</v>
      </c>
      <c r="G71" s="90" t="s">
        <v>25</v>
      </c>
      <c r="H71" s="90" t="s">
        <v>25</v>
      </c>
      <c r="I71" s="90" t="s">
        <v>25</v>
      </c>
      <c r="J71" s="90" t="s">
        <v>25</v>
      </c>
      <c r="K71" s="90" t="s">
        <v>25</v>
      </c>
      <c r="L71" s="41"/>
      <c r="M71" s="41"/>
      <c r="N71" s="41"/>
      <c r="O71" s="41"/>
    </row>
    <row r="72">
      <c r="A72" s="92"/>
      <c r="B72" s="30">
        <v>68.0</v>
      </c>
      <c r="C72" s="125" t="s">
        <v>166</v>
      </c>
      <c r="D72" s="125" t="s">
        <v>167</v>
      </c>
      <c r="E72" s="88" t="str">
        <f t="shared" si="2"/>
        <v>9번 중 8번 참여</v>
      </c>
      <c r="F72" s="89">
        <f t="shared" si="3"/>
        <v>0.8888888889</v>
      </c>
      <c r="G72" s="90" t="s">
        <v>25</v>
      </c>
      <c r="H72" s="90" t="s">
        <v>25</v>
      </c>
      <c r="I72" s="90" t="s">
        <v>25</v>
      </c>
      <c r="J72" s="90" t="s">
        <v>25</v>
      </c>
      <c r="K72" s="41"/>
      <c r="L72" s="90" t="s">
        <v>25</v>
      </c>
      <c r="M72" s="90" t="s">
        <v>25</v>
      </c>
      <c r="N72" s="90" t="s">
        <v>25</v>
      </c>
      <c r="O72" s="90" t="s">
        <v>25</v>
      </c>
    </row>
    <row r="73">
      <c r="A73" s="86"/>
      <c r="B73" s="22">
        <v>69.0</v>
      </c>
      <c r="C73" s="23" t="s">
        <v>168</v>
      </c>
      <c r="D73" s="100" t="s">
        <v>169</v>
      </c>
      <c r="E73" s="88" t="str">
        <f t="shared" si="2"/>
        <v>9번 중 7번 참여</v>
      </c>
      <c r="F73" s="89">
        <f t="shared" si="3"/>
        <v>0.7777777778</v>
      </c>
      <c r="G73" s="90" t="s">
        <v>25</v>
      </c>
      <c r="H73" s="90" t="s">
        <v>25</v>
      </c>
      <c r="I73" s="90" t="s">
        <v>25</v>
      </c>
      <c r="J73" s="90" t="s">
        <v>25</v>
      </c>
      <c r="K73" s="90" t="s">
        <v>25</v>
      </c>
      <c r="L73" s="41"/>
      <c r="M73" s="90" t="s">
        <v>25</v>
      </c>
      <c r="N73" s="90" t="s">
        <v>25</v>
      </c>
      <c r="O73" s="41"/>
    </row>
    <row r="74">
      <c r="A74" s="92"/>
      <c r="B74" s="30">
        <v>70.0</v>
      </c>
      <c r="C74" s="31" t="s">
        <v>170</v>
      </c>
      <c r="D74" s="31" t="s">
        <v>171</v>
      </c>
      <c r="E74" s="88" t="str">
        <f t="shared" si="2"/>
        <v>9번 중 9번 참여</v>
      </c>
      <c r="F74" s="89">
        <f t="shared" si="3"/>
        <v>1</v>
      </c>
      <c r="G74" s="90" t="s">
        <v>25</v>
      </c>
      <c r="H74" s="90" t="s">
        <v>25</v>
      </c>
      <c r="I74" s="90" t="s">
        <v>25</v>
      </c>
      <c r="J74" s="90" t="s">
        <v>25</v>
      </c>
      <c r="K74" s="90" t="s">
        <v>25</v>
      </c>
      <c r="L74" s="90" t="s">
        <v>25</v>
      </c>
      <c r="M74" s="90" t="s">
        <v>25</v>
      </c>
      <c r="N74" s="90" t="s">
        <v>25</v>
      </c>
      <c r="O74" s="90" t="s">
        <v>25</v>
      </c>
    </row>
    <row r="75">
      <c r="A75" s="86"/>
      <c r="B75" s="22">
        <v>71.0</v>
      </c>
      <c r="C75" s="23" t="s">
        <v>172</v>
      </c>
      <c r="D75" s="100" t="s">
        <v>173</v>
      </c>
      <c r="E75" s="88" t="str">
        <f t="shared" si="2"/>
        <v>9번 중 9번 참여</v>
      </c>
      <c r="F75" s="89">
        <f t="shared" si="3"/>
        <v>1</v>
      </c>
      <c r="G75" s="90" t="s">
        <v>25</v>
      </c>
      <c r="H75" s="90" t="s">
        <v>25</v>
      </c>
      <c r="I75" s="90" t="s">
        <v>25</v>
      </c>
      <c r="J75" s="90" t="s">
        <v>25</v>
      </c>
      <c r="K75" s="90" t="s">
        <v>25</v>
      </c>
      <c r="L75" s="90" t="s">
        <v>25</v>
      </c>
      <c r="M75" s="90" t="s">
        <v>25</v>
      </c>
      <c r="N75" s="90" t="s">
        <v>25</v>
      </c>
      <c r="O75" s="90" t="s">
        <v>25</v>
      </c>
    </row>
    <row r="76">
      <c r="A76" s="92"/>
      <c r="B76" s="30">
        <v>72.0</v>
      </c>
      <c r="C76" s="31" t="s">
        <v>174</v>
      </c>
      <c r="D76" s="128" t="s">
        <v>175</v>
      </c>
      <c r="E76" s="88" t="str">
        <f t="shared" si="2"/>
        <v>9번 중 5번 참여</v>
      </c>
      <c r="F76" s="89">
        <f t="shared" si="3"/>
        <v>0.5555555556</v>
      </c>
      <c r="G76" s="41"/>
      <c r="H76" s="90" t="s">
        <v>25</v>
      </c>
      <c r="I76" s="90" t="s">
        <v>25</v>
      </c>
      <c r="J76" s="90" t="s">
        <v>25</v>
      </c>
      <c r="K76" s="90" t="s">
        <v>25</v>
      </c>
      <c r="L76" s="41"/>
      <c r="M76" s="41"/>
      <c r="N76" s="90"/>
      <c r="O76" s="90" t="s">
        <v>25</v>
      </c>
    </row>
    <row r="77">
      <c r="A77" s="86"/>
      <c r="B77" s="22">
        <v>73.0</v>
      </c>
      <c r="C77" s="109" t="s">
        <v>176</v>
      </c>
      <c r="D77" s="110" t="s">
        <v>177</v>
      </c>
      <c r="E77" s="88" t="str">
        <f t="shared" si="2"/>
        <v>9번 중 8번 참여</v>
      </c>
      <c r="F77" s="89">
        <f t="shared" si="3"/>
        <v>0.8888888889</v>
      </c>
      <c r="G77" s="90" t="s">
        <v>25</v>
      </c>
      <c r="H77" s="90" t="s">
        <v>25</v>
      </c>
      <c r="I77" s="90" t="s">
        <v>25</v>
      </c>
      <c r="J77" s="90" t="s">
        <v>25</v>
      </c>
      <c r="K77" s="90" t="s">
        <v>25</v>
      </c>
      <c r="L77" s="90" t="s">
        <v>25</v>
      </c>
      <c r="M77" s="90" t="s">
        <v>25</v>
      </c>
      <c r="N77" s="90" t="s">
        <v>25</v>
      </c>
      <c r="O77" s="41"/>
    </row>
    <row r="78">
      <c r="A78" s="92"/>
      <c r="B78" s="30">
        <v>74.0</v>
      </c>
      <c r="C78" s="94" t="s">
        <v>178</v>
      </c>
      <c r="D78" s="129" t="s">
        <v>179</v>
      </c>
      <c r="E78" s="88" t="str">
        <f t="shared" si="2"/>
        <v>9번 중 9번 참여</v>
      </c>
      <c r="F78" s="89">
        <f t="shared" si="3"/>
        <v>1</v>
      </c>
      <c r="G78" s="90" t="s">
        <v>25</v>
      </c>
      <c r="H78" s="90" t="s">
        <v>25</v>
      </c>
      <c r="I78" s="90" t="s">
        <v>25</v>
      </c>
      <c r="J78" s="90" t="s">
        <v>25</v>
      </c>
      <c r="K78" s="90" t="s">
        <v>25</v>
      </c>
      <c r="L78" s="90" t="s">
        <v>25</v>
      </c>
      <c r="M78" s="90" t="s">
        <v>25</v>
      </c>
      <c r="N78" s="90" t="s">
        <v>25</v>
      </c>
      <c r="O78" s="90" t="s">
        <v>25</v>
      </c>
    </row>
    <row r="79">
      <c r="A79" s="86"/>
      <c r="B79" s="22">
        <v>75.0</v>
      </c>
      <c r="C79" s="23" t="s">
        <v>180</v>
      </c>
      <c r="D79" s="100" t="s">
        <v>181</v>
      </c>
      <c r="E79" s="88" t="str">
        <f t="shared" si="2"/>
        <v>9번 중 9번 참여</v>
      </c>
      <c r="F79" s="89">
        <f t="shared" si="3"/>
        <v>1</v>
      </c>
      <c r="G79" s="90" t="s">
        <v>25</v>
      </c>
      <c r="H79" s="90" t="s">
        <v>25</v>
      </c>
      <c r="I79" s="90" t="s">
        <v>25</v>
      </c>
      <c r="J79" s="90" t="s">
        <v>25</v>
      </c>
      <c r="K79" s="90" t="s">
        <v>25</v>
      </c>
      <c r="L79" s="90" t="s">
        <v>25</v>
      </c>
      <c r="M79" s="90" t="s">
        <v>25</v>
      </c>
      <c r="N79" s="90" t="s">
        <v>25</v>
      </c>
      <c r="O79" s="90" t="s">
        <v>25</v>
      </c>
    </row>
    <row r="80">
      <c r="A80" s="92"/>
      <c r="B80" s="30">
        <v>76.0</v>
      </c>
      <c r="C80" s="130" t="s">
        <v>205</v>
      </c>
      <c r="D80" s="113" t="s">
        <v>206</v>
      </c>
      <c r="E80" s="88" t="str">
        <f t="shared" si="2"/>
        <v>9번 중 5번 참여</v>
      </c>
      <c r="F80" s="89">
        <f t="shared" si="3"/>
        <v>0.5555555556</v>
      </c>
      <c r="G80" s="90" t="s">
        <v>25</v>
      </c>
      <c r="H80" s="41"/>
      <c r="I80" s="90" t="s">
        <v>25</v>
      </c>
      <c r="J80" s="41"/>
      <c r="K80" s="90" t="s">
        <v>25</v>
      </c>
      <c r="L80" s="41"/>
      <c r="M80" s="90" t="s">
        <v>25</v>
      </c>
      <c r="N80" s="90" t="s">
        <v>25</v>
      </c>
      <c r="O80" s="41"/>
    </row>
    <row r="81">
      <c r="A81" s="86"/>
      <c r="B81" s="22">
        <v>77.0</v>
      </c>
      <c r="C81" s="50" t="s">
        <v>182</v>
      </c>
      <c r="D81" s="131" t="s">
        <v>183</v>
      </c>
      <c r="E81" s="88" t="str">
        <f t="shared" si="2"/>
        <v>9번 중 7번 참여</v>
      </c>
      <c r="F81" s="89">
        <f t="shared" si="3"/>
        <v>0.7777777778</v>
      </c>
      <c r="G81" s="90" t="s">
        <v>25</v>
      </c>
      <c r="H81" s="90" t="s">
        <v>25</v>
      </c>
      <c r="I81" s="41"/>
      <c r="J81" s="90" t="s">
        <v>25</v>
      </c>
      <c r="K81" s="90" t="s">
        <v>25</v>
      </c>
      <c r="L81" s="90" t="s">
        <v>25</v>
      </c>
      <c r="M81" s="90" t="s">
        <v>25</v>
      </c>
      <c r="N81" s="90" t="s">
        <v>25</v>
      </c>
      <c r="O81" s="41"/>
    </row>
    <row r="82">
      <c r="A82" s="92"/>
      <c r="B82" s="30">
        <v>78.0</v>
      </c>
      <c r="C82" s="101" t="s">
        <v>184</v>
      </c>
      <c r="D82" s="101" t="s">
        <v>185</v>
      </c>
      <c r="E82" s="88" t="str">
        <f t="shared" si="2"/>
        <v>9번 중 8번 참여</v>
      </c>
      <c r="F82" s="89">
        <f t="shared" si="3"/>
        <v>0.8888888889</v>
      </c>
      <c r="G82" s="90" t="s">
        <v>25</v>
      </c>
      <c r="H82" s="90" t="s">
        <v>25</v>
      </c>
      <c r="I82" s="90" t="s">
        <v>25</v>
      </c>
      <c r="J82" s="90" t="s">
        <v>25</v>
      </c>
      <c r="K82" s="90" t="s">
        <v>25</v>
      </c>
      <c r="L82" s="90" t="s">
        <v>25</v>
      </c>
      <c r="M82" s="90" t="s">
        <v>25</v>
      </c>
      <c r="N82" s="90" t="s">
        <v>25</v>
      </c>
      <c r="O82" s="41"/>
    </row>
    <row r="83">
      <c r="A83" s="86"/>
      <c r="B83" s="22">
        <v>79.0</v>
      </c>
      <c r="C83" s="95" t="s">
        <v>128</v>
      </c>
      <c r="D83" s="124" t="s">
        <v>129</v>
      </c>
      <c r="E83" s="88" t="str">
        <f t="shared" si="2"/>
        <v>9번 중 9번 참여</v>
      </c>
      <c r="F83" s="89">
        <f t="shared" si="3"/>
        <v>1</v>
      </c>
      <c r="G83" s="90" t="s">
        <v>25</v>
      </c>
      <c r="H83" s="90" t="s">
        <v>25</v>
      </c>
      <c r="I83" s="90" t="s">
        <v>25</v>
      </c>
      <c r="J83" s="90" t="s">
        <v>25</v>
      </c>
      <c r="K83" s="90" t="s">
        <v>25</v>
      </c>
      <c r="L83" s="90" t="s">
        <v>25</v>
      </c>
      <c r="M83" s="90" t="s">
        <v>25</v>
      </c>
      <c r="N83" s="90" t="s">
        <v>25</v>
      </c>
      <c r="O83" s="90" t="s">
        <v>25</v>
      </c>
    </row>
    <row r="84">
      <c r="A84" s="92"/>
      <c r="B84" s="30">
        <v>80.0</v>
      </c>
      <c r="C84" s="23" t="s">
        <v>124</v>
      </c>
      <c r="D84" s="23" t="s">
        <v>125</v>
      </c>
      <c r="E84" s="88" t="str">
        <f t="shared" si="2"/>
        <v>9번 중 9번 참여</v>
      </c>
      <c r="F84" s="89">
        <f t="shared" si="3"/>
        <v>1</v>
      </c>
      <c r="G84" s="90" t="s">
        <v>25</v>
      </c>
      <c r="H84" s="90" t="s">
        <v>25</v>
      </c>
      <c r="I84" s="90" t="s">
        <v>25</v>
      </c>
      <c r="J84" s="90" t="s">
        <v>25</v>
      </c>
      <c r="K84" s="90" t="s">
        <v>25</v>
      </c>
      <c r="L84" s="90" t="s">
        <v>25</v>
      </c>
      <c r="M84" s="90" t="s">
        <v>25</v>
      </c>
      <c r="N84" s="90" t="s">
        <v>25</v>
      </c>
      <c r="O84" s="90" t="s">
        <v>25</v>
      </c>
    </row>
    <row r="85">
      <c r="A85" s="86"/>
      <c r="B85" s="22">
        <v>81.0</v>
      </c>
      <c r="C85" s="115" t="s">
        <v>115</v>
      </c>
      <c r="D85" s="116" t="s">
        <v>116</v>
      </c>
      <c r="E85" s="88" t="str">
        <f t="shared" si="2"/>
        <v>9번 중 3번 참여</v>
      </c>
      <c r="F85" s="89">
        <f t="shared" si="3"/>
        <v>0.3333333333</v>
      </c>
      <c r="G85" s="41"/>
      <c r="H85" s="90" t="s">
        <v>25</v>
      </c>
      <c r="I85" s="90" t="s">
        <v>25</v>
      </c>
      <c r="J85" s="41"/>
      <c r="K85" s="90" t="s">
        <v>25</v>
      </c>
      <c r="L85" s="41"/>
      <c r="M85" s="41"/>
      <c r="N85" s="41"/>
      <c r="O85" s="41"/>
    </row>
    <row r="86">
      <c r="A86" s="92"/>
      <c r="B86" s="30">
        <v>82.0</v>
      </c>
      <c r="C86" s="101" t="s">
        <v>122</v>
      </c>
      <c r="D86" s="122" t="s">
        <v>123</v>
      </c>
      <c r="E86" s="88" t="str">
        <f t="shared" si="2"/>
        <v/>
      </c>
      <c r="F86" s="89" t="str">
        <f t="shared" si="3"/>
        <v/>
      </c>
      <c r="G86" s="41"/>
      <c r="H86" s="41"/>
      <c r="I86" s="41"/>
      <c r="J86" s="41"/>
      <c r="K86" s="41"/>
      <c r="L86" s="41"/>
      <c r="M86" s="41"/>
      <c r="N86" s="41"/>
      <c r="O86" s="41"/>
    </row>
    <row r="87">
      <c r="A87" s="86"/>
      <c r="B87" s="22">
        <v>83.0</v>
      </c>
      <c r="C87" s="23"/>
      <c r="D87" s="100"/>
      <c r="E87" s="88" t="str">
        <f t="shared" si="2"/>
        <v/>
      </c>
      <c r="F87" s="89" t="str">
        <f t="shared" si="3"/>
        <v/>
      </c>
      <c r="G87" s="41"/>
      <c r="H87" s="41"/>
      <c r="I87" s="41"/>
      <c r="J87" s="41"/>
      <c r="K87" s="41"/>
      <c r="L87" s="41"/>
      <c r="M87" s="41"/>
      <c r="N87" s="41"/>
      <c r="O87" s="41"/>
    </row>
    <row r="88">
      <c r="A88" s="92"/>
      <c r="B88" s="30">
        <v>84.0</v>
      </c>
      <c r="C88" s="94"/>
      <c r="D88" s="129"/>
      <c r="E88" s="88" t="str">
        <f t="shared" si="2"/>
        <v/>
      </c>
      <c r="F88" s="89" t="str">
        <f t="shared" si="3"/>
        <v/>
      </c>
      <c r="G88" s="41"/>
      <c r="H88" s="41"/>
      <c r="I88" s="41"/>
      <c r="J88" s="41"/>
      <c r="K88" s="41"/>
      <c r="L88" s="41"/>
      <c r="M88" s="41"/>
      <c r="N88" s="41"/>
      <c r="O88" s="41"/>
    </row>
    <row r="89">
      <c r="A89" s="86"/>
      <c r="B89" s="22">
        <v>85.0</v>
      </c>
      <c r="C89" s="109"/>
      <c r="D89" s="110"/>
      <c r="E89" s="88" t="str">
        <f t="shared" si="2"/>
        <v/>
      </c>
      <c r="F89" s="89" t="str">
        <f t="shared" si="3"/>
        <v/>
      </c>
      <c r="G89" s="41"/>
      <c r="H89" s="41"/>
      <c r="I89" s="41"/>
      <c r="J89" s="41"/>
      <c r="K89" s="41"/>
      <c r="L89" s="41"/>
      <c r="M89" s="41"/>
      <c r="N89" s="41"/>
      <c r="O89" s="41"/>
    </row>
    <row r="90">
      <c r="A90" s="92"/>
      <c r="B90" s="30">
        <v>86.0</v>
      </c>
      <c r="C90" s="94"/>
      <c r="D90" s="129"/>
      <c r="E90" s="88" t="str">
        <f t="shared" si="2"/>
        <v/>
      </c>
      <c r="F90" s="89" t="str">
        <f t="shared" si="3"/>
        <v/>
      </c>
      <c r="G90" s="41"/>
      <c r="H90" s="41"/>
      <c r="I90" s="41"/>
      <c r="J90" s="41"/>
      <c r="K90" s="41"/>
      <c r="L90" s="41"/>
      <c r="M90" s="41"/>
      <c r="N90" s="41"/>
      <c r="O90" s="41"/>
    </row>
    <row r="91">
      <c r="A91" s="86"/>
      <c r="B91" s="22">
        <v>87.0</v>
      </c>
      <c r="C91" s="23"/>
      <c r="D91" s="100"/>
      <c r="E91" s="88" t="str">
        <f t="shared" si="2"/>
        <v/>
      </c>
      <c r="F91" s="89" t="str">
        <f t="shared" si="3"/>
        <v/>
      </c>
      <c r="G91" s="41"/>
      <c r="H91" s="41"/>
      <c r="I91" s="41"/>
      <c r="J91" s="41"/>
      <c r="K91" s="41"/>
      <c r="L91" s="41"/>
      <c r="M91" s="41"/>
      <c r="N91" s="41"/>
      <c r="O91" s="41"/>
    </row>
    <row r="92">
      <c r="A92" s="92"/>
      <c r="B92" s="30">
        <v>88.0</v>
      </c>
      <c r="C92" s="61"/>
      <c r="D92" s="148"/>
      <c r="E92" s="88" t="str">
        <f t="shared" si="2"/>
        <v/>
      </c>
      <c r="F92" s="89" t="str">
        <f t="shared" si="3"/>
        <v/>
      </c>
      <c r="G92" s="41"/>
      <c r="H92" s="41"/>
      <c r="I92" s="41"/>
      <c r="J92" s="41"/>
      <c r="K92" s="41"/>
      <c r="L92" s="41"/>
      <c r="M92" s="41"/>
      <c r="N92" s="41"/>
      <c r="O92" s="41"/>
    </row>
    <row r="93">
      <c r="A93" s="86"/>
      <c r="B93" s="22">
        <v>89.0</v>
      </c>
      <c r="C93" s="111"/>
      <c r="D93" s="149"/>
      <c r="E93" s="88" t="str">
        <f t="shared" si="2"/>
        <v/>
      </c>
      <c r="F93" s="89" t="str">
        <f t="shared" si="3"/>
        <v/>
      </c>
      <c r="G93" s="41"/>
      <c r="H93" s="41"/>
      <c r="I93" s="41"/>
      <c r="J93" s="41"/>
      <c r="K93" s="41"/>
      <c r="L93" s="41"/>
      <c r="M93" s="41"/>
      <c r="N93" s="41"/>
      <c r="O93" s="41"/>
    </row>
    <row r="94">
      <c r="A94" s="92"/>
      <c r="B94" s="30">
        <v>90.0</v>
      </c>
      <c r="C94" s="130"/>
      <c r="D94" s="113"/>
      <c r="E94" s="88" t="str">
        <f t="shared" si="2"/>
        <v/>
      </c>
      <c r="F94" s="89" t="str">
        <f t="shared" si="3"/>
        <v/>
      </c>
      <c r="G94" s="41"/>
      <c r="H94" s="41"/>
      <c r="I94" s="41"/>
      <c r="J94" s="41"/>
      <c r="K94" s="41"/>
      <c r="L94" s="41"/>
      <c r="M94" s="41"/>
      <c r="N94" s="41"/>
      <c r="O94" s="41"/>
    </row>
    <row r="95">
      <c r="A95" s="86"/>
      <c r="B95" s="22">
        <v>91.0</v>
      </c>
      <c r="C95" s="50"/>
      <c r="D95" s="131"/>
      <c r="E95" s="88" t="str">
        <f t="shared" si="2"/>
        <v/>
      </c>
      <c r="F95" s="89" t="str">
        <f t="shared" si="3"/>
        <v/>
      </c>
      <c r="G95" s="41"/>
      <c r="H95" s="41"/>
      <c r="I95" s="41"/>
      <c r="J95" s="41"/>
      <c r="K95" s="41"/>
      <c r="L95" s="41"/>
      <c r="M95" s="41"/>
      <c r="N95" s="41"/>
      <c r="O95" s="41"/>
    </row>
    <row r="96">
      <c r="A96" s="92"/>
      <c r="B96" s="30">
        <v>92.0</v>
      </c>
      <c r="C96" s="67"/>
      <c r="D96" s="67"/>
      <c r="E96" s="88" t="str">
        <f t="shared" si="2"/>
        <v/>
      </c>
      <c r="F96" s="89" t="str">
        <f t="shared" si="3"/>
        <v/>
      </c>
      <c r="G96" s="41"/>
      <c r="H96" s="41"/>
      <c r="I96" s="41"/>
      <c r="J96" s="41"/>
      <c r="K96" s="41"/>
      <c r="L96" s="41"/>
      <c r="M96" s="41"/>
      <c r="N96" s="41"/>
      <c r="O96" s="41"/>
    </row>
    <row r="97">
      <c r="A97" s="86"/>
      <c r="B97" s="22">
        <v>93.0</v>
      </c>
      <c r="C97" s="68"/>
      <c r="D97" s="68"/>
      <c r="E97" s="88" t="str">
        <f t="shared" si="2"/>
        <v/>
      </c>
      <c r="F97" s="89" t="str">
        <f t="shared" si="3"/>
        <v/>
      </c>
      <c r="G97" s="41"/>
      <c r="H97" s="41"/>
      <c r="I97" s="41"/>
      <c r="J97" s="41"/>
      <c r="K97" s="41"/>
      <c r="L97" s="41"/>
      <c r="M97" s="41"/>
      <c r="N97" s="41"/>
      <c r="O97" s="41"/>
    </row>
    <row r="98">
      <c r="A98" s="92"/>
      <c r="B98" s="30">
        <v>94.0</v>
      </c>
      <c r="C98" s="67"/>
      <c r="D98" s="67"/>
      <c r="E98" s="88" t="str">
        <f t="shared" si="2"/>
        <v/>
      </c>
      <c r="F98" s="89" t="str">
        <f t="shared" si="3"/>
        <v/>
      </c>
      <c r="G98" s="41"/>
      <c r="H98" s="41"/>
      <c r="I98" s="41"/>
      <c r="J98" s="41"/>
      <c r="K98" s="41"/>
      <c r="L98" s="41"/>
      <c r="M98" s="41"/>
      <c r="N98" s="41"/>
      <c r="O98" s="41"/>
    </row>
    <row r="99">
      <c r="A99" s="86"/>
      <c r="B99" s="22">
        <v>95.0</v>
      </c>
      <c r="C99" s="68"/>
      <c r="D99" s="68"/>
      <c r="E99" s="88" t="str">
        <f t="shared" si="2"/>
        <v/>
      </c>
      <c r="F99" s="89" t="str">
        <f t="shared" si="3"/>
        <v/>
      </c>
      <c r="G99" s="41"/>
      <c r="H99" s="41"/>
      <c r="I99" s="41"/>
      <c r="J99" s="41"/>
      <c r="K99" s="41"/>
      <c r="L99" s="41"/>
      <c r="M99" s="41"/>
      <c r="N99" s="41"/>
      <c r="O99" s="41"/>
    </row>
    <row r="100">
      <c r="A100" s="92"/>
      <c r="B100" s="30">
        <v>96.0</v>
      </c>
      <c r="C100" s="67"/>
      <c r="D100" s="67"/>
      <c r="E100" s="88" t="str">
        <f t="shared" si="2"/>
        <v/>
      </c>
      <c r="F100" s="89" t="str">
        <f t="shared" si="3"/>
        <v/>
      </c>
      <c r="G100" s="41"/>
      <c r="H100" s="41"/>
      <c r="I100" s="41"/>
      <c r="J100" s="41"/>
      <c r="K100" s="41"/>
      <c r="L100" s="41"/>
      <c r="M100" s="41"/>
      <c r="N100" s="41"/>
      <c r="O100" s="41"/>
    </row>
    <row r="101">
      <c r="A101" s="86"/>
      <c r="B101" s="22">
        <v>97.0</v>
      </c>
      <c r="C101" s="68"/>
      <c r="D101" s="68"/>
      <c r="E101" s="88" t="str">
        <f t="shared" si="2"/>
        <v/>
      </c>
      <c r="F101" s="89" t="str">
        <f t="shared" si="3"/>
        <v/>
      </c>
      <c r="G101" s="41"/>
      <c r="H101" s="41"/>
      <c r="I101" s="41"/>
      <c r="J101" s="41"/>
      <c r="K101" s="41"/>
      <c r="L101" s="41"/>
      <c r="M101" s="41"/>
      <c r="N101" s="41"/>
      <c r="O101" s="41"/>
    </row>
    <row r="102">
      <c r="A102" s="92"/>
      <c r="B102" s="30">
        <v>98.0</v>
      </c>
      <c r="C102" s="67"/>
      <c r="D102" s="67"/>
      <c r="E102" s="88" t="str">
        <f t="shared" si="2"/>
        <v/>
      </c>
      <c r="F102" s="89" t="str">
        <f t="shared" si="3"/>
        <v/>
      </c>
      <c r="G102" s="41"/>
      <c r="H102" s="41"/>
      <c r="I102" s="41"/>
      <c r="J102" s="41"/>
      <c r="K102" s="41"/>
      <c r="L102" s="41"/>
      <c r="M102" s="41"/>
      <c r="N102" s="41"/>
      <c r="O102" s="41"/>
    </row>
    <row r="103">
      <c r="A103" s="86"/>
      <c r="B103" s="22">
        <v>99.0</v>
      </c>
      <c r="C103" s="68"/>
      <c r="D103" s="68"/>
      <c r="E103" s="88" t="str">
        <f t="shared" si="2"/>
        <v/>
      </c>
      <c r="F103" s="89" t="str">
        <f t="shared" si="3"/>
        <v/>
      </c>
      <c r="G103" s="41"/>
      <c r="H103" s="41"/>
      <c r="I103" s="41"/>
      <c r="J103" s="41"/>
      <c r="K103" s="41"/>
      <c r="L103" s="41"/>
      <c r="M103" s="41"/>
      <c r="N103" s="41"/>
      <c r="O103" s="41"/>
    </row>
    <row r="104">
      <c r="A104" s="92"/>
      <c r="B104" s="30">
        <v>100.0</v>
      </c>
      <c r="C104" s="67"/>
      <c r="D104" s="67"/>
      <c r="E104" s="88" t="str">
        <f t="shared" si="2"/>
        <v/>
      </c>
      <c r="F104" s="89" t="str">
        <f t="shared" si="3"/>
        <v/>
      </c>
      <c r="G104" s="41"/>
      <c r="H104" s="41"/>
      <c r="I104" s="41"/>
      <c r="J104" s="41"/>
      <c r="K104" s="41"/>
      <c r="L104" s="41"/>
      <c r="M104" s="41"/>
      <c r="N104" s="41"/>
      <c r="O104" s="41"/>
    </row>
    <row r="105">
      <c r="A105" s="86"/>
      <c r="B105" s="22">
        <v>101.0</v>
      </c>
      <c r="C105" s="68"/>
      <c r="D105" s="68"/>
      <c r="E105" s="88" t="str">
        <f t="shared" si="2"/>
        <v/>
      </c>
      <c r="F105" s="89" t="str">
        <f t="shared" si="3"/>
        <v/>
      </c>
      <c r="G105" s="41"/>
      <c r="H105" s="41"/>
      <c r="I105" s="41"/>
      <c r="J105" s="41"/>
      <c r="K105" s="41"/>
      <c r="L105" s="41"/>
      <c r="M105" s="41"/>
      <c r="N105" s="41"/>
      <c r="O105" s="41"/>
    </row>
    <row r="106">
      <c r="A106" s="92"/>
      <c r="B106" s="30">
        <v>102.0</v>
      </c>
      <c r="C106" s="67"/>
      <c r="D106" s="67"/>
      <c r="E106" s="88" t="str">
        <f t="shared" si="2"/>
        <v/>
      </c>
      <c r="F106" s="89" t="str">
        <f t="shared" si="3"/>
        <v/>
      </c>
      <c r="G106" s="41"/>
      <c r="H106" s="41"/>
      <c r="I106" s="41"/>
      <c r="J106" s="41"/>
      <c r="K106" s="41"/>
      <c r="L106" s="41"/>
      <c r="M106" s="41"/>
      <c r="N106" s="41"/>
      <c r="O106" s="41"/>
    </row>
    <row r="107">
      <c r="A107" s="86"/>
      <c r="B107" s="22">
        <v>103.0</v>
      </c>
      <c r="C107" s="68"/>
      <c r="D107" s="68"/>
      <c r="E107" s="88" t="str">
        <f t="shared" si="2"/>
        <v/>
      </c>
      <c r="F107" s="89" t="str">
        <f t="shared" si="3"/>
        <v/>
      </c>
      <c r="G107" s="41"/>
      <c r="H107" s="41"/>
      <c r="I107" s="41"/>
      <c r="J107" s="41"/>
      <c r="K107" s="41"/>
      <c r="L107" s="41"/>
      <c r="M107" s="41"/>
      <c r="N107" s="41"/>
      <c r="O107" s="41"/>
    </row>
    <row r="108">
      <c r="A108" s="92"/>
      <c r="B108" s="30">
        <v>104.0</v>
      </c>
      <c r="C108" s="67"/>
      <c r="D108" s="67"/>
      <c r="E108" s="88" t="str">
        <f t="shared" si="2"/>
        <v/>
      </c>
      <c r="F108" s="89" t="str">
        <f t="shared" si="3"/>
        <v/>
      </c>
      <c r="G108" s="41"/>
      <c r="H108" s="41"/>
      <c r="I108" s="41"/>
      <c r="J108" s="41"/>
      <c r="K108" s="41"/>
      <c r="L108" s="41"/>
      <c r="M108" s="41"/>
      <c r="N108" s="41"/>
      <c r="O108" s="41"/>
    </row>
    <row r="109">
      <c r="A109" s="86"/>
      <c r="B109" s="22">
        <v>105.0</v>
      </c>
      <c r="C109" s="68"/>
      <c r="D109" s="68"/>
      <c r="E109" s="88" t="str">
        <f t="shared" si="2"/>
        <v/>
      </c>
      <c r="F109" s="89" t="str">
        <f t="shared" si="3"/>
        <v/>
      </c>
      <c r="G109" s="41"/>
      <c r="H109" s="41"/>
      <c r="I109" s="41"/>
      <c r="J109" s="41"/>
      <c r="K109" s="41"/>
      <c r="L109" s="41"/>
      <c r="M109" s="41"/>
      <c r="N109" s="41"/>
      <c r="O109" s="41"/>
    </row>
    <row r="110">
      <c r="A110" s="92"/>
      <c r="B110" s="30">
        <v>106.0</v>
      </c>
      <c r="C110" s="67"/>
      <c r="D110" s="67"/>
      <c r="E110" s="88" t="str">
        <f t="shared" si="2"/>
        <v/>
      </c>
      <c r="F110" s="89" t="str">
        <f t="shared" si="3"/>
        <v/>
      </c>
      <c r="G110" s="41"/>
      <c r="H110" s="41"/>
      <c r="I110" s="41"/>
      <c r="J110" s="41"/>
      <c r="K110" s="41"/>
      <c r="L110" s="41"/>
      <c r="M110" s="41"/>
      <c r="N110" s="41"/>
      <c r="O110" s="41"/>
    </row>
    <row r="111">
      <c r="A111" s="86"/>
      <c r="B111" s="22">
        <v>107.0</v>
      </c>
      <c r="C111" s="68"/>
      <c r="D111" s="68"/>
      <c r="E111" s="88" t="str">
        <f t="shared" si="2"/>
        <v/>
      </c>
      <c r="F111" s="89" t="str">
        <f t="shared" si="3"/>
        <v/>
      </c>
      <c r="G111" s="41"/>
      <c r="H111" s="41"/>
      <c r="I111" s="41"/>
      <c r="J111" s="41"/>
      <c r="K111" s="41"/>
      <c r="L111" s="41"/>
      <c r="M111" s="41"/>
      <c r="N111" s="41"/>
      <c r="O111" s="41"/>
    </row>
    <row r="112">
      <c r="A112" s="92"/>
      <c r="B112" s="30">
        <v>108.0</v>
      </c>
      <c r="C112" s="67"/>
      <c r="D112" s="67"/>
      <c r="E112" s="88" t="str">
        <f t="shared" si="2"/>
        <v/>
      </c>
      <c r="F112" s="89" t="str">
        <f t="shared" si="3"/>
        <v/>
      </c>
      <c r="G112" s="41"/>
      <c r="H112" s="41"/>
      <c r="I112" s="41"/>
      <c r="J112" s="41"/>
      <c r="K112" s="41"/>
      <c r="L112" s="41"/>
      <c r="M112" s="41"/>
      <c r="N112" s="41"/>
      <c r="O112" s="41"/>
    </row>
    <row r="113">
      <c r="A113" s="86"/>
      <c r="B113" s="22">
        <v>109.0</v>
      </c>
      <c r="C113" s="68"/>
      <c r="D113" s="68"/>
      <c r="E113" s="88" t="str">
        <f t="shared" si="2"/>
        <v/>
      </c>
      <c r="F113" s="89" t="str">
        <f t="shared" si="3"/>
        <v/>
      </c>
      <c r="G113" s="41"/>
      <c r="H113" s="41"/>
      <c r="I113" s="41"/>
      <c r="J113" s="41"/>
      <c r="K113" s="41"/>
      <c r="L113" s="41"/>
      <c r="M113" s="41"/>
      <c r="N113" s="41"/>
      <c r="O113" s="41"/>
    </row>
    <row r="114">
      <c r="A114" s="92"/>
      <c r="B114" s="30">
        <v>110.0</v>
      </c>
      <c r="C114" s="67"/>
      <c r="D114" s="67"/>
      <c r="E114" s="88" t="str">
        <f t="shared" si="2"/>
        <v/>
      </c>
      <c r="F114" s="89" t="str">
        <f t="shared" si="3"/>
        <v/>
      </c>
      <c r="G114" s="41"/>
      <c r="H114" s="41"/>
      <c r="I114" s="41"/>
      <c r="J114" s="41"/>
      <c r="K114" s="41"/>
      <c r="L114" s="41"/>
      <c r="M114" s="41"/>
      <c r="N114" s="41"/>
      <c r="O114" s="41"/>
    </row>
    <row r="115">
      <c r="A115" s="86"/>
      <c r="B115" s="22">
        <v>111.0</v>
      </c>
      <c r="C115" s="68"/>
      <c r="D115" s="68"/>
      <c r="E115" s="88" t="str">
        <f t="shared" si="2"/>
        <v/>
      </c>
      <c r="F115" s="89" t="str">
        <f t="shared" si="3"/>
        <v/>
      </c>
      <c r="G115" s="41"/>
      <c r="H115" s="41"/>
      <c r="I115" s="41"/>
      <c r="J115" s="41"/>
      <c r="K115" s="41"/>
      <c r="L115" s="41"/>
      <c r="M115" s="41"/>
      <c r="N115" s="41"/>
      <c r="O115" s="41"/>
    </row>
    <row r="116">
      <c r="A116" s="92"/>
      <c r="B116" s="30">
        <v>112.0</v>
      </c>
      <c r="C116" s="67"/>
      <c r="D116" s="67"/>
      <c r="E116" s="88" t="str">
        <f t="shared" si="2"/>
        <v/>
      </c>
      <c r="F116" s="89" t="str">
        <f t="shared" si="3"/>
        <v/>
      </c>
      <c r="G116" s="41"/>
      <c r="H116" s="41"/>
      <c r="I116" s="41"/>
      <c r="J116" s="41"/>
      <c r="K116" s="41"/>
      <c r="L116" s="41"/>
      <c r="M116" s="41"/>
      <c r="N116" s="41"/>
      <c r="O116" s="41"/>
    </row>
    <row r="117">
      <c r="A117" s="86"/>
      <c r="B117" s="22">
        <v>113.0</v>
      </c>
      <c r="C117" s="68"/>
      <c r="D117" s="68"/>
      <c r="E117" s="88" t="str">
        <f t="shared" si="2"/>
        <v/>
      </c>
      <c r="F117" s="89" t="str">
        <f t="shared" si="3"/>
        <v/>
      </c>
      <c r="G117" s="41"/>
      <c r="H117" s="41"/>
      <c r="I117" s="41"/>
      <c r="J117" s="41"/>
      <c r="K117" s="41"/>
      <c r="L117" s="41"/>
      <c r="M117" s="41"/>
      <c r="N117" s="41"/>
      <c r="O117" s="41"/>
    </row>
    <row r="118">
      <c r="A118" s="92"/>
      <c r="B118" s="30">
        <v>114.0</v>
      </c>
      <c r="C118" s="67"/>
      <c r="D118" s="67"/>
      <c r="E118" s="88" t="str">
        <f t="shared" si="2"/>
        <v/>
      </c>
      <c r="F118" s="89" t="str">
        <f t="shared" si="3"/>
        <v/>
      </c>
      <c r="G118" s="41"/>
      <c r="H118" s="41"/>
      <c r="I118" s="41"/>
      <c r="J118" s="41"/>
      <c r="K118" s="41"/>
      <c r="L118" s="41"/>
      <c r="M118" s="41"/>
      <c r="N118" s="41"/>
      <c r="O118" s="41"/>
    </row>
    <row r="119">
      <c r="A119" s="86"/>
      <c r="B119" s="22">
        <v>115.0</v>
      </c>
      <c r="C119" s="68"/>
      <c r="D119" s="68"/>
      <c r="E119" s="88" t="str">
        <f t="shared" si="2"/>
        <v/>
      </c>
      <c r="F119" s="89" t="str">
        <f t="shared" si="3"/>
        <v/>
      </c>
      <c r="G119" s="41"/>
      <c r="H119" s="41"/>
      <c r="I119" s="41"/>
      <c r="J119" s="41"/>
      <c r="K119" s="41"/>
      <c r="L119" s="41"/>
      <c r="M119" s="41"/>
      <c r="N119" s="41"/>
      <c r="O119" s="41"/>
    </row>
    <row r="120">
      <c r="A120" s="92"/>
      <c r="B120" s="30">
        <v>116.0</v>
      </c>
      <c r="C120" s="67"/>
      <c r="D120" s="67"/>
      <c r="E120" s="88" t="str">
        <f t="shared" si="2"/>
        <v/>
      </c>
      <c r="F120" s="89" t="str">
        <f t="shared" si="3"/>
        <v/>
      </c>
      <c r="G120" s="41"/>
      <c r="H120" s="41"/>
      <c r="I120" s="41"/>
      <c r="J120" s="41"/>
      <c r="K120" s="41"/>
      <c r="L120" s="41"/>
      <c r="M120" s="41"/>
      <c r="N120" s="41"/>
      <c r="O120" s="41"/>
    </row>
    <row r="121">
      <c r="A121" s="86"/>
      <c r="B121" s="22">
        <v>117.0</v>
      </c>
      <c r="C121" s="68"/>
      <c r="D121" s="68"/>
      <c r="E121" s="88" t="str">
        <f t="shared" si="2"/>
        <v/>
      </c>
      <c r="F121" s="89" t="str">
        <f t="shared" si="3"/>
        <v/>
      </c>
      <c r="G121" s="41"/>
      <c r="H121" s="41"/>
      <c r="I121" s="41"/>
      <c r="J121" s="41"/>
      <c r="K121" s="41"/>
      <c r="L121" s="41"/>
      <c r="M121" s="41"/>
      <c r="N121" s="41"/>
      <c r="O121" s="41"/>
    </row>
    <row r="122">
      <c r="A122" s="137"/>
      <c r="B122" s="69">
        <v>118.0</v>
      </c>
      <c r="C122" s="70"/>
      <c r="D122" s="70"/>
      <c r="E122" s="88" t="str">
        <f t="shared" si="2"/>
        <v/>
      </c>
      <c r="F122" s="89" t="str">
        <f t="shared" si="3"/>
        <v/>
      </c>
      <c r="G122" s="73"/>
      <c r="H122" s="73"/>
      <c r="I122" s="73"/>
      <c r="J122" s="73"/>
      <c r="K122" s="73"/>
      <c r="L122" s="73"/>
      <c r="M122" s="73"/>
      <c r="N122" s="73"/>
      <c r="O122" s="73"/>
    </row>
    <row r="123">
      <c r="A123" s="137"/>
      <c r="B123" s="69">
        <v>119.0</v>
      </c>
      <c r="C123" s="70"/>
      <c r="D123" s="70"/>
      <c r="E123" s="88" t="str">
        <f t="shared" si="2"/>
        <v/>
      </c>
      <c r="F123" s="89" t="str">
        <f t="shared" si="3"/>
        <v/>
      </c>
      <c r="G123" s="73"/>
      <c r="H123" s="73"/>
      <c r="I123" s="73"/>
      <c r="J123" s="73"/>
      <c r="K123" s="73"/>
      <c r="L123" s="73"/>
      <c r="M123" s="73"/>
      <c r="N123" s="73"/>
      <c r="O123" s="73"/>
    </row>
    <row r="124">
      <c r="A124" s="137"/>
      <c r="B124" s="69">
        <v>120.0</v>
      </c>
      <c r="C124" s="70"/>
      <c r="D124" s="70"/>
      <c r="E124" s="88" t="str">
        <f t="shared" si="2"/>
        <v/>
      </c>
      <c r="F124" s="89" t="str">
        <f t="shared" si="3"/>
        <v/>
      </c>
      <c r="G124" s="73"/>
      <c r="H124" s="73"/>
      <c r="I124" s="73"/>
      <c r="J124" s="73"/>
      <c r="K124" s="73"/>
      <c r="L124" s="73"/>
      <c r="M124" s="73"/>
      <c r="N124" s="73"/>
      <c r="O124" s="73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</row>
  </sheetData>
  <mergeCells count="2">
    <mergeCell ref="B1:D2"/>
    <mergeCell ref="E1:F2"/>
  </mergeCells>
  <dataValidations>
    <dataValidation type="list" allowBlank="1" showErrorMessage="1" sqref="G4:O124">
      <formula1>"선택,완료"</formula1>
    </dataValidation>
  </dataValidations>
  <hyperlinks>
    <hyperlink r:id="rId1" ref="D5"/>
    <hyperlink r:id="rId2" ref="D22"/>
    <hyperlink r:id="rId3" ref="D23"/>
    <hyperlink r:id="rId4" ref="D28"/>
    <hyperlink r:id="rId5" ref="D29"/>
    <hyperlink r:id="rId6" ref="D33"/>
    <hyperlink r:id="rId7" ref="D42"/>
    <hyperlink r:id="rId8" ref="D64"/>
    <hyperlink r:id="rId9" ref="D76"/>
    <hyperlink r:id="rId10" ref="D85"/>
  </hyperlinks>
  <drawing r:id="rId11"/>
  <tableParts count="1">
    <tablePart r:id="rId1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18.63"/>
    <col customWidth="1" min="3" max="3" width="21.13"/>
  </cols>
  <sheetData>
    <row r="1">
      <c r="A1" s="75" t="s">
        <v>0</v>
      </c>
      <c r="D1" s="3" t="s">
        <v>1</v>
      </c>
      <c r="F1" s="143" t="s">
        <v>285</v>
      </c>
      <c r="G1" s="143" t="s">
        <v>286</v>
      </c>
      <c r="H1" s="143" t="s">
        <v>287</v>
      </c>
      <c r="I1" s="143" t="s">
        <v>288</v>
      </c>
      <c r="J1" s="143" t="s">
        <v>289</v>
      </c>
      <c r="K1" s="143" t="s">
        <v>290</v>
      </c>
      <c r="L1" s="143" t="s">
        <v>291</v>
      </c>
      <c r="M1" s="143" t="s">
        <v>292</v>
      </c>
      <c r="N1" s="143" t="s">
        <v>293</v>
      </c>
    </row>
    <row r="2">
      <c r="F2" s="78" t="s">
        <v>294</v>
      </c>
      <c r="G2" s="78" t="s">
        <v>295</v>
      </c>
      <c r="H2" s="78" t="s">
        <v>296</v>
      </c>
      <c r="I2" s="78" t="s">
        <v>297</v>
      </c>
      <c r="J2" s="78" t="s">
        <v>298</v>
      </c>
      <c r="K2" s="78" t="s">
        <v>299</v>
      </c>
      <c r="L2" s="78" t="s">
        <v>300</v>
      </c>
      <c r="M2" s="78" t="s">
        <v>301</v>
      </c>
      <c r="N2" s="78" t="s">
        <v>302</v>
      </c>
    </row>
    <row r="3">
      <c r="A3" s="1"/>
      <c r="B3" s="1"/>
      <c r="C3" s="1"/>
      <c r="D3" s="9"/>
      <c r="E3" s="9"/>
      <c r="F3" s="11" t="str">
        <f t="shared" ref="F3:N3" si="1">COUNTIF(F5:F200, "완료") &amp; "명 완료"
</f>
        <v>58명 완료</v>
      </c>
      <c r="G3" s="11" t="str">
        <f t="shared" si="1"/>
        <v>56명 완료</v>
      </c>
      <c r="H3" s="11" t="str">
        <f t="shared" si="1"/>
        <v>61명 완료</v>
      </c>
      <c r="I3" s="11" t="str">
        <f t="shared" si="1"/>
        <v>62명 완료</v>
      </c>
      <c r="J3" s="11" t="str">
        <f t="shared" si="1"/>
        <v>62명 완료</v>
      </c>
      <c r="K3" s="11" t="str">
        <f t="shared" si="1"/>
        <v>56명 완료</v>
      </c>
      <c r="L3" s="11" t="str">
        <f t="shared" si="1"/>
        <v>62명 완료</v>
      </c>
      <c r="M3" s="11" t="str">
        <f t="shared" si="1"/>
        <v>57명 완료</v>
      </c>
      <c r="N3" s="11" t="str">
        <f t="shared" si="1"/>
        <v>54명 완료</v>
      </c>
    </row>
    <row r="4">
      <c r="A4" s="81" t="s">
        <v>20</v>
      </c>
      <c r="B4" s="82" t="s">
        <v>21</v>
      </c>
      <c r="C4" s="82" t="s">
        <v>22</v>
      </c>
      <c r="D4" s="83" t="s">
        <v>23</v>
      </c>
      <c r="E4" s="83" t="s">
        <v>24</v>
      </c>
      <c r="F4" s="150" t="s">
        <v>25</v>
      </c>
      <c r="G4" s="150" t="s">
        <v>25</v>
      </c>
      <c r="H4" s="150" t="s">
        <v>25</v>
      </c>
      <c r="I4" s="150" t="s">
        <v>25</v>
      </c>
      <c r="J4" s="150" t="s">
        <v>25</v>
      </c>
      <c r="K4" s="150" t="s">
        <v>25</v>
      </c>
      <c r="L4" s="150" t="s">
        <v>25</v>
      </c>
      <c r="M4" s="150" t="s">
        <v>25</v>
      </c>
      <c r="N4" s="150" t="s">
        <v>25</v>
      </c>
    </row>
    <row r="5">
      <c r="A5" s="22">
        <v>1.0</v>
      </c>
      <c r="B5" s="23" t="s">
        <v>26</v>
      </c>
      <c r="C5" s="87" t="s">
        <v>27</v>
      </c>
      <c r="D5" s="88" t="str">
        <f t="shared" ref="D5:D124" si="2">IF(COUNTIF(F5:N5, "완료")=0, "", COUNTIF($F$4:$N$4, "완료") &amp; "번 중 " &amp; COUNTIF(F5:N5, "완료") &amp; "번 참여")
</f>
        <v>9번 중 9번 참여</v>
      </c>
      <c r="E5" s="89">
        <f t="shared" ref="E5:E124" si="3">IF(COUNTIF($F$4:$N$4, "완료")=0, "", IF(COUNTIF(F5:N5, "완료")=0, "", COUNTIF(F5:N5, "완료") / COUNTIF($F$4:$N$4, "완료")))
</f>
        <v>1</v>
      </c>
      <c r="F5" s="90" t="s">
        <v>25</v>
      </c>
      <c r="G5" s="90" t="s">
        <v>25</v>
      </c>
      <c r="H5" s="90" t="s">
        <v>25</v>
      </c>
      <c r="I5" s="90" t="s">
        <v>25</v>
      </c>
      <c r="J5" s="90" t="s">
        <v>25</v>
      </c>
      <c r="K5" s="90" t="s">
        <v>25</v>
      </c>
      <c r="L5" s="90" t="s">
        <v>25</v>
      </c>
      <c r="M5" s="90" t="s">
        <v>25</v>
      </c>
      <c r="N5" s="90" t="s">
        <v>25</v>
      </c>
    </row>
    <row r="6">
      <c r="A6" s="30">
        <v>2.0</v>
      </c>
      <c r="B6" s="93" t="s">
        <v>28</v>
      </c>
      <c r="C6" s="93" t="s">
        <v>29</v>
      </c>
      <c r="D6" s="88" t="str">
        <f t="shared" si="2"/>
        <v>9번 중 9번 참여</v>
      </c>
      <c r="E6" s="89">
        <f t="shared" si="3"/>
        <v>1</v>
      </c>
      <c r="F6" s="90" t="s">
        <v>25</v>
      </c>
      <c r="G6" s="90" t="s">
        <v>25</v>
      </c>
      <c r="H6" s="90" t="s">
        <v>25</v>
      </c>
      <c r="I6" s="90" t="s">
        <v>25</v>
      </c>
      <c r="J6" s="90" t="s">
        <v>25</v>
      </c>
      <c r="K6" s="90" t="s">
        <v>25</v>
      </c>
      <c r="L6" s="90" t="s">
        <v>25</v>
      </c>
      <c r="M6" s="90" t="s">
        <v>25</v>
      </c>
      <c r="N6" s="90" t="s">
        <v>25</v>
      </c>
    </row>
    <row r="7">
      <c r="A7" s="22">
        <v>3.0</v>
      </c>
      <c r="B7" s="31" t="s">
        <v>30</v>
      </c>
      <c r="C7" s="31" t="s">
        <v>31</v>
      </c>
      <c r="D7" s="88" t="str">
        <f t="shared" si="2"/>
        <v>9번 중 8번 참여</v>
      </c>
      <c r="E7" s="89">
        <f t="shared" si="3"/>
        <v>0.8888888889</v>
      </c>
      <c r="F7" s="90" t="s">
        <v>25</v>
      </c>
      <c r="G7" s="90" t="s">
        <v>25</v>
      </c>
      <c r="H7" s="90" t="s">
        <v>25</v>
      </c>
      <c r="I7" s="90" t="s">
        <v>25</v>
      </c>
      <c r="J7" s="90" t="s">
        <v>25</v>
      </c>
      <c r="K7" s="90" t="s">
        <v>25</v>
      </c>
      <c r="L7" s="90" t="s">
        <v>25</v>
      </c>
      <c r="M7" s="90" t="s">
        <v>25</v>
      </c>
      <c r="N7" s="41"/>
    </row>
    <row r="8">
      <c r="A8" s="30">
        <v>4.0</v>
      </c>
      <c r="B8" s="23" t="s">
        <v>32</v>
      </c>
      <c r="C8" s="23" t="s">
        <v>33</v>
      </c>
      <c r="D8" s="88" t="str">
        <f t="shared" si="2"/>
        <v>9번 중 8번 참여</v>
      </c>
      <c r="E8" s="89">
        <f t="shared" si="3"/>
        <v>0.8888888889</v>
      </c>
      <c r="F8" s="90" t="s">
        <v>25</v>
      </c>
      <c r="G8" s="90" t="s">
        <v>25</v>
      </c>
      <c r="H8" s="90" t="s">
        <v>25</v>
      </c>
      <c r="I8" s="90" t="s">
        <v>25</v>
      </c>
      <c r="J8" s="90" t="s">
        <v>25</v>
      </c>
      <c r="K8" s="90" t="s">
        <v>25</v>
      </c>
      <c r="L8" s="90" t="s">
        <v>25</v>
      </c>
      <c r="M8" s="90" t="s">
        <v>25</v>
      </c>
      <c r="N8" s="41"/>
    </row>
    <row r="9">
      <c r="A9" s="22">
        <v>5.0</v>
      </c>
      <c r="B9" s="31" t="s">
        <v>34</v>
      </c>
      <c r="C9" s="31" t="s">
        <v>35</v>
      </c>
      <c r="D9" s="88" t="str">
        <f t="shared" si="2"/>
        <v>9번 중 8번 참여</v>
      </c>
      <c r="E9" s="89">
        <f t="shared" si="3"/>
        <v>0.8888888889</v>
      </c>
      <c r="F9" s="90" t="s">
        <v>25</v>
      </c>
      <c r="G9" s="90" t="s">
        <v>25</v>
      </c>
      <c r="H9" s="90" t="s">
        <v>25</v>
      </c>
      <c r="I9" s="90" t="s">
        <v>25</v>
      </c>
      <c r="J9" s="90"/>
      <c r="K9" s="90" t="s">
        <v>25</v>
      </c>
      <c r="L9" s="90" t="s">
        <v>25</v>
      </c>
      <c r="M9" s="90" t="s">
        <v>25</v>
      </c>
      <c r="N9" s="90" t="s">
        <v>25</v>
      </c>
    </row>
    <row r="10">
      <c r="A10" s="30">
        <v>6.0</v>
      </c>
      <c r="B10" s="23" t="s">
        <v>36</v>
      </c>
      <c r="C10" s="23" t="s">
        <v>72</v>
      </c>
      <c r="D10" s="88" t="str">
        <f t="shared" si="2"/>
        <v>9번 중 9번 참여</v>
      </c>
      <c r="E10" s="89">
        <f t="shared" si="3"/>
        <v>1</v>
      </c>
      <c r="F10" s="90" t="s">
        <v>25</v>
      </c>
      <c r="G10" s="90" t="s">
        <v>25</v>
      </c>
      <c r="H10" s="90" t="s">
        <v>25</v>
      </c>
      <c r="I10" s="90" t="s">
        <v>25</v>
      </c>
      <c r="J10" s="90" t="s">
        <v>25</v>
      </c>
      <c r="K10" s="90" t="s">
        <v>25</v>
      </c>
      <c r="L10" s="90" t="s">
        <v>25</v>
      </c>
      <c r="M10" s="90" t="s">
        <v>25</v>
      </c>
      <c r="N10" s="90" t="s">
        <v>25</v>
      </c>
    </row>
    <row r="11">
      <c r="A11" s="22">
        <v>7.0</v>
      </c>
      <c r="B11" s="31" t="s">
        <v>38</v>
      </c>
      <c r="C11" s="31" t="s">
        <v>39</v>
      </c>
      <c r="D11" s="88" t="str">
        <f t="shared" si="2"/>
        <v>9번 중 9번 참여</v>
      </c>
      <c r="E11" s="89">
        <f t="shared" si="3"/>
        <v>1</v>
      </c>
      <c r="F11" s="90" t="s">
        <v>25</v>
      </c>
      <c r="G11" s="90" t="s">
        <v>25</v>
      </c>
      <c r="H11" s="90" t="s">
        <v>25</v>
      </c>
      <c r="I11" s="90" t="s">
        <v>25</v>
      </c>
      <c r="J11" s="90" t="s">
        <v>25</v>
      </c>
      <c r="K11" s="90" t="s">
        <v>25</v>
      </c>
      <c r="L11" s="90" t="s">
        <v>25</v>
      </c>
      <c r="M11" s="90" t="s">
        <v>25</v>
      </c>
      <c r="N11" s="90" t="s">
        <v>25</v>
      </c>
    </row>
    <row r="12">
      <c r="A12" s="30">
        <v>8.0</v>
      </c>
      <c r="B12" s="23" t="s">
        <v>40</v>
      </c>
      <c r="C12" s="23" t="s">
        <v>41</v>
      </c>
      <c r="D12" s="88" t="str">
        <f t="shared" si="2"/>
        <v>9번 중 9번 참여</v>
      </c>
      <c r="E12" s="89">
        <f t="shared" si="3"/>
        <v>1</v>
      </c>
      <c r="F12" s="90" t="s">
        <v>25</v>
      </c>
      <c r="G12" s="90" t="s">
        <v>25</v>
      </c>
      <c r="H12" s="90" t="s">
        <v>25</v>
      </c>
      <c r="I12" s="90" t="s">
        <v>25</v>
      </c>
      <c r="J12" s="90" t="s">
        <v>25</v>
      </c>
      <c r="K12" s="90" t="s">
        <v>25</v>
      </c>
      <c r="L12" s="90" t="s">
        <v>25</v>
      </c>
      <c r="M12" s="90" t="s">
        <v>25</v>
      </c>
      <c r="N12" s="90" t="s">
        <v>25</v>
      </c>
    </row>
    <row r="13">
      <c r="A13" s="22">
        <v>9.0</v>
      </c>
      <c r="B13" s="31" t="s">
        <v>42</v>
      </c>
      <c r="C13" s="31" t="s">
        <v>43</v>
      </c>
      <c r="D13" s="88" t="str">
        <f t="shared" si="2"/>
        <v>9번 중 7번 참여</v>
      </c>
      <c r="E13" s="89">
        <f t="shared" si="3"/>
        <v>0.7777777778</v>
      </c>
      <c r="F13" s="41"/>
      <c r="G13" s="90" t="s">
        <v>25</v>
      </c>
      <c r="H13" s="41"/>
      <c r="I13" s="90" t="s">
        <v>25</v>
      </c>
      <c r="J13" s="90" t="s">
        <v>25</v>
      </c>
      <c r="K13" s="90" t="s">
        <v>25</v>
      </c>
      <c r="L13" s="90" t="s">
        <v>25</v>
      </c>
      <c r="M13" s="90" t="s">
        <v>25</v>
      </c>
      <c r="N13" s="90" t="s">
        <v>25</v>
      </c>
    </row>
    <row r="14">
      <c r="A14" s="30">
        <v>10.0</v>
      </c>
      <c r="B14" s="127"/>
      <c r="C14" s="127"/>
      <c r="D14" s="88" t="str">
        <f t="shared" si="2"/>
        <v/>
      </c>
      <c r="E14" s="89" t="str">
        <f t="shared" si="3"/>
        <v/>
      </c>
      <c r="F14" s="41"/>
      <c r="G14" s="41"/>
      <c r="H14" s="41"/>
      <c r="I14" s="41"/>
      <c r="J14" s="41"/>
      <c r="K14" s="41"/>
      <c r="L14" s="41"/>
      <c r="M14" s="41"/>
      <c r="N14" s="41"/>
    </row>
    <row r="15">
      <c r="A15" s="22">
        <v>11.0</v>
      </c>
      <c r="B15" s="96"/>
      <c r="C15" s="96"/>
      <c r="D15" s="88" t="str">
        <f t="shared" si="2"/>
        <v/>
      </c>
      <c r="E15" s="89" t="str">
        <f t="shared" si="3"/>
        <v/>
      </c>
      <c r="F15" s="90" t="s">
        <v>80</v>
      </c>
      <c r="G15" s="41"/>
      <c r="H15" s="41"/>
      <c r="I15" s="41"/>
      <c r="J15" s="41"/>
      <c r="K15" s="41"/>
      <c r="L15" s="41"/>
      <c r="M15" s="41"/>
      <c r="N15" s="41"/>
    </row>
    <row r="16">
      <c r="A16" s="30">
        <v>12.0</v>
      </c>
      <c r="B16" s="23" t="s">
        <v>44</v>
      </c>
      <c r="C16" s="23" t="s">
        <v>45</v>
      </c>
      <c r="D16" s="88" t="str">
        <f t="shared" si="2"/>
        <v>9번 중 9번 참여</v>
      </c>
      <c r="E16" s="89">
        <f t="shared" si="3"/>
        <v>1</v>
      </c>
      <c r="F16" s="90" t="s">
        <v>25</v>
      </c>
      <c r="G16" s="90" t="s">
        <v>25</v>
      </c>
      <c r="H16" s="90" t="s">
        <v>25</v>
      </c>
      <c r="I16" s="90" t="s">
        <v>25</v>
      </c>
      <c r="J16" s="90" t="s">
        <v>25</v>
      </c>
      <c r="K16" s="90" t="s">
        <v>25</v>
      </c>
      <c r="L16" s="90" t="s">
        <v>25</v>
      </c>
      <c r="M16" s="90" t="s">
        <v>25</v>
      </c>
      <c r="N16" s="90" t="s">
        <v>25</v>
      </c>
    </row>
    <row r="17">
      <c r="A17" s="22">
        <v>13.0</v>
      </c>
      <c r="B17" s="31" t="s">
        <v>46</v>
      </c>
      <c r="C17" s="31" t="s">
        <v>47</v>
      </c>
      <c r="D17" s="88" t="str">
        <f t="shared" si="2"/>
        <v/>
      </c>
      <c r="E17" s="89" t="str">
        <f t="shared" si="3"/>
        <v/>
      </c>
      <c r="F17" s="41"/>
      <c r="G17" s="41"/>
      <c r="H17" s="41"/>
      <c r="I17" s="41"/>
      <c r="J17" s="41"/>
      <c r="K17" s="41"/>
      <c r="L17" s="41"/>
      <c r="M17" s="41"/>
      <c r="N17" s="41"/>
    </row>
    <row r="18">
      <c r="A18" s="30">
        <v>14.0</v>
      </c>
      <c r="B18" s="23" t="s">
        <v>48</v>
      </c>
      <c r="C18" s="23" t="s">
        <v>49</v>
      </c>
      <c r="D18" s="88" t="str">
        <f t="shared" si="2"/>
        <v>9번 중 8번 참여</v>
      </c>
      <c r="E18" s="89">
        <f t="shared" si="3"/>
        <v>0.8888888889</v>
      </c>
      <c r="F18" s="90" t="s">
        <v>25</v>
      </c>
      <c r="G18" s="90" t="s">
        <v>25</v>
      </c>
      <c r="H18" s="90" t="s">
        <v>25</v>
      </c>
      <c r="I18" s="41"/>
      <c r="J18" s="90" t="s">
        <v>25</v>
      </c>
      <c r="K18" s="90" t="s">
        <v>25</v>
      </c>
      <c r="L18" s="90" t="s">
        <v>25</v>
      </c>
      <c r="M18" s="90" t="s">
        <v>25</v>
      </c>
      <c r="N18" s="90" t="s">
        <v>25</v>
      </c>
    </row>
    <row r="19">
      <c r="A19" s="22">
        <v>15.0</v>
      </c>
      <c r="B19" s="31" t="s">
        <v>50</v>
      </c>
      <c r="C19" s="31" t="s">
        <v>51</v>
      </c>
      <c r="D19" s="88" t="str">
        <f t="shared" si="2"/>
        <v>9번 중 9번 참여</v>
      </c>
      <c r="E19" s="89">
        <f t="shared" si="3"/>
        <v>1</v>
      </c>
      <c r="F19" s="90" t="s">
        <v>25</v>
      </c>
      <c r="G19" s="90" t="s">
        <v>25</v>
      </c>
      <c r="H19" s="90" t="s">
        <v>25</v>
      </c>
      <c r="I19" s="90" t="s">
        <v>25</v>
      </c>
      <c r="J19" s="90" t="s">
        <v>25</v>
      </c>
      <c r="K19" s="90" t="s">
        <v>25</v>
      </c>
      <c r="L19" s="90" t="s">
        <v>25</v>
      </c>
      <c r="M19" s="90" t="s">
        <v>25</v>
      </c>
      <c r="N19" s="90" t="s">
        <v>25</v>
      </c>
    </row>
    <row r="20">
      <c r="A20" s="30">
        <v>16.0</v>
      </c>
      <c r="B20" s="23" t="s">
        <v>52</v>
      </c>
      <c r="C20" s="23" t="s">
        <v>53</v>
      </c>
      <c r="D20" s="88" t="str">
        <f t="shared" si="2"/>
        <v>9번 중 9번 참여</v>
      </c>
      <c r="E20" s="89">
        <f t="shared" si="3"/>
        <v>1</v>
      </c>
      <c r="F20" s="90" t="s">
        <v>25</v>
      </c>
      <c r="G20" s="90" t="s">
        <v>25</v>
      </c>
      <c r="H20" s="90" t="s">
        <v>25</v>
      </c>
      <c r="I20" s="90" t="s">
        <v>25</v>
      </c>
      <c r="J20" s="90" t="s">
        <v>25</v>
      </c>
      <c r="K20" s="90" t="s">
        <v>25</v>
      </c>
      <c r="L20" s="90" t="s">
        <v>25</v>
      </c>
      <c r="M20" s="90" t="s">
        <v>25</v>
      </c>
      <c r="N20" s="90" t="s">
        <v>25</v>
      </c>
    </row>
    <row r="21">
      <c r="A21" s="22">
        <v>17.0</v>
      </c>
      <c r="B21" s="96" t="s">
        <v>54</v>
      </c>
      <c r="C21" s="96" t="s">
        <v>55</v>
      </c>
      <c r="D21" s="88" t="str">
        <f t="shared" si="2"/>
        <v>9번 중 8번 참여</v>
      </c>
      <c r="E21" s="89">
        <f t="shared" si="3"/>
        <v>0.8888888889</v>
      </c>
      <c r="F21" s="90" t="s">
        <v>25</v>
      </c>
      <c r="G21" s="90" t="s">
        <v>25</v>
      </c>
      <c r="H21" s="41"/>
      <c r="I21" s="90" t="s">
        <v>25</v>
      </c>
      <c r="J21" s="90" t="s">
        <v>25</v>
      </c>
      <c r="K21" s="90" t="s">
        <v>25</v>
      </c>
      <c r="L21" s="90" t="s">
        <v>25</v>
      </c>
      <c r="M21" s="90" t="s">
        <v>25</v>
      </c>
      <c r="N21" s="90" t="s">
        <v>25</v>
      </c>
    </row>
    <row r="22">
      <c r="A22" s="30">
        <v>18.0</v>
      </c>
      <c r="B22" s="23" t="s">
        <v>56</v>
      </c>
      <c r="C22" s="23" t="s">
        <v>57</v>
      </c>
      <c r="D22" s="88" t="str">
        <f t="shared" si="2"/>
        <v>9번 중 9번 참여</v>
      </c>
      <c r="E22" s="89">
        <f t="shared" si="3"/>
        <v>1</v>
      </c>
      <c r="F22" s="90" t="s">
        <v>25</v>
      </c>
      <c r="G22" s="90" t="s">
        <v>25</v>
      </c>
      <c r="H22" s="90" t="s">
        <v>25</v>
      </c>
      <c r="I22" s="90" t="s">
        <v>25</v>
      </c>
      <c r="J22" s="90" t="s">
        <v>25</v>
      </c>
      <c r="K22" s="90" t="s">
        <v>25</v>
      </c>
      <c r="L22" s="90" t="s">
        <v>25</v>
      </c>
      <c r="M22" s="90" t="s">
        <v>25</v>
      </c>
      <c r="N22" s="90" t="s">
        <v>25</v>
      </c>
    </row>
    <row r="23">
      <c r="A23" s="22">
        <v>19.0</v>
      </c>
      <c r="B23" s="31" t="s">
        <v>58</v>
      </c>
      <c r="C23" s="97" t="s">
        <v>59</v>
      </c>
      <c r="D23" s="88" t="str">
        <f t="shared" si="2"/>
        <v>9번 중 9번 참여</v>
      </c>
      <c r="E23" s="89">
        <f t="shared" si="3"/>
        <v>1</v>
      </c>
      <c r="F23" s="90" t="s">
        <v>25</v>
      </c>
      <c r="G23" s="90" t="s">
        <v>25</v>
      </c>
      <c r="H23" s="90" t="s">
        <v>25</v>
      </c>
      <c r="I23" s="90" t="s">
        <v>25</v>
      </c>
      <c r="J23" s="90" t="s">
        <v>25</v>
      </c>
      <c r="K23" s="90" t="s">
        <v>25</v>
      </c>
      <c r="L23" s="90" t="s">
        <v>25</v>
      </c>
      <c r="M23" s="90" t="s">
        <v>25</v>
      </c>
      <c r="N23" s="90" t="s">
        <v>25</v>
      </c>
    </row>
    <row r="24">
      <c r="A24" s="30">
        <v>20.0</v>
      </c>
      <c r="B24" s="23" t="s">
        <v>60</v>
      </c>
      <c r="C24" s="87" t="s">
        <v>61</v>
      </c>
      <c r="D24" s="88" t="str">
        <f t="shared" si="2"/>
        <v>9번 중 9번 참여</v>
      </c>
      <c r="E24" s="89">
        <f t="shared" si="3"/>
        <v>1</v>
      </c>
      <c r="F24" s="90" t="s">
        <v>25</v>
      </c>
      <c r="G24" s="90" t="s">
        <v>25</v>
      </c>
      <c r="H24" s="90" t="s">
        <v>25</v>
      </c>
      <c r="I24" s="90" t="s">
        <v>25</v>
      </c>
      <c r="J24" s="90" t="s">
        <v>25</v>
      </c>
      <c r="K24" s="90" t="s">
        <v>25</v>
      </c>
      <c r="L24" s="90" t="s">
        <v>25</v>
      </c>
      <c r="M24" s="90" t="s">
        <v>25</v>
      </c>
      <c r="N24" s="90" t="s">
        <v>25</v>
      </c>
    </row>
    <row r="25">
      <c r="A25" s="22">
        <v>21.0</v>
      </c>
      <c r="B25" s="98" t="s">
        <v>62</v>
      </c>
      <c r="C25" s="99" t="s">
        <v>63</v>
      </c>
      <c r="D25" s="88" t="str">
        <f t="shared" si="2"/>
        <v>9번 중 9번 참여</v>
      </c>
      <c r="E25" s="89">
        <f t="shared" si="3"/>
        <v>1</v>
      </c>
      <c r="F25" s="90" t="s">
        <v>25</v>
      </c>
      <c r="G25" s="90" t="s">
        <v>25</v>
      </c>
      <c r="H25" s="90" t="s">
        <v>25</v>
      </c>
      <c r="I25" s="90" t="s">
        <v>25</v>
      </c>
      <c r="J25" s="90" t="s">
        <v>25</v>
      </c>
      <c r="K25" s="90" t="s">
        <v>25</v>
      </c>
      <c r="L25" s="90" t="s">
        <v>25</v>
      </c>
      <c r="M25" s="90" t="s">
        <v>25</v>
      </c>
      <c r="N25" s="90" t="s">
        <v>25</v>
      </c>
    </row>
    <row r="26">
      <c r="A26" s="30">
        <v>22.0</v>
      </c>
      <c r="B26" s="23" t="s">
        <v>64</v>
      </c>
      <c r="C26" s="100" t="s">
        <v>65</v>
      </c>
      <c r="D26" s="88" t="str">
        <f t="shared" si="2"/>
        <v/>
      </c>
      <c r="E26" s="89" t="str">
        <f t="shared" si="3"/>
        <v/>
      </c>
      <c r="F26" s="41"/>
      <c r="G26" s="41"/>
      <c r="H26" s="41"/>
      <c r="I26" s="41"/>
      <c r="J26" s="41"/>
      <c r="K26" s="41"/>
      <c r="L26" s="41"/>
      <c r="M26" s="41"/>
      <c r="N26" s="41"/>
    </row>
    <row r="27">
      <c r="A27" s="22">
        <v>23.0</v>
      </c>
      <c r="B27" s="101" t="s">
        <v>66</v>
      </c>
      <c r="C27" s="102" t="s">
        <v>67</v>
      </c>
      <c r="D27" s="88" t="str">
        <f t="shared" si="2"/>
        <v>9번 중 9번 참여</v>
      </c>
      <c r="E27" s="89">
        <f t="shared" si="3"/>
        <v>1</v>
      </c>
      <c r="F27" s="90" t="s">
        <v>25</v>
      </c>
      <c r="G27" s="90" t="s">
        <v>25</v>
      </c>
      <c r="H27" s="90" t="s">
        <v>25</v>
      </c>
      <c r="I27" s="90" t="s">
        <v>25</v>
      </c>
      <c r="J27" s="90" t="s">
        <v>25</v>
      </c>
      <c r="K27" s="90" t="s">
        <v>25</v>
      </c>
      <c r="L27" s="90" t="s">
        <v>25</v>
      </c>
      <c r="M27" s="90" t="s">
        <v>25</v>
      </c>
      <c r="N27" s="90" t="s">
        <v>25</v>
      </c>
    </row>
    <row r="28">
      <c r="A28" s="30">
        <v>24.0</v>
      </c>
      <c r="B28" s="103" t="s">
        <v>68</v>
      </c>
      <c r="C28" s="104" t="s">
        <v>69</v>
      </c>
      <c r="D28" s="88" t="str">
        <f t="shared" si="2"/>
        <v/>
      </c>
      <c r="E28" s="89" t="str">
        <f t="shared" si="3"/>
        <v/>
      </c>
      <c r="F28" s="41"/>
      <c r="G28" s="41"/>
      <c r="H28" s="41"/>
      <c r="I28" s="41"/>
      <c r="J28" s="41"/>
      <c r="K28" s="41"/>
      <c r="L28" s="41"/>
      <c r="M28" s="41"/>
      <c r="N28" s="41"/>
    </row>
    <row r="29">
      <c r="A29" s="22">
        <v>25.0</v>
      </c>
      <c r="B29" s="31" t="s">
        <v>74</v>
      </c>
      <c r="C29" s="97" t="s">
        <v>75</v>
      </c>
      <c r="D29" s="88" t="str">
        <f t="shared" si="2"/>
        <v>9번 중 7번 참여</v>
      </c>
      <c r="E29" s="89">
        <f t="shared" si="3"/>
        <v>0.7777777778</v>
      </c>
      <c r="F29" s="41"/>
      <c r="G29" s="41"/>
      <c r="H29" s="90" t="s">
        <v>25</v>
      </c>
      <c r="I29" s="90" t="s">
        <v>25</v>
      </c>
      <c r="J29" s="90" t="s">
        <v>25</v>
      </c>
      <c r="K29" s="90" t="s">
        <v>25</v>
      </c>
      <c r="L29" s="90" t="s">
        <v>25</v>
      </c>
      <c r="M29" s="90" t="s">
        <v>25</v>
      </c>
      <c r="N29" s="90" t="s">
        <v>25</v>
      </c>
    </row>
    <row r="30">
      <c r="A30" s="30">
        <v>26.0</v>
      </c>
      <c r="B30" s="23" t="s">
        <v>76</v>
      </c>
      <c r="C30" s="87" t="s">
        <v>77</v>
      </c>
      <c r="D30" s="88" t="str">
        <f t="shared" si="2"/>
        <v>9번 중 9번 참여</v>
      </c>
      <c r="E30" s="89">
        <f t="shared" si="3"/>
        <v>1</v>
      </c>
      <c r="F30" s="90" t="s">
        <v>25</v>
      </c>
      <c r="G30" s="90" t="s">
        <v>25</v>
      </c>
      <c r="H30" s="90" t="s">
        <v>25</v>
      </c>
      <c r="I30" s="90" t="s">
        <v>25</v>
      </c>
      <c r="J30" s="90" t="s">
        <v>25</v>
      </c>
      <c r="K30" s="90" t="s">
        <v>25</v>
      </c>
      <c r="L30" s="90" t="s">
        <v>25</v>
      </c>
      <c r="M30" s="90" t="s">
        <v>25</v>
      </c>
      <c r="N30" s="90" t="s">
        <v>25</v>
      </c>
    </row>
    <row r="31">
      <c r="A31" s="22">
        <v>27.0</v>
      </c>
      <c r="B31" s="31" t="s">
        <v>78</v>
      </c>
      <c r="C31" s="151" t="s">
        <v>79</v>
      </c>
      <c r="D31" s="88" t="str">
        <f t="shared" si="2"/>
        <v>9번 중 9번 참여</v>
      </c>
      <c r="E31" s="89">
        <f t="shared" si="3"/>
        <v>1</v>
      </c>
      <c r="F31" s="90" t="s">
        <v>25</v>
      </c>
      <c r="G31" s="90" t="s">
        <v>25</v>
      </c>
      <c r="H31" s="90" t="s">
        <v>25</v>
      </c>
      <c r="I31" s="90" t="s">
        <v>25</v>
      </c>
      <c r="J31" s="90" t="s">
        <v>25</v>
      </c>
      <c r="K31" s="90" t="s">
        <v>25</v>
      </c>
      <c r="L31" s="90" t="s">
        <v>25</v>
      </c>
      <c r="M31" s="90" t="s">
        <v>25</v>
      </c>
      <c r="N31" s="90" t="s">
        <v>25</v>
      </c>
    </row>
    <row r="32">
      <c r="A32" s="30">
        <v>28.0</v>
      </c>
      <c r="B32" s="94"/>
      <c r="C32" s="94"/>
      <c r="D32" s="88" t="str">
        <f t="shared" si="2"/>
        <v/>
      </c>
      <c r="E32" s="89" t="str">
        <f t="shared" si="3"/>
        <v/>
      </c>
      <c r="F32" s="90" t="s">
        <v>80</v>
      </c>
      <c r="G32" s="41"/>
      <c r="H32" s="41"/>
      <c r="I32" s="41"/>
      <c r="J32" s="41"/>
      <c r="K32" s="41"/>
      <c r="L32" s="41"/>
      <c r="M32" s="41"/>
      <c r="N32" s="41"/>
    </row>
    <row r="33">
      <c r="A33" s="22">
        <v>29.0</v>
      </c>
      <c r="B33" s="31" t="s">
        <v>81</v>
      </c>
      <c r="C33" s="31" t="s">
        <v>82</v>
      </c>
      <c r="D33" s="88" t="str">
        <f t="shared" si="2"/>
        <v>9번 중 8번 참여</v>
      </c>
      <c r="E33" s="89">
        <f t="shared" si="3"/>
        <v>0.8888888889</v>
      </c>
      <c r="F33" s="90" t="s">
        <v>25</v>
      </c>
      <c r="G33" s="90" t="s">
        <v>25</v>
      </c>
      <c r="H33" s="90" t="s">
        <v>25</v>
      </c>
      <c r="I33" s="90" t="s">
        <v>25</v>
      </c>
      <c r="J33" s="90" t="s">
        <v>25</v>
      </c>
      <c r="K33" s="41"/>
      <c r="L33" s="90" t="s">
        <v>25</v>
      </c>
      <c r="M33" s="90" t="s">
        <v>25</v>
      </c>
      <c r="N33" s="90" t="s">
        <v>25</v>
      </c>
    </row>
    <row r="34">
      <c r="A34" s="30">
        <v>30.0</v>
      </c>
      <c r="B34" s="93" t="s">
        <v>83</v>
      </c>
      <c r="C34" s="108" t="s">
        <v>84</v>
      </c>
      <c r="D34" s="88" t="str">
        <f t="shared" si="2"/>
        <v/>
      </c>
      <c r="E34" s="89" t="str">
        <f t="shared" si="3"/>
        <v/>
      </c>
      <c r="F34" s="41"/>
      <c r="G34" s="41"/>
      <c r="H34" s="41"/>
      <c r="I34" s="41"/>
      <c r="J34" s="41"/>
      <c r="K34" s="41"/>
      <c r="L34" s="41"/>
      <c r="M34" s="41"/>
      <c r="N34" s="41"/>
    </row>
    <row r="35">
      <c r="A35" s="22">
        <v>31.0</v>
      </c>
      <c r="B35" s="31" t="s">
        <v>85</v>
      </c>
      <c r="C35" s="97" t="s">
        <v>86</v>
      </c>
      <c r="D35" s="88" t="str">
        <f t="shared" si="2"/>
        <v>9번 중 7번 참여</v>
      </c>
      <c r="E35" s="89">
        <f t="shared" si="3"/>
        <v>0.7777777778</v>
      </c>
      <c r="F35" s="90" t="s">
        <v>25</v>
      </c>
      <c r="G35" s="90" t="s">
        <v>25</v>
      </c>
      <c r="H35" s="41"/>
      <c r="I35" s="90" t="s">
        <v>25</v>
      </c>
      <c r="J35" s="41"/>
      <c r="K35" s="90" t="s">
        <v>25</v>
      </c>
      <c r="L35" s="90" t="s">
        <v>25</v>
      </c>
      <c r="M35" s="90" t="s">
        <v>25</v>
      </c>
      <c r="N35" s="90" t="s">
        <v>25</v>
      </c>
    </row>
    <row r="36">
      <c r="A36" s="30">
        <v>32.0</v>
      </c>
      <c r="B36" s="23" t="s">
        <v>87</v>
      </c>
      <c r="C36" s="87" t="s">
        <v>88</v>
      </c>
      <c r="D36" s="88" t="str">
        <f t="shared" si="2"/>
        <v>9번 중 7번 참여</v>
      </c>
      <c r="E36" s="89">
        <f t="shared" si="3"/>
        <v>0.7777777778</v>
      </c>
      <c r="F36" s="90" t="s">
        <v>25</v>
      </c>
      <c r="G36" s="90" t="s">
        <v>25</v>
      </c>
      <c r="H36" s="41"/>
      <c r="I36" s="90" t="s">
        <v>25</v>
      </c>
      <c r="J36" s="90" t="s">
        <v>25</v>
      </c>
      <c r="K36" s="41"/>
      <c r="L36" s="90" t="s">
        <v>25</v>
      </c>
      <c r="M36" s="90" t="s">
        <v>25</v>
      </c>
      <c r="N36" s="90" t="s">
        <v>25</v>
      </c>
    </row>
    <row r="37">
      <c r="A37" s="22">
        <v>33.0</v>
      </c>
      <c r="B37" s="109" t="s">
        <v>89</v>
      </c>
      <c r="C37" s="110" t="s">
        <v>90</v>
      </c>
      <c r="D37" s="88" t="str">
        <f t="shared" si="2"/>
        <v/>
      </c>
      <c r="E37" s="89" t="str">
        <f t="shared" si="3"/>
        <v/>
      </c>
      <c r="F37" s="41"/>
      <c r="G37" s="41"/>
      <c r="H37" s="41"/>
      <c r="I37" s="41"/>
      <c r="J37" s="41"/>
      <c r="K37" s="41"/>
      <c r="L37" s="41"/>
      <c r="M37" s="41"/>
      <c r="N37" s="41"/>
    </row>
    <row r="38">
      <c r="A38" s="30">
        <v>34.0</v>
      </c>
      <c r="B38" s="61" t="s">
        <v>91</v>
      </c>
      <c r="C38" s="61" t="s">
        <v>92</v>
      </c>
      <c r="D38" s="88" t="str">
        <f t="shared" si="2"/>
        <v>9번 중 7번 참여</v>
      </c>
      <c r="E38" s="89">
        <f t="shared" si="3"/>
        <v>0.7777777778</v>
      </c>
      <c r="F38" s="90" t="s">
        <v>25</v>
      </c>
      <c r="G38" s="90" t="s">
        <v>25</v>
      </c>
      <c r="H38" s="90" t="s">
        <v>25</v>
      </c>
      <c r="I38" s="90" t="s">
        <v>25</v>
      </c>
      <c r="J38" s="90" t="s">
        <v>25</v>
      </c>
      <c r="K38" s="90" t="s">
        <v>25</v>
      </c>
      <c r="L38" s="90" t="s">
        <v>25</v>
      </c>
      <c r="M38" s="41"/>
      <c r="N38" s="41"/>
    </row>
    <row r="39">
      <c r="A39" s="22">
        <v>35.0</v>
      </c>
      <c r="B39" s="31" t="s">
        <v>93</v>
      </c>
      <c r="C39" s="31" t="s">
        <v>94</v>
      </c>
      <c r="D39" s="88" t="str">
        <f t="shared" si="2"/>
        <v>9번 중 2번 참여</v>
      </c>
      <c r="E39" s="89">
        <f t="shared" si="3"/>
        <v>0.2222222222</v>
      </c>
      <c r="F39" s="41"/>
      <c r="G39" s="41"/>
      <c r="H39" s="90" t="s">
        <v>25</v>
      </c>
      <c r="I39" s="41"/>
      <c r="J39" s="41"/>
      <c r="K39" s="90" t="s">
        <v>25</v>
      </c>
      <c r="L39" s="41"/>
      <c r="M39" s="41"/>
      <c r="N39" s="41"/>
    </row>
    <row r="40">
      <c r="A40" s="30">
        <v>36.0</v>
      </c>
      <c r="B40" s="23" t="s">
        <v>124</v>
      </c>
      <c r="C40" s="23" t="s">
        <v>125</v>
      </c>
      <c r="D40" s="88" t="str">
        <f t="shared" si="2"/>
        <v>9번 중 9번 참여</v>
      </c>
      <c r="E40" s="89">
        <f t="shared" si="3"/>
        <v>1</v>
      </c>
      <c r="F40" s="90" t="s">
        <v>25</v>
      </c>
      <c r="G40" s="90" t="s">
        <v>25</v>
      </c>
      <c r="H40" s="90" t="s">
        <v>25</v>
      </c>
      <c r="I40" s="90" t="s">
        <v>25</v>
      </c>
      <c r="J40" s="90" t="s">
        <v>25</v>
      </c>
      <c r="K40" s="90" t="s">
        <v>25</v>
      </c>
      <c r="L40" s="90" t="s">
        <v>25</v>
      </c>
      <c r="M40" s="90" t="s">
        <v>25</v>
      </c>
      <c r="N40" s="90" t="s">
        <v>25</v>
      </c>
    </row>
    <row r="41">
      <c r="A41" s="22">
        <v>37.0</v>
      </c>
      <c r="B41" s="31" t="s">
        <v>128</v>
      </c>
      <c r="C41" s="31" t="s">
        <v>129</v>
      </c>
      <c r="D41" s="88" t="str">
        <f t="shared" si="2"/>
        <v>9번 중 9번 참여</v>
      </c>
      <c r="E41" s="89">
        <f t="shared" si="3"/>
        <v>1</v>
      </c>
      <c r="F41" s="90" t="s">
        <v>25</v>
      </c>
      <c r="G41" s="90" t="s">
        <v>25</v>
      </c>
      <c r="H41" s="90" t="s">
        <v>25</v>
      </c>
      <c r="I41" s="90" t="s">
        <v>25</v>
      </c>
      <c r="J41" s="90" t="s">
        <v>25</v>
      </c>
      <c r="K41" s="90" t="s">
        <v>25</v>
      </c>
      <c r="L41" s="90" t="s">
        <v>25</v>
      </c>
      <c r="M41" s="90" t="s">
        <v>25</v>
      </c>
      <c r="N41" s="90" t="s">
        <v>25</v>
      </c>
    </row>
    <row r="42">
      <c r="A42" s="30">
        <v>38.0</v>
      </c>
      <c r="B42" s="23" t="s">
        <v>99</v>
      </c>
      <c r="C42" s="23" t="s">
        <v>100</v>
      </c>
      <c r="D42" s="88" t="str">
        <f t="shared" si="2"/>
        <v>9번 중 3번 참여</v>
      </c>
      <c r="E42" s="89">
        <f t="shared" si="3"/>
        <v>0.3333333333</v>
      </c>
      <c r="F42" s="41"/>
      <c r="G42" s="41"/>
      <c r="H42" s="90" t="s">
        <v>25</v>
      </c>
      <c r="I42" s="90" t="s">
        <v>25</v>
      </c>
      <c r="J42" s="90" t="s">
        <v>25</v>
      </c>
      <c r="K42" s="41"/>
      <c r="L42" s="41"/>
      <c r="M42" s="41"/>
      <c r="N42" s="41"/>
    </row>
    <row r="43">
      <c r="A43" s="22">
        <v>39.0</v>
      </c>
      <c r="B43" s="31"/>
      <c r="C43" s="31"/>
      <c r="D43" s="88" t="str">
        <f t="shared" si="2"/>
        <v/>
      </c>
      <c r="E43" s="89" t="str">
        <f t="shared" si="3"/>
        <v/>
      </c>
      <c r="F43" s="41"/>
      <c r="G43" s="41"/>
      <c r="H43" s="41"/>
      <c r="I43" s="41"/>
      <c r="J43" s="41"/>
      <c r="K43" s="41"/>
      <c r="L43" s="41"/>
      <c r="M43" s="41"/>
      <c r="N43" s="41"/>
    </row>
    <row r="44">
      <c r="A44" s="30">
        <v>40.0</v>
      </c>
      <c r="B44" s="23" t="s">
        <v>95</v>
      </c>
      <c r="C44" s="23" t="s">
        <v>96</v>
      </c>
      <c r="D44" s="88" t="str">
        <f t="shared" si="2"/>
        <v>9번 중 9번 참여</v>
      </c>
      <c r="E44" s="89">
        <f t="shared" si="3"/>
        <v>1</v>
      </c>
      <c r="F44" s="90" t="s">
        <v>25</v>
      </c>
      <c r="G44" s="90" t="s">
        <v>25</v>
      </c>
      <c r="H44" s="90" t="s">
        <v>25</v>
      </c>
      <c r="I44" s="90" t="s">
        <v>25</v>
      </c>
      <c r="J44" s="90" t="s">
        <v>25</v>
      </c>
      <c r="K44" s="90" t="s">
        <v>25</v>
      </c>
      <c r="L44" s="90" t="s">
        <v>25</v>
      </c>
      <c r="M44" s="90" t="s">
        <v>25</v>
      </c>
      <c r="N44" s="90" t="s">
        <v>25</v>
      </c>
    </row>
    <row r="45">
      <c r="A45" s="22">
        <v>41.0</v>
      </c>
      <c r="B45" s="31" t="s">
        <v>97</v>
      </c>
      <c r="C45" s="31" t="s">
        <v>98</v>
      </c>
      <c r="D45" s="88" t="str">
        <f t="shared" si="2"/>
        <v>9번 중 9번 참여</v>
      </c>
      <c r="E45" s="89">
        <f t="shared" si="3"/>
        <v>1</v>
      </c>
      <c r="F45" s="90" t="s">
        <v>25</v>
      </c>
      <c r="G45" s="90" t="s">
        <v>25</v>
      </c>
      <c r="H45" s="90" t="s">
        <v>25</v>
      </c>
      <c r="I45" s="90" t="s">
        <v>25</v>
      </c>
      <c r="J45" s="90" t="s">
        <v>25</v>
      </c>
      <c r="K45" s="90" t="s">
        <v>25</v>
      </c>
      <c r="L45" s="90" t="s">
        <v>25</v>
      </c>
      <c r="M45" s="90" t="s">
        <v>25</v>
      </c>
      <c r="N45" s="90" t="s">
        <v>25</v>
      </c>
    </row>
    <row r="46">
      <c r="A46" s="30">
        <v>42.0</v>
      </c>
      <c r="B46" s="152"/>
      <c r="C46" s="152"/>
      <c r="D46" s="88" t="str">
        <f t="shared" si="2"/>
        <v/>
      </c>
      <c r="E46" s="89" t="str">
        <f t="shared" si="3"/>
        <v/>
      </c>
      <c r="F46" s="90" t="s">
        <v>80</v>
      </c>
      <c r="G46" s="90" t="s">
        <v>80</v>
      </c>
      <c r="H46" s="41"/>
      <c r="I46" s="41"/>
      <c r="J46" s="41"/>
      <c r="K46" s="41"/>
      <c r="L46" s="41"/>
      <c r="M46" s="41"/>
      <c r="N46" s="41"/>
    </row>
    <row r="47">
      <c r="A47" s="22">
        <v>43.0</v>
      </c>
      <c r="B47" s="23" t="s">
        <v>103</v>
      </c>
      <c r="C47" s="23" t="s">
        <v>104</v>
      </c>
      <c r="D47" s="88" t="str">
        <f t="shared" si="2"/>
        <v>9번 중 9번 참여</v>
      </c>
      <c r="E47" s="89">
        <f t="shared" si="3"/>
        <v>1</v>
      </c>
      <c r="F47" s="90" t="s">
        <v>25</v>
      </c>
      <c r="G47" s="90" t="s">
        <v>25</v>
      </c>
      <c r="H47" s="90" t="s">
        <v>25</v>
      </c>
      <c r="I47" s="90" t="s">
        <v>25</v>
      </c>
      <c r="J47" s="90" t="s">
        <v>25</v>
      </c>
      <c r="K47" s="90" t="s">
        <v>25</v>
      </c>
      <c r="L47" s="90" t="s">
        <v>25</v>
      </c>
      <c r="M47" s="90" t="s">
        <v>25</v>
      </c>
      <c r="N47" s="90" t="s">
        <v>25</v>
      </c>
    </row>
    <row r="48">
      <c r="A48" s="30">
        <v>44.0</v>
      </c>
      <c r="B48" s="153"/>
      <c r="C48" s="153"/>
      <c r="D48" s="88" t="str">
        <f t="shared" si="2"/>
        <v/>
      </c>
      <c r="E48" s="89" t="str">
        <f t="shared" si="3"/>
        <v/>
      </c>
      <c r="F48" s="41"/>
      <c r="G48" s="41"/>
      <c r="H48" s="41"/>
      <c r="I48" s="41"/>
      <c r="J48" s="41"/>
      <c r="K48" s="41"/>
      <c r="L48" s="41"/>
      <c r="M48" s="41"/>
      <c r="N48" s="41"/>
    </row>
    <row r="49">
      <c r="A49" s="22">
        <v>45.0</v>
      </c>
      <c r="B49" s="23" t="s">
        <v>284</v>
      </c>
      <c r="C49" s="100" t="s">
        <v>121</v>
      </c>
      <c r="D49" s="88" t="str">
        <f t="shared" si="2"/>
        <v>9번 중 9번 참여</v>
      </c>
      <c r="E49" s="89">
        <f t="shared" si="3"/>
        <v>1</v>
      </c>
      <c r="F49" s="90" t="s">
        <v>25</v>
      </c>
      <c r="G49" s="90" t="s">
        <v>25</v>
      </c>
      <c r="H49" s="90" t="s">
        <v>25</v>
      </c>
      <c r="I49" s="90" t="s">
        <v>25</v>
      </c>
      <c r="J49" s="90" t="s">
        <v>25</v>
      </c>
      <c r="K49" s="90" t="s">
        <v>25</v>
      </c>
      <c r="L49" s="90" t="s">
        <v>25</v>
      </c>
      <c r="M49" s="90" t="s">
        <v>25</v>
      </c>
      <c r="N49" s="90" t="s">
        <v>25</v>
      </c>
    </row>
    <row r="50">
      <c r="A50" s="30">
        <v>46.0</v>
      </c>
      <c r="B50" s="31" t="s">
        <v>101</v>
      </c>
      <c r="C50" s="97" t="s">
        <v>102</v>
      </c>
      <c r="D50" s="88" t="str">
        <f t="shared" si="2"/>
        <v>9번 중 8번 참여</v>
      </c>
      <c r="E50" s="89">
        <f t="shared" si="3"/>
        <v>0.8888888889</v>
      </c>
      <c r="F50" s="90" t="s">
        <v>25</v>
      </c>
      <c r="G50" s="41"/>
      <c r="H50" s="90" t="s">
        <v>25</v>
      </c>
      <c r="I50" s="90" t="s">
        <v>25</v>
      </c>
      <c r="J50" s="90" t="s">
        <v>25</v>
      </c>
      <c r="K50" s="90" t="s">
        <v>25</v>
      </c>
      <c r="L50" s="90" t="s">
        <v>25</v>
      </c>
      <c r="M50" s="90" t="s">
        <v>25</v>
      </c>
      <c r="N50" s="90" t="s">
        <v>25</v>
      </c>
    </row>
    <row r="51">
      <c r="A51" s="22">
        <v>47.0</v>
      </c>
      <c r="B51" s="111" t="s">
        <v>281</v>
      </c>
      <c r="C51" s="144" t="s">
        <v>282</v>
      </c>
      <c r="D51" s="88" t="str">
        <f t="shared" si="2"/>
        <v>9번 중 9번 참여</v>
      </c>
      <c r="E51" s="89">
        <f t="shared" si="3"/>
        <v>1</v>
      </c>
      <c r="F51" s="90" t="s">
        <v>25</v>
      </c>
      <c r="G51" s="90" t="s">
        <v>25</v>
      </c>
      <c r="H51" s="90" t="s">
        <v>25</v>
      </c>
      <c r="I51" s="90" t="s">
        <v>25</v>
      </c>
      <c r="J51" s="90" t="s">
        <v>25</v>
      </c>
      <c r="K51" s="90" t="s">
        <v>25</v>
      </c>
      <c r="L51" s="90" t="s">
        <v>25</v>
      </c>
      <c r="M51" s="90" t="s">
        <v>25</v>
      </c>
      <c r="N51" s="90" t="s">
        <v>25</v>
      </c>
    </row>
    <row r="52">
      <c r="A52" s="30">
        <v>48.0</v>
      </c>
      <c r="B52" s="61" t="s">
        <v>126</v>
      </c>
      <c r="C52" s="123" t="s">
        <v>127</v>
      </c>
      <c r="D52" s="88" t="str">
        <f t="shared" si="2"/>
        <v>9번 중 6번 참여</v>
      </c>
      <c r="E52" s="89">
        <f t="shared" si="3"/>
        <v>0.6666666667</v>
      </c>
      <c r="F52" s="90" t="s">
        <v>25</v>
      </c>
      <c r="G52" s="90" t="s">
        <v>25</v>
      </c>
      <c r="H52" s="90" t="s">
        <v>25</v>
      </c>
      <c r="I52" s="90" t="s">
        <v>25</v>
      </c>
      <c r="J52" s="90" t="s">
        <v>25</v>
      </c>
      <c r="K52" s="41"/>
      <c r="L52" s="90" t="s">
        <v>25</v>
      </c>
      <c r="M52" s="41"/>
      <c r="N52" s="41"/>
    </row>
    <row r="53">
      <c r="A53" s="22">
        <v>49.0</v>
      </c>
      <c r="B53" s="95" t="s">
        <v>109</v>
      </c>
      <c r="C53" s="95" t="s">
        <v>110</v>
      </c>
      <c r="D53" s="88" t="str">
        <f t="shared" si="2"/>
        <v>9번 중 8번 참여</v>
      </c>
      <c r="E53" s="89">
        <f t="shared" si="3"/>
        <v>0.8888888889</v>
      </c>
      <c r="F53" s="41"/>
      <c r="G53" s="90" t="s">
        <v>25</v>
      </c>
      <c r="H53" s="90" t="s">
        <v>25</v>
      </c>
      <c r="I53" s="90" t="s">
        <v>25</v>
      </c>
      <c r="J53" s="90" t="s">
        <v>25</v>
      </c>
      <c r="K53" s="90" t="s">
        <v>25</v>
      </c>
      <c r="L53" s="90" t="s">
        <v>25</v>
      </c>
      <c r="M53" s="90" t="s">
        <v>25</v>
      </c>
      <c r="N53" s="90" t="s">
        <v>25</v>
      </c>
    </row>
    <row r="54">
      <c r="A54" s="30">
        <v>50.0</v>
      </c>
      <c r="B54" s="31" t="s">
        <v>111</v>
      </c>
      <c r="C54" s="31" t="s">
        <v>112</v>
      </c>
      <c r="D54" s="88" t="str">
        <f t="shared" si="2"/>
        <v/>
      </c>
      <c r="E54" s="89" t="str">
        <f t="shared" si="3"/>
        <v/>
      </c>
      <c r="F54" s="41"/>
      <c r="G54" s="41"/>
      <c r="H54" s="41"/>
      <c r="I54" s="41"/>
      <c r="J54" s="41"/>
      <c r="K54" s="41"/>
      <c r="L54" s="41"/>
      <c r="M54" s="41"/>
      <c r="N54" s="41"/>
    </row>
    <row r="55">
      <c r="A55" s="22">
        <v>51.0</v>
      </c>
      <c r="B55" s="23" t="s">
        <v>113</v>
      </c>
      <c r="C55" s="23" t="s">
        <v>114</v>
      </c>
      <c r="D55" s="88" t="str">
        <f t="shared" si="2"/>
        <v>9번 중 9번 참여</v>
      </c>
      <c r="E55" s="89">
        <f t="shared" si="3"/>
        <v>1</v>
      </c>
      <c r="F55" s="90" t="s">
        <v>25</v>
      </c>
      <c r="G55" s="90" t="s">
        <v>25</v>
      </c>
      <c r="H55" s="90" t="s">
        <v>25</v>
      </c>
      <c r="I55" s="90" t="s">
        <v>25</v>
      </c>
      <c r="J55" s="90" t="s">
        <v>25</v>
      </c>
      <c r="K55" s="90" t="s">
        <v>25</v>
      </c>
      <c r="L55" s="90" t="s">
        <v>25</v>
      </c>
      <c r="M55" s="90" t="s">
        <v>25</v>
      </c>
      <c r="N55" s="90" t="s">
        <v>25</v>
      </c>
    </row>
    <row r="56">
      <c r="A56" s="30">
        <v>52.0</v>
      </c>
      <c r="B56" s="153"/>
      <c r="C56" s="153"/>
      <c r="D56" s="88" t="str">
        <f t="shared" si="2"/>
        <v/>
      </c>
      <c r="E56" s="89" t="str">
        <f t="shared" si="3"/>
        <v/>
      </c>
      <c r="F56" s="41"/>
      <c r="G56" s="41"/>
      <c r="H56" s="41"/>
      <c r="I56" s="41"/>
      <c r="J56" s="41"/>
      <c r="K56" s="41"/>
      <c r="L56" s="41"/>
      <c r="M56" s="41"/>
      <c r="N56" s="41"/>
    </row>
    <row r="57">
      <c r="A57" s="22">
        <v>53.0</v>
      </c>
      <c r="B57" s="23" t="s">
        <v>132</v>
      </c>
      <c r="C57" s="23" t="s">
        <v>133</v>
      </c>
      <c r="D57" s="88" t="str">
        <f t="shared" si="2"/>
        <v>9번 중 9번 참여</v>
      </c>
      <c r="E57" s="89">
        <f t="shared" si="3"/>
        <v>1</v>
      </c>
      <c r="F57" s="90" t="s">
        <v>25</v>
      </c>
      <c r="G57" s="90" t="s">
        <v>25</v>
      </c>
      <c r="H57" s="90" t="s">
        <v>25</v>
      </c>
      <c r="I57" s="90" t="s">
        <v>25</v>
      </c>
      <c r="J57" s="90" t="s">
        <v>25</v>
      </c>
      <c r="K57" s="90" t="s">
        <v>25</v>
      </c>
      <c r="L57" s="90" t="s">
        <v>25</v>
      </c>
      <c r="M57" s="90" t="s">
        <v>25</v>
      </c>
      <c r="N57" s="90" t="s">
        <v>25</v>
      </c>
    </row>
    <row r="58">
      <c r="A58" s="30">
        <v>54.0</v>
      </c>
      <c r="B58" s="93" t="s">
        <v>283</v>
      </c>
      <c r="C58" s="93" t="s">
        <v>119</v>
      </c>
      <c r="D58" s="88" t="str">
        <f t="shared" si="2"/>
        <v>9번 중 9번 참여</v>
      </c>
      <c r="E58" s="89">
        <f t="shared" si="3"/>
        <v>1</v>
      </c>
      <c r="F58" s="90" t="s">
        <v>25</v>
      </c>
      <c r="G58" s="90" t="s">
        <v>25</v>
      </c>
      <c r="H58" s="90" t="s">
        <v>25</v>
      </c>
      <c r="I58" s="90" t="s">
        <v>25</v>
      </c>
      <c r="J58" s="90" t="s">
        <v>25</v>
      </c>
      <c r="K58" s="90" t="s">
        <v>25</v>
      </c>
      <c r="L58" s="90" t="s">
        <v>25</v>
      </c>
      <c r="M58" s="90" t="s">
        <v>25</v>
      </c>
      <c r="N58" s="90" t="s">
        <v>25</v>
      </c>
    </row>
    <row r="59">
      <c r="A59" s="22">
        <v>55.0</v>
      </c>
      <c r="B59" s="115"/>
      <c r="C59" s="154"/>
      <c r="D59" s="88" t="str">
        <f t="shared" si="2"/>
        <v/>
      </c>
      <c r="E59" s="89" t="str">
        <f t="shared" si="3"/>
        <v/>
      </c>
      <c r="F59" s="41"/>
      <c r="G59" s="41"/>
      <c r="H59" s="41"/>
      <c r="I59" s="41"/>
      <c r="J59" s="41"/>
      <c r="K59" s="41"/>
      <c r="L59" s="41"/>
      <c r="M59" s="41"/>
      <c r="N59" s="41"/>
    </row>
    <row r="60">
      <c r="A60" s="30">
        <v>56.0</v>
      </c>
      <c r="B60" s="98" t="s">
        <v>28</v>
      </c>
      <c r="C60" s="98" t="s">
        <v>70</v>
      </c>
      <c r="D60" s="88" t="str">
        <f t="shared" si="2"/>
        <v>9번 중 9번 참여</v>
      </c>
      <c r="E60" s="89">
        <f t="shared" si="3"/>
        <v>1</v>
      </c>
      <c r="F60" s="90" t="s">
        <v>25</v>
      </c>
      <c r="G60" s="90" t="s">
        <v>25</v>
      </c>
      <c r="H60" s="90" t="s">
        <v>25</v>
      </c>
      <c r="I60" s="90" t="s">
        <v>25</v>
      </c>
      <c r="J60" s="90" t="s">
        <v>25</v>
      </c>
      <c r="K60" s="90" t="s">
        <v>25</v>
      </c>
      <c r="L60" s="90" t="s">
        <v>25</v>
      </c>
      <c r="M60" s="90" t="s">
        <v>25</v>
      </c>
      <c r="N60" s="90" t="s">
        <v>25</v>
      </c>
    </row>
    <row r="61">
      <c r="A61" s="22">
        <v>57.0</v>
      </c>
      <c r="B61" s="31"/>
      <c r="C61" s="31"/>
      <c r="D61" s="88" t="str">
        <f t="shared" si="2"/>
        <v/>
      </c>
      <c r="E61" s="89" t="str">
        <f t="shared" si="3"/>
        <v/>
      </c>
      <c r="F61" s="41"/>
      <c r="G61" s="41"/>
      <c r="H61" s="41"/>
      <c r="I61" s="41"/>
      <c r="J61" s="41"/>
      <c r="K61" s="41"/>
      <c r="L61" s="41"/>
      <c r="M61" s="41"/>
      <c r="N61" s="41"/>
    </row>
    <row r="62">
      <c r="A62" s="30">
        <v>58.0</v>
      </c>
      <c r="B62" s="95" t="s">
        <v>138</v>
      </c>
      <c r="C62" s="23" t="s">
        <v>139</v>
      </c>
      <c r="D62" s="88" t="str">
        <f t="shared" si="2"/>
        <v>9번 중 7번 참여</v>
      </c>
      <c r="E62" s="89">
        <f t="shared" si="3"/>
        <v>0.7777777778</v>
      </c>
      <c r="F62" s="41"/>
      <c r="G62" s="90" t="s">
        <v>25</v>
      </c>
      <c r="H62" s="90" t="s">
        <v>25</v>
      </c>
      <c r="I62" s="90" t="s">
        <v>25</v>
      </c>
      <c r="J62" s="90" t="s">
        <v>25</v>
      </c>
      <c r="K62" s="41"/>
      <c r="L62" s="90" t="s">
        <v>25</v>
      </c>
      <c r="M62" s="90" t="s">
        <v>25</v>
      </c>
      <c r="N62" s="90" t="s">
        <v>25</v>
      </c>
    </row>
    <row r="63">
      <c r="A63" s="22">
        <v>59.0</v>
      </c>
      <c r="B63" s="101" t="s">
        <v>136</v>
      </c>
      <c r="C63" s="31" t="s">
        <v>137</v>
      </c>
      <c r="D63" s="88" t="str">
        <f t="shared" si="2"/>
        <v>9번 중 7번 참여</v>
      </c>
      <c r="E63" s="89">
        <f t="shared" si="3"/>
        <v>0.7777777778</v>
      </c>
      <c r="F63" s="41"/>
      <c r="G63" s="90" t="s">
        <v>25</v>
      </c>
      <c r="H63" s="90" t="s">
        <v>25</v>
      </c>
      <c r="I63" s="90" t="s">
        <v>25</v>
      </c>
      <c r="J63" s="90" t="s">
        <v>25</v>
      </c>
      <c r="K63" s="41"/>
      <c r="L63" s="90" t="s">
        <v>25</v>
      </c>
      <c r="M63" s="90" t="s">
        <v>25</v>
      </c>
      <c r="N63" s="90" t="s">
        <v>25</v>
      </c>
    </row>
    <row r="64">
      <c r="A64" s="30">
        <v>60.0</v>
      </c>
      <c r="B64" s="23" t="s">
        <v>142</v>
      </c>
      <c r="C64" s="23" t="s">
        <v>143</v>
      </c>
      <c r="D64" s="88" t="str">
        <f t="shared" si="2"/>
        <v>9번 중 6번 참여</v>
      </c>
      <c r="E64" s="89">
        <f t="shared" si="3"/>
        <v>0.6666666667</v>
      </c>
      <c r="F64" s="90" t="s">
        <v>25</v>
      </c>
      <c r="G64" s="41"/>
      <c r="H64" s="90" t="s">
        <v>25</v>
      </c>
      <c r="I64" s="90" t="s">
        <v>25</v>
      </c>
      <c r="J64" s="90" t="s">
        <v>25</v>
      </c>
      <c r="K64" s="90" t="s">
        <v>25</v>
      </c>
      <c r="L64" s="90" t="s">
        <v>25</v>
      </c>
      <c r="M64" s="41"/>
      <c r="N64" s="41"/>
    </row>
    <row r="65">
      <c r="A65" s="22">
        <v>61.0</v>
      </c>
      <c r="B65" s="31" t="s">
        <v>144</v>
      </c>
      <c r="C65" s="31" t="s">
        <v>145</v>
      </c>
      <c r="D65" s="88" t="str">
        <f t="shared" si="2"/>
        <v>9번 중 6번 참여</v>
      </c>
      <c r="E65" s="89">
        <f t="shared" si="3"/>
        <v>0.6666666667</v>
      </c>
      <c r="F65" s="90" t="s">
        <v>25</v>
      </c>
      <c r="G65" s="41"/>
      <c r="H65" s="90" t="s">
        <v>25</v>
      </c>
      <c r="I65" s="90" t="s">
        <v>25</v>
      </c>
      <c r="J65" s="90" t="s">
        <v>25</v>
      </c>
      <c r="K65" s="90" t="s">
        <v>25</v>
      </c>
      <c r="L65" s="90" t="s">
        <v>25</v>
      </c>
      <c r="M65" s="41"/>
      <c r="N65" s="41"/>
    </row>
    <row r="66">
      <c r="A66" s="30">
        <v>62.0</v>
      </c>
      <c r="B66" s="23" t="s">
        <v>146</v>
      </c>
      <c r="C66" s="23" t="s">
        <v>147</v>
      </c>
      <c r="D66" s="88" t="str">
        <f t="shared" si="2"/>
        <v>9번 중 9번 참여</v>
      </c>
      <c r="E66" s="89">
        <f t="shared" si="3"/>
        <v>1</v>
      </c>
      <c r="F66" s="90" t="s">
        <v>25</v>
      </c>
      <c r="G66" s="90" t="s">
        <v>25</v>
      </c>
      <c r="H66" s="90" t="s">
        <v>25</v>
      </c>
      <c r="I66" s="90" t="s">
        <v>25</v>
      </c>
      <c r="J66" s="90" t="s">
        <v>25</v>
      </c>
      <c r="K66" s="90" t="s">
        <v>25</v>
      </c>
      <c r="L66" s="90" t="s">
        <v>25</v>
      </c>
      <c r="M66" s="90" t="s">
        <v>25</v>
      </c>
      <c r="N66" s="90" t="s">
        <v>25</v>
      </c>
    </row>
    <row r="67">
      <c r="A67" s="22">
        <v>63.0</v>
      </c>
      <c r="B67" s="31" t="s">
        <v>148</v>
      </c>
      <c r="C67" s="31" t="s">
        <v>149</v>
      </c>
      <c r="D67" s="88" t="str">
        <f t="shared" si="2"/>
        <v>9번 중 7번 참여</v>
      </c>
      <c r="E67" s="89">
        <f t="shared" si="3"/>
        <v>0.7777777778</v>
      </c>
      <c r="F67" s="90" t="s">
        <v>25</v>
      </c>
      <c r="G67" s="90" t="s">
        <v>25</v>
      </c>
      <c r="H67" s="90" t="s">
        <v>25</v>
      </c>
      <c r="I67" s="90" t="s">
        <v>25</v>
      </c>
      <c r="J67" s="90" t="s">
        <v>25</v>
      </c>
      <c r="K67" s="90" t="s">
        <v>25</v>
      </c>
      <c r="L67" s="90" t="s">
        <v>25</v>
      </c>
      <c r="M67" s="41"/>
      <c r="N67" s="41"/>
    </row>
    <row r="68">
      <c r="A68" s="30">
        <v>64.0</v>
      </c>
      <c r="B68" s="152"/>
      <c r="C68" s="152"/>
      <c r="D68" s="88" t="str">
        <f t="shared" si="2"/>
        <v/>
      </c>
      <c r="E68" s="89" t="str">
        <f t="shared" si="3"/>
        <v/>
      </c>
      <c r="F68" s="41"/>
      <c r="G68" s="41"/>
      <c r="H68" s="41"/>
      <c r="I68" s="41"/>
      <c r="J68" s="41"/>
      <c r="K68" s="41"/>
      <c r="L68" s="41"/>
      <c r="M68" s="41"/>
      <c r="N68" s="41"/>
    </row>
    <row r="69">
      <c r="A69" s="22">
        <v>65.0</v>
      </c>
      <c r="B69" s="23" t="s">
        <v>140</v>
      </c>
      <c r="C69" s="23" t="s">
        <v>141</v>
      </c>
      <c r="D69" s="88" t="str">
        <f t="shared" si="2"/>
        <v>9번 중 7번 참여</v>
      </c>
      <c r="E69" s="89">
        <f t="shared" si="3"/>
        <v>0.7777777778</v>
      </c>
      <c r="F69" s="90" t="s">
        <v>25</v>
      </c>
      <c r="G69" s="90" t="s">
        <v>25</v>
      </c>
      <c r="H69" s="90" t="s">
        <v>25</v>
      </c>
      <c r="I69" s="90" t="s">
        <v>25</v>
      </c>
      <c r="J69" s="90" t="s">
        <v>25</v>
      </c>
      <c r="K69" s="90" t="s">
        <v>25</v>
      </c>
      <c r="L69" s="90" t="s">
        <v>80</v>
      </c>
      <c r="M69" s="90" t="s">
        <v>25</v>
      </c>
      <c r="N69" s="41"/>
    </row>
    <row r="70">
      <c r="A70" s="30">
        <v>66.0</v>
      </c>
      <c r="B70" s="31" t="s">
        <v>150</v>
      </c>
      <c r="C70" s="128" t="s">
        <v>151</v>
      </c>
      <c r="D70" s="88" t="str">
        <f t="shared" si="2"/>
        <v/>
      </c>
      <c r="E70" s="89" t="str">
        <f t="shared" si="3"/>
        <v/>
      </c>
      <c r="F70" s="41"/>
      <c r="G70" s="41"/>
      <c r="H70" s="41"/>
      <c r="I70" s="41"/>
      <c r="J70" s="41"/>
      <c r="K70" s="41"/>
      <c r="L70" s="41"/>
      <c r="M70" s="41"/>
      <c r="N70" s="41"/>
    </row>
    <row r="71">
      <c r="A71" s="22">
        <v>67.0</v>
      </c>
      <c r="B71" s="23" t="s">
        <v>152</v>
      </c>
      <c r="C71" s="23" t="s">
        <v>153</v>
      </c>
      <c r="D71" s="88" t="str">
        <f t="shared" si="2"/>
        <v>9번 중 6번 참여</v>
      </c>
      <c r="E71" s="89">
        <f t="shared" si="3"/>
        <v>0.6666666667</v>
      </c>
      <c r="F71" s="90" t="s">
        <v>25</v>
      </c>
      <c r="G71" s="41"/>
      <c r="H71" s="90" t="s">
        <v>25</v>
      </c>
      <c r="I71" s="41"/>
      <c r="J71" s="90" t="s">
        <v>25</v>
      </c>
      <c r="K71" s="41"/>
      <c r="L71" s="90" t="s">
        <v>25</v>
      </c>
      <c r="M71" s="90" t="s">
        <v>25</v>
      </c>
      <c r="N71" s="90" t="s">
        <v>25</v>
      </c>
    </row>
    <row r="72">
      <c r="A72" s="30">
        <v>68.0</v>
      </c>
      <c r="B72" s="31"/>
      <c r="C72" s="31"/>
      <c r="D72" s="88" t="str">
        <f t="shared" si="2"/>
        <v/>
      </c>
      <c r="E72" s="89" t="str">
        <f t="shared" si="3"/>
        <v/>
      </c>
      <c r="F72" s="41"/>
      <c r="G72" s="41"/>
      <c r="H72" s="41"/>
      <c r="I72" s="41"/>
      <c r="J72" s="41"/>
      <c r="K72" s="41"/>
      <c r="L72" s="41"/>
      <c r="M72" s="41"/>
      <c r="N72" s="41"/>
    </row>
    <row r="73">
      <c r="A73" s="22">
        <v>69.0</v>
      </c>
      <c r="B73" s="23" t="s">
        <v>156</v>
      </c>
      <c r="C73" s="23" t="s">
        <v>157</v>
      </c>
      <c r="D73" s="88" t="str">
        <f t="shared" si="2"/>
        <v>9번 중 7번 참여</v>
      </c>
      <c r="E73" s="89">
        <f t="shared" si="3"/>
        <v>0.7777777778</v>
      </c>
      <c r="F73" s="90" t="s">
        <v>25</v>
      </c>
      <c r="G73" s="90" t="s">
        <v>25</v>
      </c>
      <c r="H73" s="90" t="s">
        <v>25</v>
      </c>
      <c r="I73" s="90" t="s">
        <v>25</v>
      </c>
      <c r="J73" s="90" t="s">
        <v>25</v>
      </c>
      <c r="K73" s="90" t="s">
        <v>25</v>
      </c>
      <c r="L73" s="90" t="s">
        <v>25</v>
      </c>
      <c r="M73" s="41"/>
      <c r="N73" s="41"/>
    </row>
    <row r="74">
      <c r="A74" s="30">
        <v>70.0</v>
      </c>
      <c r="B74" s="125" t="s">
        <v>158</v>
      </c>
      <c r="C74" s="125" t="s">
        <v>159</v>
      </c>
      <c r="D74" s="88" t="str">
        <f t="shared" si="2"/>
        <v>9번 중 9번 참여</v>
      </c>
      <c r="E74" s="89">
        <f t="shared" si="3"/>
        <v>1</v>
      </c>
      <c r="F74" s="90" t="s">
        <v>25</v>
      </c>
      <c r="G74" s="90" t="s">
        <v>25</v>
      </c>
      <c r="H74" s="90" t="s">
        <v>25</v>
      </c>
      <c r="I74" s="90" t="s">
        <v>25</v>
      </c>
      <c r="J74" s="90" t="s">
        <v>25</v>
      </c>
      <c r="K74" s="90" t="s">
        <v>25</v>
      </c>
      <c r="L74" s="90" t="s">
        <v>25</v>
      </c>
      <c r="M74" s="90" t="s">
        <v>25</v>
      </c>
      <c r="N74" s="90" t="s">
        <v>25</v>
      </c>
    </row>
    <row r="75">
      <c r="A75" s="22">
        <v>71.0</v>
      </c>
      <c r="B75" s="127" t="s">
        <v>160</v>
      </c>
      <c r="C75" s="127" t="s">
        <v>161</v>
      </c>
      <c r="D75" s="88" t="str">
        <f t="shared" si="2"/>
        <v>9번 중 8번 참여</v>
      </c>
      <c r="E75" s="89">
        <f t="shared" si="3"/>
        <v>0.8888888889</v>
      </c>
      <c r="F75" s="90" t="s">
        <v>25</v>
      </c>
      <c r="G75" s="90" t="s">
        <v>25</v>
      </c>
      <c r="H75" s="90" t="s">
        <v>25</v>
      </c>
      <c r="I75" s="90" t="s">
        <v>25</v>
      </c>
      <c r="J75" s="90" t="s">
        <v>25</v>
      </c>
      <c r="K75" s="90" t="s">
        <v>25</v>
      </c>
      <c r="L75" s="90" t="s">
        <v>25</v>
      </c>
      <c r="M75" s="41"/>
      <c r="N75" s="90" t="s">
        <v>25</v>
      </c>
    </row>
    <row r="76">
      <c r="A76" s="30">
        <v>72.0</v>
      </c>
      <c r="B76" s="31" t="s">
        <v>162</v>
      </c>
      <c r="C76" s="31" t="s">
        <v>163</v>
      </c>
      <c r="D76" s="88" t="str">
        <f t="shared" si="2"/>
        <v>9번 중 9번 참여</v>
      </c>
      <c r="E76" s="89">
        <f t="shared" si="3"/>
        <v>1</v>
      </c>
      <c r="F76" s="90" t="s">
        <v>25</v>
      </c>
      <c r="G76" s="90" t="s">
        <v>25</v>
      </c>
      <c r="H76" s="90" t="s">
        <v>25</v>
      </c>
      <c r="I76" s="90" t="s">
        <v>25</v>
      </c>
      <c r="J76" s="90" t="s">
        <v>25</v>
      </c>
      <c r="K76" s="90" t="s">
        <v>25</v>
      </c>
      <c r="L76" s="90" t="s">
        <v>25</v>
      </c>
      <c r="M76" s="90" t="s">
        <v>25</v>
      </c>
      <c r="N76" s="90" t="s">
        <v>25</v>
      </c>
    </row>
    <row r="77">
      <c r="A77" s="22">
        <v>73.0</v>
      </c>
      <c r="B77" s="23" t="s">
        <v>164</v>
      </c>
      <c r="C77" s="23" t="s">
        <v>165</v>
      </c>
      <c r="D77" s="88" t="str">
        <f t="shared" si="2"/>
        <v>9번 중 9번 참여</v>
      </c>
      <c r="E77" s="89">
        <f t="shared" si="3"/>
        <v>1</v>
      </c>
      <c r="F77" s="90" t="s">
        <v>25</v>
      </c>
      <c r="G77" s="90" t="s">
        <v>25</v>
      </c>
      <c r="H77" s="90" t="s">
        <v>25</v>
      </c>
      <c r="I77" s="90" t="s">
        <v>25</v>
      </c>
      <c r="J77" s="90" t="s">
        <v>25</v>
      </c>
      <c r="K77" s="90" t="s">
        <v>25</v>
      </c>
      <c r="L77" s="90" t="s">
        <v>25</v>
      </c>
      <c r="M77" s="90" t="s">
        <v>25</v>
      </c>
      <c r="N77" s="90" t="s">
        <v>25</v>
      </c>
    </row>
    <row r="78">
      <c r="A78" s="30">
        <v>74.0</v>
      </c>
      <c r="B78" s="125" t="s">
        <v>166</v>
      </c>
      <c r="C78" s="125" t="s">
        <v>167</v>
      </c>
      <c r="D78" s="88" t="str">
        <f t="shared" si="2"/>
        <v>9번 중 5번 참여</v>
      </c>
      <c r="E78" s="89">
        <f t="shared" si="3"/>
        <v>0.5555555556</v>
      </c>
      <c r="F78" s="90" t="s">
        <v>25</v>
      </c>
      <c r="G78" s="90" t="s">
        <v>25</v>
      </c>
      <c r="H78" s="41"/>
      <c r="I78" s="90" t="s">
        <v>25</v>
      </c>
      <c r="J78" s="41"/>
      <c r="K78" s="41"/>
      <c r="L78" s="41"/>
      <c r="M78" s="90" t="s">
        <v>25</v>
      </c>
      <c r="N78" s="90" t="s">
        <v>25</v>
      </c>
    </row>
    <row r="79">
      <c r="A79" s="22">
        <v>75.0</v>
      </c>
      <c r="B79" s="155"/>
      <c r="C79" s="156"/>
      <c r="D79" s="88" t="str">
        <f t="shared" si="2"/>
        <v/>
      </c>
      <c r="E79" s="89" t="str">
        <f t="shared" si="3"/>
        <v/>
      </c>
      <c r="F79" s="157"/>
      <c r="G79" s="41"/>
      <c r="H79" s="41"/>
      <c r="I79" s="41"/>
      <c r="J79" s="41"/>
      <c r="K79" s="41"/>
      <c r="L79" s="41"/>
      <c r="M79" s="41"/>
      <c r="N79" s="41"/>
    </row>
    <row r="80">
      <c r="A80" s="30">
        <v>76.0</v>
      </c>
      <c r="B80" s="31" t="s">
        <v>154</v>
      </c>
      <c r="C80" s="31" t="s">
        <v>155</v>
      </c>
      <c r="D80" s="88" t="str">
        <f t="shared" si="2"/>
        <v>9번 중 9번 참여</v>
      </c>
      <c r="E80" s="89">
        <f t="shared" si="3"/>
        <v>1</v>
      </c>
      <c r="F80" s="90" t="s">
        <v>25</v>
      </c>
      <c r="G80" s="90" t="s">
        <v>25</v>
      </c>
      <c r="H80" s="90" t="s">
        <v>25</v>
      </c>
      <c r="I80" s="90" t="s">
        <v>25</v>
      </c>
      <c r="J80" s="90" t="s">
        <v>25</v>
      </c>
      <c r="K80" s="90" t="s">
        <v>25</v>
      </c>
      <c r="L80" s="90" t="s">
        <v>25</v>
      </c>
      <c r="M80" s="90" t="s">
        <v>25</v>
      </c>
      <c r="N80" s="90" t="s">
        <v>25</v>
      </c>
    </row>
    <row r="81">
      <c r="A81" s="22">
        <v>77.0</v>
      </c>
      <c r="B81" s="153"/>
      <c r="C81" s="153"/>
      <c r="D81" s="88" t="str">
        <f t="shared" si="2"/>
        <v/>
      </c>
      <c r="E81" s="89" t="str">
        <f t="shared" si="3"/>
        <v/>
      </c>
      <c r="F81" s="41"/>
      <c r="G81" s="41"/>
      <c r="H81" s="41"/>
      <c r="I81" s="41"/>
      <c r="J81" s="41"/>
      <c r="K81" s="41"/>
      <c r="L81" s="41"/>
      <c r="M81" s="41"/>
      <c r="N81" s="41"/>
    </row>
    <row r="82">
      <c r="A82" s="30">
        <v>78.0</v>
      </c>
      <c r="B82" s="31" t="s">
        <v>170</v>
      </c>
      <c r="C82" s="31" t="s">
        <v>171</v>
      </c>
      <c r="D82" s="88" t="str">
        <f t="shared" si="2"/>
        <v>9번 중 9번 참여</v>
      </c>
      <c r="E82" s="89">
        <f t="shared" si="3"/>
        <v>1</v>
      </c>
      <c r="F82" s="90" t="s">
        <v>25</v>
      </c>
      <c r="G82" s="90" t="s">
        <v>25</v>
      </c>
      <c r="H82" s="90" t="s">
        <v>25</v>
      </c>
      <c r="I82" s="90" t="s">
        <v>25</v>
      </c>
      <c r="J82" s="90" t="s">
        <v>25</v>
      </c>
      <c r="K82" s="90" t="s">
        <v>25</v>
      </c>
      <c r="L82" s="90" t="s">
        <v>25</v>
      </c>
      <c r="M82" s="90" t="s">
        <v>25</v>
      </c>
      <c r="N82" s="90" t="s">
        <v>25</v>
      </c>
    </row>
    <row r="83">
      <c r="A83" s="22">
        <v>79.0</v>
      </c>
      <c r="B83" s="23" t="s">
        <v>172</v>
      </c>
      <c r="C83" s="100" t="s">
        <v>173</v>
      </c>
      <c r="D83" s="88" t="str">
        <f t="shared" si="2"/>
        <v>9번 중 9번 참여</v>
      </c>
      <c r="E83" s="89">
        <f t="shared" si="3"/>
        <v>1</v>
      </c>
      <c r="F83" s="90" t="s">
        <v>25</v>
      </c>
      <c r="G83" s="90" t="s">
        <v>25</v>
      </c>
      <c r="H83" s="90" t="s">
        <v>25</v>
      </c>
      <c r="I83" s="90" t="s">
        <v>25</v>
      </c>
      <c r="J83" s="90" t="s">
        <v>25</v>
      </c>
      <c r="K83" s="90" t="s">
        <v>25</v>
      </c>
      <c r="L83" s="90" t="s">
        <v>25</v>
      </c>
      <c r="M83" s="90" t="s">
        <v>25</v>
      </c>
      <c r="N83" s="90" t="s">
        <v>25</v>
      </c>
    </row>
    <row r="84">
      <c r="A84" s="30">
        <v>80.0</v>
      </c>
      <c r="B84" s="125"/>
      <c r="C84" s="158"/>
      <c r="D84" s="88" t="str">
        <f t="shared" si="2"/>
        <v/>
      </c>
      <c r="E84" s="89" t="str">
        <f t="shared" si="3"/>
        <v/>
      </c>
      <c r="F84" s="41"/>
      <c r="G84" s="41"/>
      <c r="H84" s="41"/>
      <c r="I84" s="41"/>
      <c r="J84" s="41"/>
      <c r="K84" s="41"/>
      <c r="L84" s="41"/>
      <c r="M84" s="41"/>
      <c r="N84" s="41"/>
    </row>
    <row r="85">
      <c r="A85" s="22">
        <v>81.0</v>
      </c>
      <c r="B85" s="115"/>
      <c r="C85" s="159"/>
      <c r="D85" s="88" t="str">
        <f t="shared" si="2"/>
        <v/>
      </c>
      <c r="E85" s="89" t="str">
        <f t="shared" si="3"/>
        <v/>
      </c>
      <c r="F85" s="41"/>
      <c r="G85" s="41"/>
      <c r="H85" s="41"/>
      <c r="I85" s="41"/>
      <c r="J85" s="41"/>
      <c r="K85" s="41"/>
      <c r="L85" s="41"/>
      <c r="M85" s="41"/>
      <c r="N85" s="41"/>
    </row>
    <row r="86">
      <c r="A86" s="30">
        <v>82.0</v>
      </c>
      <c r="B86" s="31" t="s">
        <v>174</v>
      </c>
      <c r="C86" s="128" t="s">
        <v>175</v>
      </c>
      <c r="D86" s="88" t="str">
        <f t="shared" si="2"/>
        <v>9번 중 3번 참여</v>
      </c>
      <c r="E86" s="89">
        <f t="shared" si="3"/>
        <v>0.3333333333</v>
      </c>
      <c r="F86" s="90" t="s">
        <v>25</v>
      </c>
      <c r="G86" s="41"/>
      <c r="H86" s="41"/>
      <c r="I86" s="41"/>
      <c r="J86" s="90" t="s">
        <v>25</v>
      </c>
      <c r="K86" s="41"/>
      <c r="L86" s="41"/>
      <c r="M86" s="90" t="s">
        <v>25</v>
      </c>
      <c r="N86" s="41"/>
    </row>
    <row r="87">
      <c r="A87" s="22">
        <v>83.0</v>
      </c>
      <c r="B87" s="23" t="s">
        <v>168</v>
      </c>
      <c r="C87" s="100" t="s">
        <v>169</v>
      </c>
      <c r="D87" s="88" t="str">
        <f t="shared" si="2"/>
        <v>9번 중 7번 참여</v>
      </c>
      <c r="E87" s="89">
        <f t="shared" si="3"/>
        <v>0.7777777778</v>
      </c>
      <c r="F87" s="90" t="s">
        <v>25</v>
      </c>
      <c r="G87" s="41"/>
      <c r="H87" s="90" t="s">
        <v>25</v>
      </c>
      <c r="I87" s="90" t="s">
        <v>25</v>
      </c>
      <c r="J87" s="41"/>
      <c r="K87" s="90" t="s">
        <v>25</v>
      </c>
      <c r="L87" s="90" t="s">
        <v>25</v>
      </c>
      <c r="M87" s="90" t="s">
        <v>25</v>
      </c>
      <c r="N87" s="90" t="s">
        <v>25</v>
      </c>
    </row>
    <row r="88">
      <c r="A88" s="30">
        <v>84.0</v>
      </c>
      <c r="B88" s="94"/>
      <c r="C88" s="129"/>
      <c r="D88" s="88" t="str">
        <f t="shared" si="2"/>
        <v/>
      </c>
      <c r="E88" s="89" t="str">
        <f t="shared" si="3"/>
        <v/>
      </c>
      <c r="F88" s="41"/>
      <c r="G88" s="41"/>
      <c r="H88" s="41"/>
      <c r="I88" s="41"/>
      <c r="J88" s="90" t="s">
        <v>80</v>
      </c>
      <c r="K88" s="41"/>
      <c r="L88" s="41"/>
      <c r="M88" s="41"/>
      <c r="N88" s="41"/>
    </row>
    <row r="89">
      <c r="A89" s="22">
        <v>85.0</v>
      </c>
      <c r="B89" s="109" t="s">
        <v>176</v>
      </c>
      <c r="C89" s="110" t="s">
        <v>177</v>
      </c>
      <c r="D89" s="88" t="str">
        <f t="shared" si="2"/>
        <v>9번 중 7번 참여</v>
      </c>
      <c r="E89" s="89">
        <f t="shared" si="3"/>
        <v>0.7777777778</v>
      </c>
      <c r="F89" s="90" t="s">
        <v>25</v>
      </c>
      <c r="G89" s="41"/>
      <c r="H89" s="90" t="s">
        <v>25</v>
      </c>
      <c r="I89" s="90" t="s">
        <v>25</v>
      </c>
      <c r="J89" s="90" t="s">
        <v>25</v>
      </c>
      <c r="K89" s="41"/>
      <c r="L89" s="90" t="s">
        <v>25</v>
      </c>
      <c r="M89" s="90" t="s">
        <v>25</v>
      </c>
      <c r="N89" s="90" t="s">
        <v>25</v>
      </c>
    </row>
    <row r="90">
      <c r="A90" s="30">
        <v>86.0</v>
      </c>
      <c r="B90" s="94" t="s">
        <v>178</v>
      </c>
      <c r="C90" s="129" t="s">
        <v>179</v>
      </c>
      <c r="D90" s="88" t="str">
        <f t="shared" si="2"/>
        <v>9번 중 9번 참여</v>
      </c>
      <c r="E90" s="89">
        <f t="shared" si="3"/>
        <v>1</v>
      </c>
      <c r="F90" s="90" t="s">
        <v>25</v>
      </c>
      <c r="G90" s="90" t="s">
        <v>25</v>
      </c>
      <c r="H90" s="90" t="s">
        <v>25</v>
      </c>
      <c r="I90" s="90" t="s">
        <v>25</v>
      </c>
      <c r="J90" s="90" t="s">
        <v>25</v>
      </c>
      <c r="K90" s="90" t="s">
        <v>25</v>
      </c>
      <c r="L90" s="90" t="s">
        <v>25</v>
      </c>
      <c r="M90" s="90" t="s">
        <v>25</v>
      </c>
      <c r="N90" s="90" t="s">
        <v>25</v>
      </c>
    </row>
    <row r="91">
      <c r="A91" s="22">
        <v>87.0</v>
      </c>
      <c r="B91" s="23" t="s">
        <v>180</v>
      </c>
      <c r="C91" s="100" t="s">
        <v>181</v>
      </c>
      <c r="D91" s="88" t="str">
        <f t="shared" si="2"/>
        <v>9번 중 9번 참여</v>
      </c>
      <c r="E91" s="89">
        <f t="shared" si="3"/>
        <v>1</v>
      </c>
      <c r="F91" s="90" t="s">
        <v>25</v>
      </c>
      <c r="G91" s="90" t="s">
        <v>25</v>
      </c>
      <c r="H91" s="90" t="s">
        <v>25</v>
      </c>
      <c r="I91" s="90" t="s">
        <v>25</v>
      </c>
      <c r="J91" s="90" t="s">
        <v>25</v>
      </c>
      <c r="K91" s="90" t="s">
        <v>25</v>
      </c>
      <c r="L91" s="90" t="s">
        <v>25</v>
      </c>
      <c r="M91" s="90" t="s">
        <v>25</v>
      </c>
      <c r="N91" s="90" t="s">
        <v>25</v>
      </c>
    </row>
    <row r="92">
      <c r="A92" s="30">
        <v>88.0</v>
      </c>
      <c r="B92" s="61"/>
      <c r="C92" s="148"/>
      <c r="D92" s="88" t="str">
        <f t="shared" si="2"/>
        <v/>
      </c>
      <c r="E92" s="89" t="str">
        <f t="shared" si="3"/>
        <v/>
      </c>
      <c r="F92" s="41"/>
      <c r="G92" s="41"/>
      <c r="H92" s="41"/>
      <c r="I92" s="41"/>
      <c r="J92" s="41"/>
      <c r="K92" s="41"/>
      <c r="L92" s="41"/>
      <c r="M92" s="41"/>
      <c r="N92" s="41"/>
    </row>
    <row r="93">
      <c r="A93" s="22">
        <v>89.0</v>
      </c>
      <c r="B93" s="111" t="s">
        <v>184</v>
      </c>
      <c r="C93" s="160" t="s">
        <v>303</v>
      </c>
      <c r="D93" s="88" t="str">
        <f t="shared" si="2"/>
        <v>9번 중 9번 참여</v>
      </c>
      <c r="E93" s="89">
        <f t="shared" si="3"/>
        <v>1</v>
      </c>
      <c r="F93" s="90" t="s">
        <v>25</v>
      </c>
      <c r="G93" s="90" t="s">
        <v>25</v>
      </c>
      <c r="H93" s="90" t="s">
        <v>25</v>
      </c>
      <c r="I93" s="90" t="s">
        <v>25</v>
      </c>
      <c r="J93" s="90" t="s">
        <v>25</v>
      </c>
      <c r="K93" s="90" t="s">
        <v>25</v>
      </c>
      <c r="L93" s="90" t="s">
        <v>25</v>
      </c>
      <c r="M93" s="90" t="s">
        <v>25</v>
      </c>
      <c r="N93" s="90" t="s">
        <v>25</v>
      </c>
    </row>
    <row r="94">
      <c r="A94" s="30">
        <v>90.0</v>
      </c>
      <c r="B94" s="130" t="s">
        <v>205</v>
      </c>
      <c r="C94" s="113" t="s">
        <v>206</v>
      </c>
      <c r="D94" s="88" t="str">
        <f t="shared" si="2"/>
        <v>9번 중 4번 참여</v>
      </c>
      <c r="E94" s="89">
        <f t="shared" si="3"/>
        <v>0.4444444444</v>
      </c>
      <c r="F94" s="41"/>
      <c r="G94" s="41"/>
      <c r="H94" s="90" t="s">
        <v>25</v>
      </c>
      <c r="I94" s="41"/>
      <c r="J94" s="90" t="s">
        <v>25</v>
      </c>
      <c r="K94" s="41"/>
      <c r="L94" s="90" t="s">
        <v>25</v>
      </c>
      <c r="M94" s="41"/>
      <c r="N94" s="90" t="s">
        <v>25</v>
      </c>
    </row>
    <row r="95">
      <c r="A95" s="22">
        <v>91.0</v>
      </c>
      <c r="B95" s="50" t="s">
        <v>182</v>
      </c>
      <c r="C95" s="131" t="s">
        <v>183</v>
      </c>
      <c r="D95" s="88" t="str">
        <f t="shared" si="2"/>
        <v>9번 중 7번 참여</v>
      </c>
      <c r="E95" s="89">
        <f t="shared" si="3"/>
        <v>0.7777777778</v>
      </c>
      <c r="F95" s="41"/>
      <c r="G95" s="90" t="s">
        <v>25</v>
      </c>
      <c r="H95" s="90" t="s">
        <v>25</v>
      </c>
      <c r="I95" s="90" t="s">
        <v>25</v>
      </c>
      <c r="J95" s="90" t="s">
        <v>25</v>
      </c>
      <c r="K95" s="90" t="s">
        <v>25</v>
      </c>
      <c r="L95" s="90" t="s">
        <v>25</v>
      </c>
      <c r="M95" s="90" t="s">
        <v>25</v>
      </c>
      <c r="N95" s="41"/>
    </row>
    <row r="96">
      <c r="A96" s="30">
        <v>92.0</v>
      </c>
      <c r="B96" s="61"/>
      <c r="C96" s="148"/>
      <c r="D96" s="88" t="str">
        <f t="shared" si="2"/>
        <v/>
      </c>
      <c r="E96" s="89" t="str">
        <f t="shared" si="3"/>
        <v/>
      </c>
      <c r="F96" s="41"/>
      <c r="G96" s="41"/>
      <c r="H96" s="41"/>
      <c r="I96" s="41"/>
      <c r="J96" s="41"/>
      <c r="K96" s="41"/>
      <c r="L96" s="41"/>
      <c r="M96" s="41"/>
      <c r="N96" s="41"/>
    </row>
    <row r="97">
      <c r="A97" s="22">
        <v>93.0</v>
      </c>
      <c r="B97" s="111"/>
      <c r="C97" s="149"/>
      <c r="D97" s="88" t="str">
        <f t="shared" si="2"/>
        <v/>
      </c>
      <c r="E97" s="89" t="str">
        <f t="shared" si="3"/>
        <v/>
      </c>
      <c r="F97" s="41"/>
      <c r="G97" s="41"/>
      <c r="H97" s="41"/>
      <c r="I97" s="41"/>
      <c r="J97" s="41"/>
      <c r="K97" s="41"/>
      <c r="L97" s="41"/>
      <c r="M97" s="41"/>
      <c r="N97" s="41"/>
    </row>
    <row r="98">
      <c r="A98" s="30">
        <v>94.0</v>
      </c>
      <c r="B98" s="130"/>
      <c r="C98" s="113"/>
      <c r="D98" s="88" t="str">
        <f t="shared" si="2"/>
        <v/>
      </c>
      <c r="E98" s="89" t="str">
        <f t="shared" si="3"/>
        <v/>
      </c>
      <c r="F98" s="41"/>
      <c r="G98" s="41"/>
      <c r="H98" s="41"/>
      <c r="I98" s="41"/>
      <c r="J98" s="41"/>
      <c r="K98" s="41"/>
      <c r="L98" s="41"/>
      <c r="M98" s="41"/>
      <c r="N98" s="41"/>
    </row>
    <row r="99">
      <c r="A99" s="22">
        <v>95.0</v>
      </c>
      <c r="B99" s="68"/>
      <c r="C99" s="68"/>
      <c r="D99" s="88" t="str">
        <f t="shared" si="2"/>
        <v/>
      </c>
      <c r="E99" s="89" t="str">
        <f t="shared" si="3"/>
        <v/>
      </c>
      <c r="F99" s="41"/>
      <c r="G99" s="41"/>
      <c r="H99" s="41"/>
      <c r="I99" s="41"/>
      <c r="J99" s="41"/>
      <c r="K99" s="41"/>
      <c r="L99" s="41"/>
      <c r="M99" s="41"/>
      <c r="N99" s="41"/>
    </row>
    <row r="100">
      <c r="A100" s="30">
        <v>96.0</v>
      </c>
      <c r="B100" s="67"/>
      <c r="C100" s="67"/>
      <c r="D100" s="88" t="str">
        <f t="shared" si="2"/>
        <v/>
      </c>
      <c r="E100" s="89" t="str">
        <f t="shared" si="3"/>
        <v/>
      </c>
      <c r="F100" s="41"/>
      <c r="G100" s="41"/>
      <c r="H100" s="41"/>
      <c r="I100" s="41"/>
      <c r="J100" s="41"/>
      <c r="K100" s="41"/>
      <c r="L100" s="41"/>
      <c r="M100" s="41"/>
      <c r="N100" s="41"/>
    </row>
    <row r="101">
      <c r="A101" s="22">
        <v>97.0</v>
      </c>
      <c r="B101" s="68"/>
      <c r="C101" s="68"/>
      <c r="D101" s="88" t="str">
        <f t="shared" si="2"/>
        <v/>
      </c>
      <c r="E101" s="89" t="str">
        <f t="shared" si="3"/>
        <v/>
      </c>
      <c r="F101" s="41"/>
      <c r="G101" s="41"/>
      <c r="H101" s="41"/>
      <c r="I101" s="41"/>
      <c r="J101" s="41"/>
      <c r="K101" s="41"/>
      <c r="L101" s="41"/>
      <c r="M101" s="41"/>
      <c r="N101" s="41"/>
    </row>
    <row r="102">
      <c r="A102" s="30">
        <v>98.0</v>
      </c>
      <c r="B102" s="67"/>
      <c r="C102" s="67"/>
      <c r="D102" s="88" t="str">
        <f t="shared" si="2"/>
        <v/>
      </c>
      <c r="E102" s="89" t="str">
        <f t="shared" si="3"/>
        <v/>
      </c>
      <c r="F102" s="41"/>
      <c r="G102" s="41"/>
      <c r="H102" s="41"/>
      <c r="I102" s="41"/>
      <c r="J102" s="41"/>
      <c r="K102" s="41"/>
      <c r="L102" s="41"/>
      <c r="M102" s="41"/>
      <c r="N102" s="41"/>
    </row>
    <row r="103">
      <c r="A103" s="22">
        <v>99.0</v>
      </c>
      <c r="B103" s="68"/>
      <c r="C103" s="68"/>
      <c r="D103" s="88" t="str">
        <f t="shared" si="2"/>
        <v/>
      </c>
      <c r="E103" s="89" t="str">
        <f t="shared" si="3"/>
        <v/>
      </c>
      <c r="F103" s="41"/>
      <c r="G103" s="41"/>
      <c r="H103" s="41"/>
      <c r="I103" s="41"/>
      <c r="J103" s="41"/>
      <c r="K103" s="41"/>
      <c r="L103" s="41"/>
      <c r="M103" s="41"/>
      <c r="N103" s="41"/>
    </row>
    <row r="104">
      <c r="A104" s="30">
        <v>100.0</v>
      </c>
      <c r="B104" s="67"/>
      <c r="C104" s="67"/>
      <c r="D104" s="88" t="str">
        <f t="shared" si="2"/>
        <v/>
      </c>
      <c r="E104" s="89" t="str">
        <f t="shared" si="3"/>
        <v/>
      </c>
      <c r="F104" s="41"/>
      <c r="G104" s="41"/>
      <c r="H104" s="41"/>
      <c r="I104" s="41"/>
      <c r="J104" s="41"/>
      <c r="K104" s="41"/>
      <c r="L104" s="41"/>
      <c r="M104" s="41"/>
      <c r="N104" s="41"/>
    </row>
    <row r="105">
      <c r="A105" s="22">
        <v>101.0</v>
      </c>
      <c r="B105" s="68"/>
      <c r="C105" s="68"/>
      <c r="D105" s="88" t="str">
        <f t="shared" si="2"/>
        <v/>
      </c>
      <c r="E105" s="89" t="str">
        <f t="shared" si="3"/>
        <v/>
      </c>
      <c r="F105" s="41"/>
      <c r="G105" s="41"/>
      <c r="H105" s="41"/>
      <c r="I105" s="41"/>
      <c r="J105" s="41"/>
      <c r="K105" s="41"/>
      <c r="L105" s="41"/>
      <c r="M105" s="41"/>
      <c r="N105" s="41"/>
    </row>
    <row r="106">
      <c r="A106" s="30">
        <v>102.0</v>
      </c>
      <c r="B106" s="67"/>
      <c r="C106" s="67"/>
      <c r="D106" s="88" t="str">
        <f t="shared" si="2"/>
        <v/>
      </c>
      <c r="E106" s="89" t="str">
        <f t="shared" si="3"/>
        <v/>
      </c>
      <c r="F106" s="41"/>
      <c r="G106" s="41"/>
      <c r="H106" s="41"/>
      <c r="I106" s="41"/>
      <c r="J106" s="41"/>
      <c r="K106" s="41"/>
      <c r="L106" s="41"/>
      <c r="M106" s="41"/>
      <c r="N106" s="41"/>
    </row>
    <row r="107">
      <c r="A107" s="22">
        <v>103.0</v>
      </c>
      <c r="B107" s="68"/>
      <c r="C107" s="68"/>
      <c r="D107" s="88" t="str">
        <f t="shared" si="2"/>
        <v/>
      </c>
      <c r="E107" s="89" t="str">
        <f t="shared" si="3"/>
        <v/>
      </c>
      <c r="F107" s="41"/>
      <c r="G107" s="41"/>
      <c r="H107" s="41"/>
      <c r="I107" s="41"/>
      <c r="J107" s="41"/>
      <c r="K107" s="41"/>
      <c r="L107" s="41"/>
      <c r="M107" s="41"/>
      <c r="N107" s="41"/>
    </row>
    <row r="108">
      <c r="A108" s="30">
        <v>104.0</v>
      </c>
      <c r="B108" s="67"/>
      <c r="C108" s="67"/>
      <c r="D108" s="88" t="str">
        <f t="shared" si="2"/>
        <v/>
      </c>
      <c r="E108" s="89" t="str">
        <f t="shared" si="3"/>
        <v/>
      </c>
      <c r="F108" s="41"/>
      <c r="G108" s="41"/>
      <c r="H108" s="41"/>
      <c r="I108" s="41"/>
      <c r="J108" s="41"/>
      <c r="K108" s="41"/>
      <c r="L108" s="41"/>
      <c r="M108" s="41"/>
      <c r="N108" s="41"/>
    </row>
    <row r="109">
      <c r="A109" s="22">
        <v>105.0</v>
      </c>
      <c r="B109" s="68"/>
      <c r="C109" s="68"/>
      <c r="D109" s="88" t="str">
        <f t="shared" si="2"/>
        <v/>
      </c>
      <c r="E109" s="89" t="str">
        <f t="shared" si="3"/>
        <v/>
      </c>
      <c r="F109" s="41"/>
      <c r="G109" s="41"/>
      <c r="H109" s="41"/>
      <c r="I109" s="41"/>
      <c r="J109" s="41"/>
      <c r="K109" s="41"/>
      <c r="L109" s="41"/>
      <c r="M109" s="41"/>
      <c r="N109" s="41"/>
    </row>
    <row r="110">
      <c r="A110" s="30">
        <v>106.0</v>
      </c>
      <c r="B110" s="67"/>
      <c r="C110" s="67"/>
      <c r="D110" s="88" t="str">
        <f t="shared" si="2"/>
        <v/>
      </c>
      <c r="E110" s="89" t="str">
        <f t="shared" si="3"/>
        <v/>
      </c>
      <c r="F110" s="41"/>
      <c r="G110" s="41"/>
      <c r="H110" s="41"/>
      <c r="I110" s="41"/>
      <c r="J110" s="41"/>
      <c r="K110" s="41"/>
      <c r="L110" s="41"/>
      <c r="M110" s="41"/>
      <c r="N110" s="41"/>
    </row>
    <row r="111">
      <c r="A111" s="22">
        <v>107.0</v>
      </c>
      <c r="B111" s="68"/>
      <c r="C111" s="68"/>
      <c r="D111" s="88" t="str">
        <f t="shared" si="2"/>
        <v/>
      </c>
      <c r="E111" s="89" t="str">
        <f t="shared" si="3"/>
        <v/>
      </c>
      <c r="F111" s="41"/>
      <c r="G111" s="41"/>
      <c r="H111" s="41"/>
      <c r="I111" s="41"/>
      <c r="J111" s="41"/>
      <c r="K111" s="41"/>
      <c r="L111" s="41"/>
      <c r="M111" s="41"/>
      <c r="N111" s="41"/>
    </row>
    <row r="112">
      <c r="A112" s="30">
        <v>108.0</v>
      </c>
      <c r="B112" s="67"/>
      <c r="C112" s="67"/>
      <c r="D112" s="88" t="str">
        <f t="shared" si="2"/>
        <v/>
      </c>
      <c r="E112" s="89" t="str">
        <f t="shared" si="3"/>
        <v/>
      </c>
      <c r="F112" s="41"/>
      <c r="G112" s="41"/>
      <c r="H112" s="41"/>
      <c r="I112" s="41"/>
      <c r="J112" s="41"/>
      <c r="K112" s="41"/>
      <c r="L112" s="41"/>
      <c r="M112" s="41"/>
      <c r="N112" s="41"/>
    </row>
    <row r="113">
      <c r="A113" s="22">
        <v>109.0</v>
      </c>
      <c r="B113" s="68"/>
      <c r="C113" s="68"/>
      <c r="D113" s="88" t="str">
        <f t="shared" si="2"/>
        <v/>
      </c>
      <c r="E113" s="89" t="str">
        <f t="shared" si="3"/>
        <v/>
      </c>
      <c r="F113" s="41"/>
      <c r="G113" s="41"/>
      <c r="H113" s="41"/>
      <c r="I113" s="41"/>
      <c r="J113" s="41"/>
      <c r="K113" s="41"/>
      <c r="L113" s="41"/>
      <c r="M113" s="41"/>
      <c r="N113" s="41"/>
    </row>
    <row r="114">
      <c r="A114" s="30">
        <v>110.0</v>
      </c>
      <c r="B114" s="67"/>
      <c r="C114" s="67"/>
      <c r="D114" s="88" t="str">
        <f t="shared" si="2"/>
        <v/>
      </c>
      <c r="E114" s="89" t="str">
        <f t="shared" si="3"/>
        <v/>
      </c>
      <c r="F114" s="41"/>
      <c r="G114" s="41"/>
      <c r="H114" s="41"/>
      <c r="I114" s="41"/>
      <c r="J114" s="41"/>
      <c r="K114" s="41"/>
      <c r="L114" s="41"/>
      <c r="M114" s="41"/>
      <c r="N114" s="41"/>
    </row>
    <row r="115">
      <c r="A115" s="22">
        <v>111.0</v>
      </c>
      <c r="B115" s="68"/>
      <c r="C115" s="68"/>
      <c r="D115" s="88" t="str">
        <f t="shared" si="2"/>
        <v/>
      </c>
      <c r="E115" s="89" t="str">
        <f t="shared" si="3"/>
        <v/>
      </c>
      <c r="F115" s="41"/>
      <c r="G115" s="41"/>
      <c r="H115" s="41"/>
      <c r="I115" s="41"/>
      <c r="J115" s="41"/>
      <c r="K115" s="41"/>
      <c r="L115" s="41"/>
      <c r="M115" s="41"/>
      <c r="N115" s="41"/>
    </row>
    <row r="116">
      <c r="A116" s="30">
        <v>112.0</v>
      </c>
      <c r="B116" s="67"/>
      <c r="C116" s="67"/>
      <c r="D116" s="88" t="str">
        <f t="shared" si="2"/>
        <v/>
      </c>
      <c r="E116" s="89" t="str">
        <f t="shared" si="3"/>
        <v/>
      </c>
      <c r="F116" s="41"/>
      <c r="G116" s="41"/>
      <c r="H116" s="41"/>
      <c r="I116" s="41"/>
      <c r="J116" s="41"/>
      <c r="K116" s="41"/>
      <c r="L116" s="41"/>
      <c r="M116" s="41"/>
      <c r="N116" s="41"/>
    </row>
    <row r="117">
      <c r="A117" s="22">
        <v>113.0</v>
      </c>
      <c r="B117" s="68"/>
      <c r="C117" s="68"/>
      <c r="D117" s="88" t="str">
        <f t="shared" si="2"/>
        <v/>
      </c>
      <c r="E117" s="89" t="str">
        <f t="shared" si="3"/>
        <v/>
      </c>
      <c r="F117" s="41"/>
      <c r="G117" s="41"/>
      <c r="H117" s="41"/>
      <c r="I117" s="41"/>
      <c r="J117" s="41"/>
      <c r="K117" s="41"/>
      <c r="L117" s="41"/>
      <c r="M117" s="41"/>
      <c r="N117" s="41"/>
    </row>
    <row r="118">
      <c r="A118" s="30">
        <v>114.0</v>
      </c>
      <c r="B118" s="67"/>
      <c r="C118" s="67"/>
      <c r="D118" s="88" t="str">
        <f t="shared" si="2"/>
        <v/>
      </c>
      <c r="E118" s="89" t="str">
        <f t="shared" si="3"/>
        <v/>
      </c>
      <c r="F118" s="41"/>
      <c r="G118" s="41"/>
      <c r="H118" s="41"/>
      <c r="I118" s="41"/>
      <c r="J118" s="41"/>
      <c r="K118" s="41"/>
      <c r="L118" s="41"/>
      <c r="M118" s="41"/>
      <c r="N118" s="41"/>
    </row>
    <row r="119">
      <c r="A119" s="22">
        <v>115.0</v>
      </c>
      <c r="B119" s="68"/>
      <c r="C119" s="68"/>
      <c r="D119" s="88" t="str">
        <f t="shared" si="2"/>
        <v/>
      </c>
      <c r="E119" s="89" t="str">
        <f t="shared" si="3"/>
        <v/>
      </c>
      <c r="F119" s="41"/>
      <c r="G119" s="41"/>
      <c r="H119" s="41"/>
      <c r="I119" s="41"/>
      <c r="J119" s="41"/>
      <c r="K119" s="41"/>
      <c r="L119" s="41"/>
      <c r="M119" s="41"/>
      <c r="N119" s="41"/>
    </row>
    <row r="120">
      <c r="A120" s="30">
        <v>116.0</v>
      </c>
      <c r="B120" s="67"/>
      <c r="C120" s="67"/>
      <c r="D120" s="88" t="str">
        <f t="shared" si="2"/>
        <v/>
      </c>
      <c r="E120" s="89" t="str">
        <f t="shared" si="3"/>
        <v/>
      </c>
      <c r="F120" s="41"/>
      <c r="G120" s="41"/>
      <c r="H120" s="41"/>
      <c r="I120" s="41"/>
      <c r="J120" s="41"/>
      <c r="K120" s="41"/>
      <c r="L120" s="41"/>
      <c r="M120" s="41"/>
      <c r="N120" s="41"/>
    </row>
    <row r="121">
      <c r="A121" s="22">
        <v>117.0</v>
      </c>
      <c r="B121" s="68"/>
      <c r="C121" s="68"/>
      <c r="D121" s="88" t="str">
        <f t="shared" si="2"/>
        <v/>
      </c>
      <c r="E121" s="89" t="str">
        <f t="shared" si="3"/>
        <v/>
      </c>
      <c r="F121" s="41"/>
      <c r="G121" s="41"/>
      <c r="H121" s="41"/>
      <c r="I121" s="41"/>
      <c r="J121" s="41"/>
      <c r="K121" s="41"/>
      <c r="L121" s="41"/>
      <c r="M121" s="41"/>
      <c r="N121" s="41"/>
    </row>
    <row r="122">
      <c r="A122" s="69">
        <v>118.0</v>
      </c>
      <c r="B122" s="70"/>
      <c r="C122" s="70"/>
      <c r="D122" s="88" t="str">
        <f t="shared" si="2"/>
        <v/>
      </c>
      <c r="E122" s="89" t="str">
        <f t="shared" si="3"/>
        <v/>
      </c>
      <c r="F122" s="73"/>
      <c r="G122" s="73"/>
      <c r="H122" s="73"/>
      <c r="I122" s="73"/>
      <c r="J122" s="73"/>
      <c r="K122" s="73"/>
      <c r="L122" s="73"/>
      <c r="M122" s="73"/>
      <c r="N122" s="73"/>
    </row>
    <row r="123">
      <c r="A123" s="69">
        <v>119.0</v>
      </c>
      <c r="B123" s="70"/>
      <c r="C123" s="70"/>
      <c r="D123" s="88" t="str">
        <f t="shared" si="2"/>
        <v/>
      </c>
      <c r="E123" s="89" t="str">
        <f t="shared" si="3"/>
        <v/>
      </c>
      <c r="F123" s="73"/>
      <c r="G123" s="73"/>
      <c r="H123" s="73"/>
      <c r="I123" s="73"/>
      <c r="J123" s="73"/>
      <c r="K123" s="73"/>
      <c r="L123" s="73"/>
      <c r="M123" s="73"/>
      <c r="N123" s="73"/>
    </row>
    <row r="124">
      <c r="A124" s="69">
        <v>120.0</v>
      </c>
      <c r="B124" s="70"/>
      <c r="C124" s="70"/>
      <c r="D124" s="88" t="str">
        <f t="shared" si="2"/>
        <v/>
      </c>
      <c r="E124" s="89" t="str">
        <f t="shared" si="3"/>
        <v/>
      </c>
      <c r="F124" s="73"/>
      <c r="G124" s="73"/>
      <c r="H124" s="73"/>
      <c r="I124" s="73"/>
      <c r="J124" s="73"/>
      <c r="K124" s="73"/>
      <c r="L124" s="73"/>
      <c r="M124" s="73"/>
      <c r="N124" s="73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</row>
  </sheetData>
  <mergeCells count="2">
    <mergeCell ref="A1:C2"/>
    <mergeCell ref="D1:E2"/>
  </mergeCells>
  <dataValidations>
    <dataValidation type="list" allowBlank="1" showErrorMessage="1" sqref="F4:N124">
      <formula1>"선택,완료"</formula1>
    </dataValidation>
  </dataValidations>
  <hyperlinks>
    <hyperlink r:id="rId1" ref="C5"/>
    <hyperlink r:id="rId2" ref="C24"/>
    <hyperlink r:id="rId3" ref="C25"/>
    <hyperlink r:id="rId4" ref="C30"/>
    <hyperlink r:id="rId5" ref="C31"/>
    <hyperlink r:id="rId6" ref="C36"/>
    <hyperlink r:id="rId7" ref="C51"/>
    <hyperlink r:id="rId8" ref="C70"/>
    <hyperlink r:id="rId9" ref="C86"/>
    <hyperlink r:id="rId10" ref="C93"/>
  </hyperlinks>
  <drawing r:id="rId11"/>
  <tableParts count="1">
    <tablePart r:id="rId1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10.63"/>
    <col customWidth="1" min="2" max="2" width="4.25"/>
    <col customWidth="1" min="3" max="3" width="18.63"/>
    <col customWidth="1" min="4" max="4" width="21.13"/>
    <col customWidth="1" min="5" max="5" width="15.38"/>
    <col customWidth="1" min="6" max="6" width="8.5"/>
    <col customWidth="1" min="7" max="15" width="14.5"/>
  </cols>
  <sheetData>
    <row r="1">
      <c r="A1" s="161"/>
      <c r="B1" s="161"/>
      <c r="E1" s="162" t="s">
        <v>1</v>
      </c>
      <c r="G1" s="163" t="s">
        <v>304</v>
      </c>
      <c r="H1" s="163" t="s">
        <v>305</v>
      </c>
      <c r="I1" s="163" t="s">
        <v>306</v>
      </c>
      <c r="J1" s="163" t="s">
        <v>307</v>
      </c>
      <c r="K1" s="163" t="s">
        <v>308</v>
      </c>
      <c r="L1" s="163" t="s">
        <v>309</v>
      </c>
      <c r="M1" s="163" t="s">
        <v>310</v>
      </c>
      <c r="N1" s="163" t="s">
        <v>311</v>
      </c>
      <c r="O1" s="163" t="s">
        <v>312</v>
      </c>
    </row>
    <row r="2">
      <c r="A2" s="164"/>
      <c r="B2" s="165" t="s">
        <v>313</v>
      </c>
      <c r="G2" s="166" t="s">
        <v>314</v>
      </c>
      <c r="H2" s="166" t="s">
        <v>315</v>
      </c>
      <c r="I2" s="166" t="s">
        <v>316</v>
      </c>
      <c r="J2" s="166" t="s">
        <v>317</v>
      </c>
      <c r="K2" s="166" t="s">
        <v>318</v>
      </c>
      <c r="L2" s="166" t="s">
        <v>319</v>
      </c>
      <c r="M2" s="166" t="s">
        <v>320</v>
      </c>
      <c r="N2" s="166" t="s">
        <v>321</v>
      </c>
      <c r="O2" s="166" t="s">
        <v>322</v>
      </c>
    </row>
    <row r="3">
      <c r="A3" s="164"/>
      <c r="B3" s="164"/>
      <c r="C3" s="164"/>
      <c r="D3" s="164"/>
      <c r="E3" s="162"/>
      <c r="F3" s="162"/>
      <c r="G3" s="167" t="str">
        <f t="shared" ref="G3:O3" si="1">COUNTIF(G5:G200, "완료") &amp; "명 완료"
</f>
        <v>77명 완료</v>
      </c>
      <c r="H3" s="167" t="str">
        <f t="shared" si="1"/>
        <v>75명 완료</v>
      </c>
      <c r="I3" s="167" t="str">
        <f t="shared" si="1"/>
        <v>72명 완료</v>
      </c>
      <c r="J3" s="167" t="str">
        <f t="shared" si="1"/>
        <v>70명 완료</v>
      </c>
      <c r="K3" s="167" t="str">
        <f t="shared" si="1"/>
        <v>75명 완료</v>
      </c>
      <c r="L3" s="167" t="str">
        <f t="shared" si="1"/>
        <v>63명 완료</v>
      </c>
      <c r="M3" s="167" t="str">
        <f t="shared" si="1"/>
        <v>71명 완료</v>
      </c>
      <c r="N3" s="167" t="str">
        <f t="shared" si="1"/>
        <v>72명 완료</v>
      </c>
      <c r="O3" s="167" t="str">
        <f t="shared" si="1"/>
        <v>69명 완료</v>
      </c>
    </row>
    <row r="4">
      <c r="A4" s="168"/>
      <c r="B4" s="169" t="s">
        <v>20</v>
      </c>
      <c r="C4" s="170" t="s">
        <v>21</v>
      </c>
      <c r="D4" s="170" t="s">
        <v>323</v>
      </c>
      <c r="E4" s="171" t="s">
        <v>23</v>
      </c>
      <c r="F4" s="171" t="s">
        <v>24</v>
      </c>
      <c r="G4" s="172" t="s">
        <v>25</v>
      </c>
      <c r="H4" s="172" t="s">
        <v>25</v>
      </c>
      <c r="I4" s="172" t="s">
        <v>25</v>
      </c>
      <c r="J4" s="172" t="s">
        <v>25</v>
      </c>
      <c r="K4" s="172" t="s">
        <v>25</v>
      </c>
      <c r="L4" s="172" t="s">
        <v>25</v>
      </c>
      <c r="M4" s="172" t="s">
        <v>25</v>
      </c>
      <c r="N4" s="172" t="s">
        <v>25</v>
      </c>
      <c r="O4" s="172" t="s">
        <v>25</v>
      </c>
    </row>
    <row r="5">
      <c r="A5" s="173"/>
      <c r="B5" s="174">
        <v>1.0</v>
      </c>
      <c r="C5" s="175" t="s">
        <v>26</v>
      </c>
      <c r="D5" s="176" t="s">
        <v>27</v>
      </c>
      <c r="E5" s="88" t="str">
        <f t="shared" ref="E5:E124" si="2">IF(COUNTIF(G5:O5, "완료")=0, "", COUNTIF($G$4:$O$4, "완료") &amp; "번 중 " &amp; COUNTIF(G5:O5, "완료") &amp; "번 참여")
</f>
        <v>9번 중 9번 참여</v>
      </c>
      <c r="F5" s="89">
        <f t="shared" ref="F5:F124" si="3">IF(COUNTIF($G$4:$O$4, "완료")=0, "", IF(COUNTIF(G5:O5, "완료")=0, "", COUNTIF(G5:O5, "완료") / COUNTIF($G$4:$O$4, "완료")))
</f>
        <v>1</v>
      </c>
      <c r="G5" s="177" t="s">
        <v>25</v>
      </c>
      <c r="H5" s="177" t="s">
        <v>25</v>
      </c>
      <c r="I5" s="177" t="s">
        <v>25</v>
      </c>
      <c r="J5" s="177" t="s">
        <v>25</v>
      </c>
      <c r="K5" s="177" t="s">
        <v>25</v>
      </c>
      <c r="L5" s="177" t="s">
        <v>25</v>
      </c>
      <c r="M5" s="177" t="s">
        <v>25</v>
      </c>
      <c r="N5" s="177" t="s">
        <v>25</v>
      </c>
      <c r="O5" s="177" t="s">
        <v>25</v>
      </c>
    </row>
    <row r="6">
      <c r="A6" s="173"/>
      <c r="B6" s="174">
        <v>2.0</v>
      </c>
      <c r="C6" s="175" t="s">
        <v>324</v>
      </c>
      <c r="D6" s="176" t="s">
        <v>325</v>
      </c>
      <c r="E6" s="88" t="str">
        <f t="shared" si="2"/>
        <v>9번 중 9번 참여</v>
      </c>
      <c r="F6" s="89">
        <f t="shared" si="3"/>
        <v>1</v>
      </c>
      <c r="G6" s="177" t="s">
        <v>25</v>
      </c>
      <c r="H6" s="177" t="s">
        <v>25</v>
      </c>
      <c r="I6" s="177" t="s">
        <v>25</v>
      </c>
      <c r="J6" s="177" t="s">
        <v>25</v>
      </c>
      <c r="K6" s="177" t="s">
        <v>25</v>
      </c>
      <c r="L6" s="177" t="s">
        <v>25</v>
      </c>
      <c r="M6" s="177" t="s">
        <v>25</v>
      </c>
      <c r="N6" s="177" t="s">
        <v>25</v>
      </c>
      <c r="O6" s="177" t="s">
        <v>25</v>
      </c>
    </row>
    <row r="7">
      <c r="A7" s="173"/>
      <c r="B7" s="174">
        <v>3.0</v>
      </c>
      <c r="C7" s="175" t="s">
        <v>28</v>
      </c>
      <c r="D7" s="175" t="s">
        <v>29</v>
      </c>
      <c r="E7" s="88" t="str">
        <f t="shared" si="2"/>
        <v>9번 중 9번 참여</v>
      </c>
      <c r="F7" s="89">
        <f t="shared" si="3"/>
        <v>1</v>
      </c>
      <c r="G7" s="178" t="s">
        <v>25</v>
      </c>
      <c r="H7" s="177" t="s">
        <v>25</v>
      </c>
      <c r="I7" s="177" t="s">
        <v>25</v>
      </c>
      <c r="J7" s="177" t="s">
        <v>25</v>
      </c>
      <c r="K7" s="177" t="s">
        <v>25</v>
      </c>
      <c r="L7" s="177" t="s">
        <v>25</v>
      </c>
      <c r="M7" s="177" t="s">
        <v>25</v>
      </c>
      <c r="N7" s="177" t="s">
        <v>25</v>
      </c>
      <c r="O7" s="177" t="s">
        <v>25</v>
      </c>
    </row>
    <row r="8">
      <c r="A8" s="173"/>
      <c r="B8" s="174">
        <v>4.0</v>
      </c>
      <c r="C8" s="175" t="s">
        <v>30</v>
      </c>
      <c r="D8" s="175" t="s">
        <v>31</v>
      </c>
      <c r="E8" s="88" t="str">
        <f t="shared" si="2"/>
        <v>9번 중 8번 참여</v>
      </c>
      <c r="F8" s="89">
        <f t="shared" si="3"/>
        <v>0.8888888889</v>
      </c>
      <c r="G8" s="177" t="s">
        <v>25</v>
      </c>
      <c r="H8" s="177"/>
      <c r="I8" s="177" t="s">
        <v>25</v>
      </c>
      <c r="J8" s="177" t="s">
        <v>25</v>
      </c>
      <c r="K8" s="177" t="s">
        <v>25</v>
      </c>
      <c r="L8" s="177" t="s">
        <v>25</v>
      </c>
      <c r="M8" s="177" t="s">
        <v>25</v>
      </c>
      <c r="N8" s="177" t="s">
        <v>25</v>
      </c>
      <c r="O8" s="177" t="s">
        <v>25</v>
      </c>
    </row>
    <row r="9">
      <c r="A9" s="173"/>
      <c r="B9" s="174">
        <v>5.0</v>
      </c>
      <c r="C9" s="175" t="s">
        <v>32</v>
      </c>
      <c r="D9" s="175" t="s">
        <v>33</v>
      </c>
      <c r="E9" s="88" t="str">
        <f t="shared" si="2"/>
        <v>9번 중 8번 참여</v>
      </c>
      <c r="F9" s="89">
        <f t="shared" si="3"/>
        <v>0.8888888889</v>
      </c>
      <c r="G9" s="177" t="s">
        <v>25</v>
      </c>
      <c r="H9" s="177"/>
      <c r="I9" s="177" t="s">
        <v>25</v>
      </c>
      <c r="J9" s="177" t="s">
        <v>25</v>
      </c>
      <c r="K9" s="177" t="s">
        <v>25</v>
      </c>
      <c r="L9" s="177" t="s">
        <v>25</v>
      </c>
      <c r="M9" s="177" t="s">
        <v>25</v>
      </c>
      <c r="N9" s="177" t="s">
        <v>25</v>
      </c>
      <c r="O9" s="177" t="s">
        <v>25</v>
      </c>
    </row>
    <row r="10">
      <c r="A10" s="173"/>
      <c r="B10" s="174">
        <v>6.0</v>
      </c>
      <c r="C10" s="175" t="s">
        <v>34</v>
      </c>
      <c r="D10" s="175" t="s">
        <v>35</v>
      </c>
      <c r="E10" s="88" t="str">
        <f t="shared" si="2"/>
        <v>9번 중 9번 참여</v>
      </c>
      <c r="F10" s="89">
        <f t="shared" si="3"/>
        <v>1</v>
      </c>
      <c r="G10" s="177" t="s">
        <v>25</v>
      </c>
      <c r="H10" s="177" t="s">
        <v>25</v>
      </c>
      <c r="I10" s="177" t="s">
        <v>25</v>
      </c>
      <c r="J10" s="177" t="s">
        <v>25</v>
      </c>
      <c r="K10" s="177" t="s">
        <v>25</v>
      </c>
      <c r="L10" s="177" t="s">
        <v>25</v>
      </c>
      <c r="M10" s="177" t="s">
        <v>25</v>
      </c>
      <c r="N10" s="177" t="s">
        <v>25</v>
      </c>
      <c r="O10" s="177" t="s">
        <v>25</v>
      </c>
    </row>
    <row r="11">
      <c r="A11" s="173"/>
      <c r="B11" s="174">
        <v>7.0</v>
      </c>
      <c r="C11" s="175" t="s">
        <v>36</v>
      </c>
      <c r="D11" s="175" t="s">
        <v>72</v>
      </c>
      <c r="E11" s="88" t="str">
        <f t="shared" si="2"/>
        <v>9번 중 8번 참여</v>
      </c>
      <c r="F11" s="89">
        <f t="shared" si="3"/>
        <v>0.8888888889</v>
      </c>
      <c r="G11" s="177" t="s">
        <v>25</v>
      </c>
      <c r="H11" s="177"/>
      <c r="I11" s="177" t="s">
        <v>25</v>
      </c>
      <c r="J11" s="177" t="s">
        <v>25</v>
      </c>
      <c r="K11" s="177" t="s">
        <v>25</v>
      </c>
      <c r="L11" s="177" t="s">
        <v>25</v>
      </c>
      <c r="M11" s="177" t="s">
        <v>25</v>
      </c>
      <c r="N11" s="177" t="s">
        <v>25</v>
      </c>
      <c r="O11" s="177" t="s">
        <v>25</v>
      </c>
    </row>
    <row r="12">
      <c r="A12" s="173"/>
      <c r="B12" s="174">
        <v>8.0</v>
      </c>
      <c r="C12" s="175" t="s">
        <v>38</v>
      </c>
      <c r="D12" s="175" t="s">
        <v>39</v>
      </c>
      <c r="E12" s="88" t="str">
        <f t="shared" si="2"/>
        <v>9번 중 9번 참여</v>
      </c>
      <c r="F12" s="89">
        <f t="shared" si="3"/>
        <v>1</v>
      </c>
      <c r="G12" s="177" t="s">
        <v>25</v>
      </c>
      <c r="H12" s="177" t="s">
        <v>25</v>
      </c>
      <c r="I12" s="177" t="s">
        <v>25</v>
      </c>
      <c r="J12" s="177" t="s">
        <v>25</v>
      </c>
      <c r="K12" s="177" t="s">
        <v>25</v>
      </c>
      <c r="L12" s="177" t="s">
        <v>25</v>
      </c>
      <c r="M12" s="177" t="s">
        <v>25</v>
      </c>
      <c r="N12" s="177" t="s">
        <v>25</v>
      </c>
      <c r="O12" s="177" t="s">
        <v>25</v>
      </c>
    </row>
    <row r="13">
      <c r="A13" s="173"/>
      <c r="B13" s="174">
        <v>9.0</v>
      </c>
      <c r="C13" s="175" t="s">
        <v>40</v>
      </c>
      <c r="D13" s="176" t="s">
        <v>41</v>
      </c>
      <c r="E13" s="88" t="str">
        <f t="shared" si="2"/>
        <v>9번 중 9번 참여</v>
      </c>
      <c r="F13" s="89">
        <f t="shared" si="3"/>
        <v>1</v>
      </c>
      <c r="G13" s="177" t="s">
        <v>25</v>
      </c>
      <c r="H13" s="177" t="s">
        <v>25</v>
      </c>
      <c r="I13" s="177" t="s">
        <v>25</v>
      </c>
      <c r="J13" s="177" t="s">
        <v>25</v>
      </c>
      <c r="K13" s="177" t="s">
        <v>25</v>
      </c>
      <c r="L13" s="177" t="s">
        <v>25</v>
      </c>
      <c r="M13" s="177" t="s">
        <v>25</v>
      </c>
      <c r="N13" s="177" t="s">
        <v>25</v>
      </c>
      <c r="O13" s="177" t="s">
        <v>25</v>
      </c>
    </row>
    <row r="14">
      <c r="A14" s="173"/>
      <c r="B14" s="174">
        <v>10.0</v>
      </c>
      <c r="C14" s="175" t="s">
        <v>42</v>
      </c>
      <c r="D14" s="175" t="s">
        <v>43</v>
      </c>
      <c r="E14" s="88" t="str">
        <f t="shared" si="2"/>
        <v>9번 중 7번 참여</v>
      </c>
      <c r="F14" s="89">
        <f t="shared" si="3"/>
        <v>0.7777777778</v>
      </c>
      <c r="G14" s="177" t="s">
        <v>25</v>
      </c>
      <c r="H14" s="177" t="s">
        <v>25</v>
      </c>
      <c r="I14" s="177" t="s">
        <v>25</v>
      </c>
      <c r="J14" s="177"/>
      <c r="K14" s="177" t="s">
        <v>25</v>
      </c>
      <c r="L14" s="177" t="s">
        <v>25</v>
      </c>
      <c r="M14" s="177" t="s">
        <v>25</v>
      </c>
      <c r="N14" s="177"/>
      <c r="O14" s="177" t="s">
        <v>25</v>
      </c>
    </row>
    <row r="15">
      <c r="A15" s="173"/>
      <c r="B15" s="174">
        <v>11.0</v>
      </c>
      <c r="C15" s="175" t="s">
        <v>326</v>
      </c>
      <c r="D15" s="175" t="s">
        <v>327</v>
      </c>
      <c r="E15" s="88" t="str">
        <f t="shared" si="2"/>
        <v>9번 중 9번 참여</v>
      </c>
      <c r="F15" s="89">
        <f t="shared" si="3"/>
        <v>1</v>
      </c>
      <c r="G15" s="177" t="s">
        <v>25</v>
      </c>
      <c r="H15" s="177" t="s">
        <v>25</v>
      </c>
      <c r="I15" s="177" t="s">
        <v>25</v>
      </c>
      <c r="J15" s="177" t="s">
        <v>25</v>
      </c>
      <c r="K15" s="177" t="s">
        <v>25</v>
      </c>
      <c r="L15" s="177" t="s">
        <v>25</v>
      </c>
      <c r="M15" s="177" t="s">
        <v>25</v>
      </c>
      <c r="N15" s="177" t="s">
        <v>25</v>
      </c>
      <c r="O15" s="177" t="s">
        <v>25</v>
      </c>
    </row>
    <row r="16">
      <c r="A16" s="173"/>
      <c r="B16" s="174">
        <v>12.0</v>
      </c>
      <c r="C16" s="175" t="s">
        <v>326</v>
      </c>
      <c r="D16" s="175" t="s">
        <v>328</v>
      </c>
      <c r="E16" s="88" t="str">
        <f t="shared" si="2"/>
        <v>9번 중 9번 참여</v>
      </c>
      <c r="F16" s="89">
        <f t="shared" si="3"/>
        <v>1</v>
      </c>
      <c r="G16" s="177" t="s">
        <v>25</v>
      </c>
      <c r="H16" s="177" t="s">
        <v>25</v>
      </c>
      <c r="I16" s="177" t="s">
        <v>25</v>
      </c>
      <c r="J16" s="177" t="s">
        <v>25</v>
      </c>
      <c r="K16" s="177" t="s">
        <v>25</v>
      </c>
      <c r="L16" s="177" t="s">
        <v>25</v>
      </c>
      <c r="M16" s="177" t="s">
        <v>25</v>
      </c>
      <c r="N16" s="177" t="s">
        <v>25</v>
      </c>
      <c r="O16" s="177" t="s">
        <v>25</v>
      </c>
    </row>
    <row r="17">
      <c r="A17" s="173"/>
      <c r="B17" s="174">
        <v>13.0</v>
      </c>
      <c r="C17" s="175" t="s">
        <v>44</v>
      </c>
      <c r="D17" s="179" t="s">
        <v>45</v>
      </c>
      <c r="E17" s="88" t="str">
        <f t="shared" si="2"/>
        <v>9번 중 9번 참여</v>
      </c>
      <c r="F17" s="89">
        <f t="shared" si="3"/>
        <v>1</v>
      </c>
      <c r="G17" s="177" t="s">
        <v>25</v>
      </c>
      <c r="H17" s="177" t="s">
        <v>25</v>
      </c>
      <c r="I17" s="177" t="s">
        <v>25</v>
      </c>
      <c r="J17" s="177" t="s">
        <v>25</v>
      </c>
      <c r="K17" s="177" t="s">
        <v>25</v>
      </c>
      <c r="L17" s="177" t="s">
        <v>25</v>
      </c>
      <c r="M17" s="177" t="s">
        <v>25</v>
      </c>
      <c r="N17" s="177" t="s">
        <v>25</v>
      </c>
      <c r="O17" s="177" t="s">
        <v>25</v>
      </c>
    </row>
    <row r="18">
      <c r="A18" s="173"/>
      <c r="B18" s="174">
        <v>14.0</v>
      </c>
      <c r="C18" s="175" t="s">
        <v>46</v>
      </c>
      <c r="D18" s="175" t="s">
        <v>47</v>
      </c>
      <c r="E18" s="88" t="str">
        <f t="shared" si="2"/>
        <v>9번 중 9번 참여</v>
      </c>
      <c r="F18" s="89">
        <f t="shared" si="3"/>
        <v>1</v>
      </c>
      <c r="G18" s="177" t="s">
        <v>25</v>
      </c>
      <c r="H18" s="177" t="s">
        <v>25</v>
      </c>
      <c r="I18" s="177" t="s">
        <v>25</v>
      </c>
      <c r="J18" s="177" t="s">
        <v>25</v>
      </c>
      <c r="K18" s="177" t="s">
        <v>25</v>
      </c>
      <c r="L18" s="177" t="s">
        <v>25</v>
      </c>
      <c r="M18" s="177" t="s">
        <v>25</v>
      </c>
      <c r="N18" s="177" t="s">
        <v>25</v>
      </c>
      <c r="O18" s="177" t="s">
        <v>25</v>
      </c>
    </row>
    <row r="19">
      <c r="A19" s="173"/>
      <c r="B19" s="174">
        <v>15.0</v>
      </c>
      <c r="C19" s="175" t="s">
        <v>48</v>
      </c>
      <c r="D19" s="175" t="s">
        <v>49</v>
      </c>
      <c r="E19" s="88" t="str">
        <f t="shared" si="2"/>
        <v>9번 중 9번 참여</v>
      </c>
      <c r="F19" s="89">
        <f t="shared" si="3"/>
        <v>1</v>
      </c>
      <c r="G19" s="177" t="s">
        <v>25</v>
      </c>
      <c r="H19" s="177" t="s">
        <v>25</v>
      </c>
      <c r="I19" s="177" t="s">
        <v>25</v>
      </c>
      <c r="J19" s="177" t="s">
        <v>25</v>
      </c>
      <c r="K19" s="177" t="s">
        <v>25</v>
      </c>
      <c r="L19" s="177" t="s">
        <v>25</v>
      </c>
      <c r="M19" s="177" t="s">
        <v>25</v>
      </c>
      <c r="N19" s="177" t="s">
        <v>25</v>
      </c>
      <c r="O19" s="177" t="s">
        <v>25</v>
      </c>
    </row>
    <row r="20">
      <c r="A20" s="173"/>
      <c r="B20" s="174">
        <v>16.0</v>
      </c>
      <c r="C20" s="175" t="s">
        <v>50</v>
      </c>
      <c r="D20" s="175" t="s">
        <v>51</v>
      </c>
      <c r="E20" s="88" t="str">
        <f t="shared" si="2"/>
        <v>9번 중 9번 참여</v>
      </c>
      <c r="F20" s="89">
        <f t="shared" si="3"/>
        <v>1</v>
      </c>
      <c r="G20" s="177" t="s">
        <v>25</v>
      </c>
      <c r="H20" s="177" t="s">
        <v>25</v>
      </c>
      <c r="I20" s="177" t="s">
        <v>25</v>
      </c>
      <c r="J20" s="177" t="s">
        <v>25</v>
      </c>
      <c r="K20" s="177" t="s">
        <v>25</v>
      </c>
      <c r="L20" s="177" t="s">
        <v>25</v>
      </c>
      <c r="M20" s="177" t="s">
        <v>25</v>
      </c>
      <c r="N20" s="177" t="s">
        <v>25</v>
      </c>
      <c r="O20" s="177" t="s">
        <v>25</v>
      </c>
    </row>
    <row r="21">
      <c r="A21" s="173"/>
      <c r="B21" s="174">
        <v>17.0</v>
      </c>
      <c r="C21" s="175" t="s">
        <v>52</v>
      </c>
      <c r="D21" s="175" t="s">
        <v>53</v>
      </c>
      <c r="E21" s="88" t="str">
        <f t="shared" si="2"/>
        <v>9번 중 8번 참여</v>
      </c>
      <c r="F21" s="89">
        <f t="shared" si="3"/>
        <v>0.8888888889</v>
      </c>
      <c r="G21" s="177" t="s">
        <v>25</v>
      </c>
      <c r="H21" s="177" t="s">
        <v>25</v>
      </c>
      <c r="I21" s="177" t="s">
        <v>25</v>
      </c>
      <c r="J21" s="177"/>
      <c r="K21" s="177" t="s">
        <v>25</v>
      </c>
      <c r="L21" s="177" t="s">
        <v>25</v>
      </c>
      <c r="M21" s="177" t="s">
        <v>25</v>
      </c>
      <c r="N21" s="177" t="s">
        <v>25</v>
      </c>
      <c r="O21" s="177" t="s">
        <v>25</v>
      </c>
    </row>
    <row r="22">
      <c r="A22" s="173"/>
      <c r="B22" s="174">
        <v>18.0</v>
      </c>
      <c r="C22" s="175" t="s">
        <v>329</v>
      </c>
      <c r="D22" s="175" t="s">
        <v>330</v>
      </c>
      <c r="E22" s="88" t="str">
        <f t="shared" si="2"/>
        <v>9번 중 9번 참여</v>
      </c>
      <c r="F22" s="89">
        <f t="shared" si="3"/>
        <v>1</v>
      </c>
      <c r="G22" s="177" t="s">
        <v>25</v>
      </c>
      <c r="H22" s="177" t="s">
        <v>25</v>
      </c>
      <c r="I22" s="177" t="s">
        <v>25</v>
      </c>
      <c r="J22" s="177" t="s">
        <v>25</v>
      </c>
      <c r="K22" s="177" t="s">
        <v>25</v>
      </c>
      <c r="L22" s="177" t="s">
        <v>25</v>
      </c>
      <c r="M22" s="177" t="s">
        <v>25</v>
      </c>
      <c r="N22" s="177" t="s">
        <v>25</v>
      </c>
      <c r="O22" s="177" t="s">
        <v>25</v>
      </c>
    </row>
    <row r="23">
      <c r="A23" s="173"/>
      <c r="B23" s="174">
        <v>19.0</v>
      </c>
      <c r="C23" s="175" t="s">
        <v>56</v>
      </c>
      <c r="D23" s="175" t="s">
        <v>57</v>
      </c>
      <c r="E23" s="88" t="str">
        <f t="shared" si="2"/>
        <v>9번 중 9번 참여</v>
      </c>
      <c r="F23" s="89">
        <f t="shared" si="3"/>
        <v>1</v>
      </c>
      <c r="G23" s="177" t="s">
        <v>25</v>
      </c>
      <c r="H23" s="177" t="s">
        <v>25</v>
      </c>
      <c r="I23" s="177" t="s">
        <v>25</v>
      </c>
      <c r="J23" s="177" t="s">
        <v>25</v>
      </c>
      <c r="K23" s="177" t="s">
        <v>25</v>
      </c>
      <c r="L23" s="177" t="s">
        <v>25</v>
      </c>
      <c r="M23" s="177" t="s">
        <v>25</v>
      </c>
      <c r="N23" s="177" t="s">
        <v>25</v>
      </c>
      <c r="O23" s="177" t="s">
        <v>25</v>
      </c>
    </row>
    <row r="24">
      <c r="A24" s="173"/>
      <c r="B24" s="174">
        <v>20.0</v>
      </c>
      <c r="C24" s="180" t="s">
        <v>331</v>
      </c>
      <c r="D24" s="175" t="s">
        <v>332</v>
      </c>
      <c r="E24" s="88" t="str">
        <f t="shared" si="2"/>
        <v>9번 중 1번 참여</v>
      </c>
      <c r="F24" s="89">
        <f t="shared" si="3"/>
        <v>0.1111111111</v>
      </c>
      <c r="G24" s="177" t="s">
        <v>25</v>
      </c>
      <c r="H24" s="177"/>
      <c r="I24" s="177"/>
      <c r="J24" s="177"/>
      <c r="K24" s="177"/>
      <c r="L24" s="177"/>
      <c r="M24" s="177"/>
      <c r="N24" s="177"/>
      <c r="O24" s="177"/>
    </row>
    <row r="25">
      <c r="A25" s="173"/>
      <c r="B25" s="174">
        <v>21.0</v>
      </c>
      <c r="C25" s="175" t="s">
        <v>60</v>
      </c>
      <c r="D25" s="181" t="s">
        <v>61</v>
      </c>
      <c r="E25" s="88" t="str">
        <f t="shared" si="2"/>
        <v>9번 중 9번 참여</v>
      </c>
      <c r="F25" s="89">
        <f t="shared" si="3"/>
        <v>1</v>
      </c>
      <c r="G25" s="177" t="s">
        <v>25</v>
      </c>
      <c r="H25" s="177" t="s">
        <v>25</v>
      </c>
      <c r="I25" s="177" t="s">
        <v>25</v>
      </c>
      <c r="J25" s="177" t="s">
        <v>25</v>
      </c>
      <c r="K25" s="177" t="s">
        <v>25</v>
      </c>
      <c r="L25" s="177" t="s">
        <v>25</v>
      </c>
      <c r="M25" s="177" t="s">
        <v>25</v>
      </c>
      <c r="N25" s="177" t="s">
        <v>25</v>
      </c>
      <c r="O25" s="177" t="s">
        <v>25</v>
      </c>
    </row>
    <row r="26">
      <c r="A26" s="173"/>
      <c r="B26" s="174">
        <v>22.0</v>
      </c>
      <c r="C26" s="175" t="s">
        <v>333</v>
      </c>
      <c r="D26" s="176" t="s">
        <v>334</v>
      </c>
      <c r="E26" s="88" t="str">
        <f t="shared" si="2"/>
        <v>9번 중 6번 참여</v>
      </c>
      <c r="F26" s="89">
        <f t="shared" si="3"/>
        <v>0.6666666667</v>
      </c>
      <c r="G26" s="177" t="s">
        <v>25</v>
      </c>
      <c r="H26" s="177" t="s">
        <v>25</v>
      </c>
      <c r="I26" s="177" t="s">
        <v>25</v>
      </c>
      <c r="J26" s="177" t="s">
        <v>25</v>
      </c>
      <c r="K26" s="177" t="s">
        <v>25</v>
      </c>
      <c r="L26" s="177" t="s">
        <v>25</v>
      </c>
      <c r="M26" s="177"/>
      <c r="N26" s="177"/>
      <c r="O26" s="177"/>
    </row>
    <row r="27">
      <c r="A27" s="173"/>
      <c r="B27" s="174">
        <v>23.0</v>
      </c>
      <c r="C27" s="175" t="s">
        <v>64</v>
      </c>
      <c r="D27" s="175" t="s">
        <v>65</v>
      </c>
      <c r="E27" s="88" t="str">
        <f t="shared" si="2"/>
        <v>9번 중 9번 참여</v>
      </c>
      <c r="F27" s="89">
        <f t="shared" si="3"/>
        <v>1</v>
      </c>
      <c r="G27" s="177" t="s">
        <v>25</v>
      </c>
      <c r="H27" s="177" t="s">
        <v>25</v>
      </c>
      <c r="I27" s="177" t="s">
        <v>25</v>
      </c>
      <c r="J27" s="177" t="s">
        <v>25</v>
      </c>
      <c r="K27" s="177" t="s">
        <v>25</v>
      </c>
      <c r="L27" s="177" t="s">
        <v>25</v>
      </c>
      <c r="M27" s="177" t="s">
        <v>25</v>
      </c>
      <c r="N27" s="177" t="s">
        <v>25</v>
      </c>
      <c r="O27" s="177" t="s">
        <v>25</v>
      </c>
    </row>
    <row r="28">
      <c r="A28" s="173"/>
      <c r="B28" s="174">
        <v>24.0</v>
      </c>
      <c r="C28" s="175" t="s">
        <v>335</v>
      </c>
      <c r="D28" s="175" t="s">
        <v>336</v>
      </c>
      <c r="E28" s="88" t="str">
        <f t="shared" si="2"/>
        <v>9번 중 9번 참여</v>
      </c>
      <c r="F28" s="89">
        <f t="shared" si="3"/>
        <v>1</v>
      </c>
      <c r="G28" s="177" t="s">
        <v>25</v>
      </c>
      <c r="H28" s="177" t="s">
        <v>25</v>
      </c>
      <c r="I28" s="177" t="s">
        <v>25</v>
      </c>
      <c r="J28" s="177" t="s">
        <v>25</v>
      </c>
      <c r="K28" s="177" t="s">
        <v>25</v>
      </c>
      <c r="L28" s="177" t="s">
        <v>25</v>
      </c>
      <c r="M28" s="177" t="s">
        <v>25</v>
      </c>
      <c r="N28" s="177" t="s">
        <v>25</v>
      </c>
      <c r="O28" s="177" t="s">
        <v>25</v>
      </c>
    </row>
    <row r="29">
      <c r="A29" s="173"/>
      <c r="B29" s="174">
        <v>25.0</v>
      </c>
      <c r="C29" s="175" t="s">
        <v>335</v>
      </c>
      <c r="D29" s="175" t="s">
        <v>337</v>
      </c>
      <c r="E29" s="88" t="str">
        <f t="shared" si="2"/>
        <v>9번 중 9번 참여</v>
      </c>
      <c r="F29" s="89">
        <f t="shared" si="3"/>
        <v>1</v>
      </c>
      <c r="G29" s="177" t="s">
        <v>25</v>
      </c>
      <c r="H29" s="177" t="s">
        <v>25</v>
      </c>
      <c r="I29" s="177" t="s">
        <v>25</v>
      </c>
      <c r="J29" s="177" t="s">
        <v>25</v>
      </c>
      <c r="K29" s="177" t="s">
        <v>25</v>
      </c>
      <c r="L29" s="177" t="s">
        <v>25</v>
      </c>
      <c r="M29" s="177" t="s">
        <v>25</v>
      </c>
      <c r="N29" s="177" t="s">
        <v>25</v>
      </c>
      <c r="O29" s="177" t="s">
        <v>25</v>
      </c>
    </row>
    <row r="30">
      <c r="A30" s="173"/>
      <c r="B30" s="174">
        <v>26.0</v>
      </c>
      <c r="C30" s="175" t="s">
        <v>74</v>
      </c>
      <c r="D30" s="175" t="s">
        <v>75</v>
      </c>
      <c r="E30" s="88" t="str">
        <f t="shared" si="2"/>
        <v>9번 중 7번 참여</v>
      </c>
      <c r="F30" s="89">
        <f t="shared" si="3"/>
        <v>0.7777777778</v>
      </c>
      <c r="G30" s="177" t="s">
        <v>25</v>
      </c>
      <c r="H30" s="177" t="s">
        <v>25</v>
      </c>
      <c r="I30" s="177" t="s">
        <v>25</v>
      </c>
      <c r="J30" s="177" t="s">
        <v>25</v>
      </c>
      <c r="K30" s="177" t="s">
        <v>25</v>
      </c>
      <c r="L30" s="177" t="s">
        <v>25</v>
      </c>
      <c r="M30" s="177"/>
      <c r="N30" s="177"/>
      <c r="O30" s="177" t="s">
        <v>25</v>
      </c>
    </row>
    <row r="31">
      <c r="A31" s="173"/>
      <c r="B31" s="174">
        <v>27.0</v>
      </c>
      <c r="C31" s="175" t="s">
        <v>76</v>
      </c>
      <c r="D31" s="181" t="s">
        <v>77</v>
      </c>
      <c r="E31" s="88" t="str">
        <f t="shared" si="2"/>
        <v>9번 중 8번 참여</v>
      </c>
      <c r="F31" s="89">
        <f t="shared" si="3"/>
        <v>0.8888888889</v>
      </c>
      <c r="G31" s="177" t="s">
        <v>25</v>
      </c>
      <c r="H31" s="177" t="s">
        <v>25</v>
      </c>
      <c r="I31" s="177"/>
      <c r="J31" s="177" t="s">
        <v>25</v>
      </c>
      <c r="K31" s="177" t="s">
        <v>25</v>
      </c>
      <c r="L31" s="177" t="s">
        <v>25</v>
      </c>
      <c r="M31" s="177" t="s">
        <v>25</v>
      </c>
      <c r="N31" s="177" t="s">
        <v>25</v>
      </c>
      <c r="O31" s="177" t="s">
        <v>25</v>
      </c>
    </row>
    <row r="32">
      <c r="A32" s="173"/>
      <c r="B32" s="174">
        <v>28.0</v>
      </c>
      <c r="C32" s="175" t="s">
        <v>78</v>
      </c>
      <c r="D32" s="176" t="s">
        <v>79</v>
      </c>
      <c r="E32" s="88" t="str">
        <f t="shared" si="2"/>
        <v>9번 중 9번 참여</v>
      </c>
      <c r="F32" s="89">
        <f t="shared" si="3"/>
        <v>1</v>
      </c>
      <c r="G32" s="177" t="s">
        <v>25</v>
      </c>
      <c r="H32" s="177" t="s">
        <v>25</v>
      </c>
      <c r="I32" s="177" t="s">
        <v>25</v>
      </c>
      <c r="J32" s="177" t="s">
        <v>25</v>
      </c>
      <c r="K32" s="177" t="s">
        <v>25</v>
      </c>
      <c r="L32" s="177" t="s">
        <v>25</v>
      </c>
      <c r="M32" s="177" t="s">
        <v>25</v>
      </c>
      <c r="N32" s="177" t="s">
        <v>25</v>
      </c>
      <c r="O32" s="177" t="s">
        <v>25</v>
      </c>
    </row>
    <row r="33">
      <c r="A33" s="173"/>
      <c r="B33" s="174">
        <v>29.0</v>
      </c>
      <c r="C33" s="175" t="s">
        <v>130</v>
      </c>
      <c r="D33" s="175" t="s">
        <v>338</v>
      </c>
      <c r="E33" s="88" t="str">
        <f t="shared" si="2"/>
        <v>9번 중 8번 참여</v>
      </c>
      <c r="F33" s="89">
        <f t="shared" si="3"/>
        <v>0.8888888889</v>
      </c>
      <c r="G33" s="177" t="s">
        <v>25</v>
      </c>
      <c r="H33" s="177" t="s">
        <v>25</v>
      </c>
      <c r="I33" s="177" t="s">
        <v>25</v>
      </c>
      <c r="J33" s="177" t="s">
        <v>25</v>
      </c>
      <c r="K33" s="177" t="s">
        <v>25</v>
      </c>
      <c r="L33" s="177"/>
      <c r="M33" s="177" t="s">
        <v>25</v>
      </c>
      <c r="N33" s="177" t="s">
        <v>25</v>
      </c>
      <c r="O33" s="177" t="s">
        <v>25</v>
      </c>
    </row>
    <row r="34">
      <c r="A34" s="173"/>
      <c r="B34" s="174">
        <v>30.0</v>
      </c>
      <c r="C34" s="175" t="s">
        <v>81</v>
      </c>
      <c r="D34" s="175" t="s">
        <v>82</v>
      </c>
      <c r="E34" s="88" t="str">
        <f t="shared" si="2"/>
        <v>9번 중 9번 참여</v>
      </c>
      <c r="F34" s="89">
        <f t="shared" si="3"/>
        <v>1</v>
      </c>
      <c r="G34" s="177" t="s">
        <v>25</v>
      </c>
      <c r="H34" s="177" t="s">
        <v>25</v>
      </c>
      <c r="I34" s="177" t="s">
        <v>25</v>
      </c>
      <c r="J34" s="177" t="s">
        <v>25</v>
      </c>
      <c r="K34" s="177" t="s">
        <v>25</v>
      </c>
      <c r="L34" s="177" t="s">
        <v>25</v>
      </c>
      <c r="M34" s="177" t="s">
        <v>25</v>
      </c>
      <c r="N34" s="177" t="s">
        <v>25</v>
      </c>
      <c r="O34" s="177" t="s">
        <v>25</v>
      </c>
    </row>
    <row r="35">
      <c r="A35" s="173"/>
      <c r="B35" s="174">
        <v>31.0</v>
      </c>
      <c r="C35" s="175" t="s">
        <v>83</v>
      </c>
      <c r="D35" s="175" t="s">
        <v>84</v>
      </c>
      <c r="E35" s="88" t="str">
        <f t="shared" si="2"/>
        <v>9번 중 7번 참여</v>
      </c>
      <c r="F35" s="89">
        <f t="shared" si="3"/>
        <v>0.7777777778</v>
      </c>
      <c r="G35" s="177" t="s">
        <v>25</v>
      </c>
      <c r="H35" s="177" t="s">
        <v>25</v>
      </c>
      <c r="I35" s="177" t="s">
        <v>25</v>
      </c>
      <c r="J35" s="177" t="s">
        <v>25</v>
      </c>
      <c r="K35" s="177" t="s">
        <v>25</v>
      </c>
      <c r="L35" s="177"/>
      <c r="M35" s="177" t="s">
        <v>25</v>
      </c>
      <c r="N35" s="177" t="s">
        <v>25</v>
      </c>
      <c r="O35" s="177"/>
    </row>
    <row r="36">
      <c r="A36" s="173"/>
      <c r="B36" s="174">
        <v>32.0</v>
      </c>
      <c r="C36" s="175" t="s">
        <v>85</v>
      </c>
      <c r="D36" s="175" t="s">
        <v>86</v>
      </c>
      <c r="E36" s="88" t="str">
        <f t="shared" si="2"/>
        <v>9번 중 9번 참여</v>
      </c>
      <c r="F36" s="89">
        <f t="shared" si="3"/>
        <v>1</v>
      </c>
      <c r="G36" s="177" t="s">
        <v>25</v>
      </c>
      <c r="H36" s="177" t="s">
        <v>25</v>
      </c>
      <c r="I36" s="177" t="s">
        <v>25</v>
      </c>
      <c r="J36" s="177" t="s">
        <v>25</v>
      </c>
      <c r="K36" s="177" t="s">
        <v>25</v>
      </c>
      <c r="L36" s="177" t="s">
        <v>25</v>
      </c>
      <c r="M36" s="177" t="s">
        <v>25</v>
      </c>
      <c r="N36" s="177" t="s">
        <v>25</v>
      </c>
      <c r="O36" s="177" t="s">
        <v>25</v>
      </c>
    </row>
    <row r="37">
      <c r="A37" s="173"/>
      <c r="B37" s="174">
        <v>33.0</v>
      </c>
      <c r="C37" s="175" t="s">
        <v>87</v>
      </c>
      <c r="D37" s="181" t="s">
        <v>88</v>
      </c>
      <c r="E37" s="88" t="str">
        <f t="shared" si="2"/>
        <v>9번 중 8번 참여</v>
      </c>
      <c r="F37" s="89">
        <f t="shared" si="3"/>
        <v>0.8888888889</v>
      </c>
      <c r="G37" s="177" t="s">
        <v>25</v>
      </c>
      <c r="H37" s="177" t="s">
        <v>25</v>
      </c>
      <c r="I37" s="177" t="s">
        <v>25</v>
      </c>
      <c r="J37" s="177" t="s">
        <v>25</v>
      </c>
      <c r="K37" s="177" t="s">
        <v>25</v>
      </c>
      <c r="L37" s="177"/>
      <c r="M37" s="177" t="s">
        <v>25</v>
      </c>
      <c r="N37" s="177" t="s">
        <v>25</v>
      </c>
      <c r="O37" s="177" t="s">
        <v>25</v>
      </c>
    </row>
    <row r="38">
      <c r="A38" s="173"/>
      <c r="B38" s="174">
        <v>34.0</v>
      </c>
      <c r="C38" s="180" t="s">
        <v>339</v>
      </c>
      <c r="D38" s="175" t="s">
        <v>340</v>
      </c>
      <c r="E38" s="88" t="str">
        <f t="shared" si="2"/>
        <v>9번 중 5번 참여</v>
      </c>
      <c r="F38" s="89">
        <f t="shared" si="3"/>
        <v>0.5555555556</v>
      </c>
      <c r="G38" s="177" t="s">
        <v>80</v>
      </c>
      <c r="H38" s="177"/>
      <c r="I38" s="177" t="s">
        <v>25</v>
      </c>
      <c r="J38" s="177"/>
      <c r="K38" s="177" t="s">
        <v>25</v>
      </c>
      <c r="L38" s="177"/>
      <c r="M38" s="177" t="s">
        <v>25</v>
      </c>
      <c r="N38" s="177" t="s">
        <v>25</v>
      </c>
      <c r="O38" s="177" t="s">
        <v>25</v>
      </c>
    </row>
    <row r="39">
      <c r="A39" s="173"/>
      <c r="B39" s="174">
        <v>35.0</v>
      </c>
      <c r="C39" s="180" t="s">
        <v>341</v>
      </c>
      <c r="D39" s="175" t="s">
        <v>342</v>
      </c>
      <c r="E39" s="88" t="str">
        <f t="shared" si="2"/>
        <v>9번 중 1번 참여</v>
      </c>
      <c r="F39" s="89">
        <f t="shared" si="3"/>
        <v>0.1111111111</v>
      </c>
      <c r="G39" s="177"/>
      <c r="H39" s="177"/>
      <c r="I39" s="177" t="s">
        <v>25</v>
      </c>
      <c r="J39" s="177"/>
      <c r="K39" s="177"/>
      <c r="L39" s="177"/>
      <c r="M39" s="177"/>
      <c r="N39" s="177"/>
      <c r="O39" s="177"/>
    </row>
    <row r="40">
      <c r="A40" s="173"/>
      <c r="B40" s="174">
        <v>36.0</v>
      </c>
      <c r="C40" s="175" t="s">
        <v>93</v>
      </c>
      <c r="D40" s="175" t="s">
        <v>94</v>
      </c>
      <c r="E40" s="88" t="str">
        <f t="shared" si="2"/>
        <v>9번 중 9번 참여</v>
      </c>
      <c r="F40" s="89">
        <f t="shared" si="3"/>
        <v>1</v>
      </c>
      <c r="G40" s="182" t="s">
        <v>25</v>
      </c>
      <c r="H40" s="177" t="s">
        <v>25</v>
      </c>
      <c r="I40" s="177" t="s">
        <v>25</v>
      </c>
      <c r="J40" s="177" t="s">
        <v>25</v>
      </c>
      <c r="K40" s="177" t="s">
        <v>25</v>
      </c>
      <c r="L40" s="177" t="s">
        <v>25</v>
      </c>
      <c r="M40" s="177" t="s">
        <v>25</v>
      </c>
      <c r="N40" s="177" t="s">
        <v>25</v>
      </c>
      <c r="O40" s="177" t="s">
        <v>25</v>
      </c>
    </row>
    <row r="41">
      <c r="A41" s="173"/>
      <c r="B41" s="174">
        <v>37.0</v>
      </c>
      <c r="C41" s="175" t="s">
        <v>124</v>
      </c>
      <c r="D41" s="175" t="s">
        <v>125</v>
      </c>
      <c r="E41" s="88" t="str">
        <f t="shared" si="2"/>
        <v>9번 중 9번 참여</v>
      </c>
      <c r="F41" s="89">
        <f t="shared" si="3"/>
        <v>1</v>
      </c>
      <c r="G41" s="177" t="s">
        <v>25</v>
      </c>
      <c r="H41" s="177" t="s">
        <v>25</v>
      </c>
      <c r="I41" s="177" t="s">
        <v>25</v>
      </c>
      <c r="J41" s="177" t="s">
        <v>25</v>
      </c>
      <c r="K41" s="177" t="s">
        <v>25</v>
      </c>
      <c r="L41" s="177" t="s">
        <v>25</v>
      </c>
      <c r="M41" s="177" t="s">
        <v>25</v>
      </c>
      <c r="N41" s="177" t="s">
        <v>25</v>
      </c>
      <c r="O41" s="177" t="s">
        <v>25</v>
      </c>
    </row>
    <row r="42">
      <c r="A42" s="173"/>
      <c r="B42" s="174">
        <v>38.0</v>
      </c>
      <c r="C42" s="175" t="s">
        <v>128</v>
      </c>
      <c r="D42" s="175" t="s">
        <v>129</v>
      </c>
      <c r="E42" s="88" t="str">
        <f t="shared" si="2"/>
        <v>9번 중 9번 참여</v>
      </c>
      <c r="F42" s="89">
        <f t="shared" si="3"/>
        <v>1</v>
      </c>
      <c r="G42" s="177" t="s">
        <v>25</v>
      </c>
      <c r="H42" s="177" t="s">
        <v>25</v>
      </c>
      <c r="I42" s="177" t="s">
        <v>25</v>
      </c>
      <c r="J42" s="177" t="s">
        <v>25</v>
      </c>
      <c r="K42" s="177" t="s">
        <v>25</v>
      </c>
      <c r="L42" s="177" t="s">
        <v>25</v>
      </c>
      <c r="M42" s="177" t="s">
        <v>25</v>
      </c>
      <c r="N42" s="177" t="s">
        <v>25</v>
      </c>
      <c r="O42" s="177" t="s">
        <v>25</v>
      </c>
    </row>
    <row r="43">
      <c r="A43" s="173"/>
      <c r="B43" s="174">
        <v>39.0</v>
      </c>
      <c r="C43" s="180" t="s">
        <v>343</v>
      </c>
      <c r="D43" s="175" t="s">
        <v>344</v>
      </c>
      <c r="E43" s="88" t="str">
        <f t="shared" si="2"/>
        <v>9번 중 2번 참여</v>
      </c>
      <c r="F43" s="89">
        <f t="shared" si="3"/>
        <v>0.2222222222</v>
      </c>
      <c r="G43" s="177" t="s">
        <v>25</v>
      </c>
      <c r="H43" s="177" t="s">
        <v>25</v>
      </c>
      <c r="I43" s="177"/>
      <c r="J43" s="177"/>
      <c r="K43" s="177"/>
      <c r="L43" s="177"/>
      <c r="M43" s="177"/>
      <c r="N43" s="177"/>
      <c r="O43" s="177"/>
    </row>
    <row r="44">
      <c r="A44" s="173"/>
      <c r="B44" s="174">
        <v>40.0</v>
      </c>
      <c r="C44" s="180" t="s">
        <v>345</v>
      </c>
      <c r="D44" s="175" t="s">
        <v>346</v>
      </c>
      <c r="E44" s="88" t="str">
        <f t="shared" si="2"/>
        <v>9번 중 2번 참여</v>
      </c>
      <c r="F44" s="89">
        <f t="shared" si="3"/>
        <v>0.2222222222</v>
      </c>
      <c r="G44" s="177" t="s">
        <v>25</v>
      </c>
      <c r="H44" s="177"/>
      <c r="I44" s="177" t="s">
        <v>25</v>
      </c>
      <c r="J44" s="177"/>
      <c r="K44" s="177"/>
      <c r="L44" s="177"/>
      <c r="M44" s="177"/>
      <c r="N44" s="177"/>
      <c r="O44" s="177"/>
    </row>
    <row r="45">
      <c r="A45" s="173"/>
      <c r="B45" s="174">
        <v>41.0</v>
      </c>
      <c r="C45" s="175" t="s">
        <v>347</v>
      </c>
      <c r="D45" s="175" t="s">
        <v>348</v>
      </c>
      <c r="E45" s="88" t="str">
        <f t="shared" si="2"/>
        <v>9번 중 9번 참여</v>
      </c>
      <c r="F45" s="89">
        <f t="shared" si="3"/>
        <v>1</v>
      </c>
      <c r="G45" s="177" t="s">
        <v>25</v>
      </c>
      <c r="H45" s="177" t="s">
        <v>25</v>
      </c>
      <c r="I45" s="177" t="s">
        <v>25</v>
      </c>
      <c r="J45" s="177" t="s">
        <v>25</v>
      </c>
      <c r="K45" s="177" t="s">
        <v>25</v>
      </c>
      <c r="L45" s="177" t="s">
        <v>25</v>
      </c>
      <c r="M45" s="177" t="s">
        <v>25</v>
      </c>
      <c r="N45" s="177" t="s">
        <v>25</v>
      </c>
      <c r="O45" s="177" t="s">
        <v>25</v>
      </c>
    </row>
    <row r="46">
      <c r="A46" s="173"/>
      <c r="B46" s="174">
        <v>42.0</v>
      </c>
      <c r="C46" s="175" t="s">
        <v>95</v>
      </c>
      <c r="D46" s="175" t="s">
        <v>96</v>
      </c>
      <c r="E46" s="88" t="str">
        <f t="shared" si="2"/>
        <v>9번 중 9번 참여</v>
      </c>
      <c r="F46" s="89">
        <f t="shared" si="3"/>
        <v>1</v>
      </c>
      <c r="G46" s="177" t="s">
        <v>25</v>
      </c>
      <c r="H46" s="177" t="s">
        <v>25</v>
      </c>
      <c r="I46" s="177" t="s">
        <v>25</v>
      </c>
      <c r="J46" s="177" t="s">
        <v>25</v>
      </c>
      <c r="K46" s="177" t="s">
        <v>25</v>
      </c>
      <c r="L46" s="177" t="s">
        <v>25</v>
      </c>
      <c r="M46" s="177" t="s">
        <v>25</v>
      </c>
      <c r="N46" s="177" t="s">
        <v>25</v>
      </c>
      <c r="O46" s="177" t="s">
        <v>25</v>
      </c>
    </row>
    <row r="47">
      <c r="A47" s="173"/>
      <c r="B47" s="174">
        <v>43.0</v>
      </c>
      <c r="C47" s="175" t="s">
        <v>97</v>
      </c>
      <c r="D47" s="175" t="s">
        <v>98</v>
      </c>
      <c r="E47" s="88" t="str">
        <f t="shared" si="2"/>
        <v>9번 중 8번 참여</v>
      </c>
      <c r="F47" s="89">
        <f t="shared" si="3"/>
        <v>0.8888888889</v>
      </c>
      <c r="G47" s="177" t="s">
        <v>25</v>
      </c>
      <c r="H47" s="177" t="s">
        <v>25</v>
      </c>
      <c r="I47" s="177" t="s">
        <v>25</v>
      </c>
      <c r="J47" s="177" t="s">
        <v>25</v>
      </c>
      <c r="K47" s="177" t="s">
        <v>25</v>
      </c>
      <c r="L47" s="177"/>
      <c r="M47" s="177" t="s">
        <v>25</v>
      </c>
      <c r="N47" s="177" t="s">
        <v>25</v>
      </c>
      <c r="O47" s="177" t="s">
        <v>25</v>
      </c>
    </row>
    <row r="48">
      <c r="A48" s="173"/>
      <c r="B48" s="174">
        <v>44.0</v>
      </c>
      <c r="C48" s="175" t="s">
        <v>349</v>
      </c>
      <c r="D48" s="175" t="s">
        <v>350</v>
      </c>
      <c r="E48" s="88" t="str">
        <f t="shared" si="2"/>
        <v>9번 중 7번 참여</v>
      </c>
      <c r="F48" s="89">
        <f t="shared" si="3"/>
        <v>0.7777777778</v>
      </c>
      <c r="G48" s="177" t="s">
        <v>25</v>
      </c>
      <c r="H48" s="177" t="s">
        <v>25</v>
      </c>
      <c r="I48" s="177" t="s">
        <v>25</v>
      </c>
      <c r="J48" s="177" t="s">
        <v>25</v>
      </c>
      <c r="K48" s="177" t="s">
        <v>25</v>
      </c>
      <c r="L48" s="177"/>
      <c r="M48" s="177" t="s">
        <v>25</v>
      </c>
      <c r="N48" s="177" t="s">
        <v>25</v>
      </c>
      <c r="O48" s="177"/>
    </row>
    <row r="49">
      <c r="A49" s="173"/>
      <c r="B49" s="174">
        <v>45.0</v>
      </c>
      <c r="C49" s="175" t="s">
        <v>103</v>
      </c>
      <c r="D49" s="175" t="s">
        <v>104</v>
      </c>
      <c r="E49" s="88" t="str">
        <f t="shared" si="2"/>
        <v>9번 중 8번 참여</v>
      </c>
      <c r="F49" s="89">
        <f t="shared" si="3"/>
        <v>0.8888888889</v>
      </c>
      <c r="G49" s="177" t="s">
        <v>25</v>
      </c>
      <c r="H49" s="177" t="s">
        <v>25</v>
      </c>
      <c r="I49" s="177" t="s">
        <v>25</v>
      </c>
      <c r="J49" s="177"/>
      <c r="K49" s="177" t="s">
        <v>25</v>
      </c>
      <c r="L49" s="177" t="s">
        <v>25</v>
      </c>
      <c r="M49" s="177" t="s">
        <v>25</v>
      </c>
      <c r="N49" s="177" t="s">
        <v>25</v>
      </c>
      <c r="O49" s="177" t="s">
        <v>25</v>
      </c>
    </row>
    <row r="50">
      <c r="A50" s="173"/>
      <c r="B50" s="174">
        <v>46.0</v>
      </c>
      <c r="C50" s="175" t="s">
        <v>351</v>
      </c>
      <c r="D50" s="175" t="s">
        <v>352</v>
      </c>
      <c r="E50" s="88" t="str">
        <f t="shared" si="2"/>
        <v>9번 중 7번 참여</v>
      </c>
      <c r="F50" s="89">
        <f t="shared" si="3"/>
        <v>0.7777777778</v>
      </c>
      <c r="G50" s="177" t="s">
        <v>25</v>
      </c>
      <c r="H50" s="177" t="s">
        <v>80</v>
      </c>
      <c r="I50" s="177" t="s">
        <v>25</v>
      </c>
      <c r="J50" s="177" t="s">
        <v>25</v>
      </c>
      <c r="K50" s="177" t="s">
        <v>25</v>
      </c>
      <c r="L50" s="177" t="s">
        <v>25</v>
      </c>
      <c r="M50" s="177" t="s">
        <v>25</v>
      </c>
      <c r="N50" s="177" t="s">
        <v>25</v>
      </c>
      <c r="O50" s="177"/>
    </row>
    <row r="51">
      <c r="A51" s="173"/>
      <c r="B51" s="174">
        <v>47.0</v>
      </c>
      <c r="C51" s="183" t="s">
        <v>353</v>
      </c>
      <c r="D51" s="175" t="s">
        <v>354</v>
      </c>
      <c r="E51" s="88" t="str">
        <f t="shared" si="2"/>
        <v>9번 중 3번 참여</v>
      </c>
      <c r="F51" s="89">
        <f t="shared" si="3"/>
        <v>0.3333333333</v>
      </c>
      <c r="G51" s="177" t="s">
        <v>25</v>
      </c>
      <c r="H51" s="177" t="s">
        <v>25</v>
      </c>
      <c r="I51" s="177"/>
      <c r="J51" s="177" t="s">
        <v>25</v>
      </c>
      <c r="K51" s="177"/>
      <c r="L51" s="177"/>
      <c r="M51" s="177"/>
      <c r="N51" s="177"/>
      <c r="O51" s="177"/>
    </row>
    <row r="52">
      <c r="A52" s="173"/>
      <c r="B52" s="174">
        <v>48.0</v>
      </c>
      <c r="C52" s="175" t="s">
        <v>101</v>
      </c>
      <c r="D52" s="175" t="s">
        <v>102</v>
      </c>
      <c r="E52" s="88" t="str">
        <f t="shared" si="2"/>
        <v>9번 중 8번 참여</v>
      </c>
      <c r="F52" s="89">
        <f t="shared" si="3"/>
        <v>0.8888888889</v>
      </c>
      <c r="G52" s="177" t="s">
        <v>25</v>
      </c>
      <c r="H52" s="177" t="s">
        <v>25</v>
      </c>
      <c r="I52" s="177" t="s">
        <v>25</v>
      </c>
      <c r="J52" s="177" t="s">
        <v>25</v>
      </c>
      <c r="K52" s="177" t="s">
        <v>25</v>
      </c>
      <c r="L52" s="177" t="s">
        <v>25</v>
      </c>
      <c r="M52" s="177" t="s">
        <v>25</v>
      </c>
      <c r="N52" s="177" t="s">
        <v>25</v>
      </c>
      <c r="O52" s="177"/>
    </row>
    <row r="53">
      <c r="A53" s="173"/>
      <c r="B53" s="174">
        <v>49.0</v>
      </c>
      <c r="C53" s="183" t="s">
        <v>355</v>
      </c>
      <c r="D53" s="175" t="s">
        <v>356</v>
      </c>
      <c r="E53" s="88" t="str">
        <f t="shared" si="2"/>
        <v>9번 중 3번 참여</v>
      </c>
      <c r="F53" s="89">
        <f t="shared" si="3"/>
        <v>0.3333333333</v>
      </c>
      <c r="G53" s="177" t="s">
        <v>25</v>
      </c>
      <c r="H53" s="177" t="s">
        <v>25</v>
      </c>
      <c r="I53" s="177"/>
      <c r="J53" s="177"/>
      <c r="K53" s="177" t="s">
        <v>25</v>
      </c>
      <c r="L53" s="177"/>
      <c r="M53" s="177"/>
      <c r="N53" s="177"/>
      <c r="O53" s="177"/>
    </row>
    <row r="54">
      <c r="A54" s="173"/>
      <c r="B54" s="174">
        <v>50.0</v>
      </c>
      <c r="C54" s="175" t="s">
        <v>357</v>
      </c>
      <c r="D54" s="176" t="s">
        <v>358</v>
      </c>
      <c r="E54" s="88" t="str">
        <f t="shared" si="2"/>
        <v>9번 중 9번 참여</v>
      </c>
      <c r="F54" s="89">
        <f t="shared" si="3"/>
        <v>1</v>
      </c>
      <c r="G54" s="177" t="s">
        <v>25</v>
      </c>
      <c r="H54" s="177" t="s">
        <v>25</v>
      </c>
      <c r="I54" s="177" t="s">
        <v>25</v>
      </c>
      <c r="J54" s="177" t="s">
        <v>25</v>
      </c>
      <c r="K54" s="177" t="s">
        <v>25</v>
      </c>
      <c r="L54" s="177" t="s">
        <v>25</v>
      </c>
      <c r="M54" s="177" t="s">
        <v>25</v>
      </c>
      <c r="N54" s="177" t="s">
        <v>25</v>
      </c>
      <c r="O54" s="177" t="s">
        <v>25</v>
      </c>
    </row>
    <row r="55">
      <c r="A55" s="173"/>
      <c r="B55" s="174">
        <v>51.0</v>
      </c>
      <c r="C55" s="184" t="s">
        <v>359</v>
      </c>
      <c r="D55" s="175" t="s">
        <v>360</v>
      </c>
      <c r="E55" s="88" t="str">
        <f t="shared" si="2"/>
        <v>9번 중 8번 참여</v>
      </c>
      <c r="F55" s="89">
        <f t="shared" si="3"/>
        <v>0.8888888889</v>
      </c>
      <c r="G55" s="177" t="s">
        <v>25</v>
      </c>
      <c r="H55" s="177"/>
      <c r="I55" s="177" t="s">
        <v>25</v>
      </c>
      <c r="J55" s="177" t="s">
        <v>25</v>
      </c>
      <c r="K55" s="177" t="s">
        <v>25</v>
      </c>
      <c r="L55" s="177" t="s">
        <v>25</v>
      </c>
      <c r="M55" s="177" t="s">
        <v>25</v>
      </c>
      <c r="N55" s="177" t="s">
        <v>25</v>
      </c>
      <c r="O55" s="177" t="s">
        <v>25</v>
      </c>
    </row>
    <row r="56">
      <c r="A56" s="173"/>
      <c r="B56" s="174">
        <v>52.0</v>
      </c>
      <c r="C56" s="175" t="s">
        <v>111</v>
      </c>
      <c r="D56" s="175" t="s">
        <v>112</v>
      </c>
      <c r="E56" s="88" t="str">
        <f t="shared" si="2"/>
        <v>9번 중 9번 참여</v>
      </c>
      <c r="F56" s="89">
        <f t="shared" si="3"/>
        <v>1</v>
      </c>
      <c r="G56" s="177" t="s">
        <v>25</v>
      </c>
      <c r="H56" s="177" t="s">
        <v>25</v>
      </c>
      <c r="I56" s="177" t="s">
        <v>25</v>
      </c>
      <c r="J56" s="177" t="s">
        <v>25</v>
      </c>
      <c r="K56" s="177" t="s">
        <v>25</v>
      </c>
      <c r="L56" s="177" t="s">
        <v>25</v>
      </c>
      <c r="M56" s="177" t="s">
        <v>25</v>
      </c>
      <c r="N56" s="177" t="s">
        <v>25</v>
      </c>
      <c r="O56" s="177" t="s">
        <v>25</v>
      </c>
    </row>
    <row r="57">
      <c r="A57" s="173"/>
      <c r="B57" s="174">
        <v>53.0</v>
      </c>
      <c r="C57" s="175" t="s">
        <v>113</v>
      </c>
      <c r="D57" s="175" t="s">
        <v>114</v>
      </c>
      <c r="E57" s="88" t="str">
        <f t="shared" si="2"/>
        <v>9번 중 8번 참여</v>
      </c>
      <c r="F57" s="89">
        <f t="shared" si="3"/>
        <v>0.8888888889</v>
      </c>
      <c r="G57" s="177" t="s">
        <v>25</v>
      </c>
      <c r="H57" s="177" t="s">
        <v>25</v>
      </c>
      <c r="I57" s="177" t="s">
        <v>25</v>
      </c>
      <c r="J57" s="177" t="s">
        <v>25</v>
      </c>
      <c r="K57" s="177" t="s">
        <v>25</v>
      </c>
      <c r="L57" s="177" t="s">
        <v>80</v>
      </c>
      <c r="M57" s="177" t="s">
        <v>25</v>
      </c>
      <c r="N57" s="177" t="s">
        <v>25</v>
      </c>
      <c r="O57" s="177" t="s">
        <v>25</v>
      </c>
    </row>
    <row r="58">
      <c r="A58" s="173"/>
      <c r="B58" s="174">
        <v>54.0</v>
      </c>
      <c r="C58" s="175" t="s">
        <v>361</v>
      </c>
      <c r="D58" s="175" t="s">
        <v>362</v>
      </c>
      <c r="E58" s="88" t="str">
        <f t="shared" si="2"/>
        <v>9번 중 7번 참여</v>
      </c>
      <c r="F58" s="89">
        <f t="shared" si="3"/>
        <v>0.7777777778</v>
      </c>
      <c r="G58" s="185" t="s">
        <v>25</v>
      </c>
      <c r="H58" s="177" t="s">
        <v>25</v>
      </c>
      <c r="I58" s="177"/>
      <c r="J58" s="177" t="s">
        <v>25</v>
      </c>
      <c r="K58" s="177" t="s">
        <v>25</v>
      </c>
      <c r="L58" s="177"/>
      <c r="M58" s="177" t="s">
        <v>25</v>
      </c>
      <c r="N58" s="177" t="s">
        <v>25</v>
      </c>
      <c r="O58" s="177" t="s">
        <v>25</v>
      </c>
    </row>
    <row r="59">
      <c r="A59" s="173"/>
      <c r="B59" s="174">
        <v>55.0</v>
      </c>
      <c r="C59" s="175" t="s">
        <v>132</v>
      </c>
      <c r="D59" s="175" t="s">
        <v>133</v>
      </c>
      <c r="E59" s="88" t="str">
        <f t="shared" si="2"/>
        <v>9번 중 9번 참여</v>
      </c>
      <c r="F59" s="89">
        <f t="shared" si="3"/>
        <v>1</v>
      </c>
      <c r="G59" s="177" t="s">
        <v>25</v>
      </c>
      <c r="H59" s="177" t="s">
        <v>25</v>
      </c>
      <c r="I59" s="177" t="s">
        <v>25</v>
      </c>
      <c r="J59" s="177" t="s">
        <v>25</v>
      </c>
      <c r="K59" s="177" t="s">
        <v>25</v>
      </c>
      <c r="L59" s="177" t="s">
        <v>25</v>
      </c>
      <c r="M59" s="177" t="s">
        <v>25</v>
      </c>
      <c r="N59" s="177" t="s">
        <v>25</v>
      </c>
      <c r="O59" s="177" t="s">
        <v>25</v>
      </c>
    </row>
    <row r="60">
      <c r="A60" s="173"/>
      <c r="B60" s="174">
        <v>56.0</v>
      </c>
      <c r="C60" s="175" t="s">
        <v>283</v>
      </c>
      <c r="D60" s="175" t="s">
        <v>119</v>
      </c>
      <c r="E60" s="88" t="str">
        <f t="shared" si="2"/>
        <v>9번 중 9번 참여</v>
      </c>
      <c r="F60" s="89">
        <f t="shared" si="3"/>
        <v>1</v>
      </c>
      <c r="G60" s="177" t="s">
        <v>25</v>
      </c>
      <c r="H60" s="177" t="s">
        <v>25</v>
      </c>
      <c r="I60" s="177" t="s">
        <v>25</v>
      </c>
      <c r="J60" s="177" t="s">
        <v>25</v>
      </c>
      <c r="K60" s="177" t="s">
        <v>25</v>
      </c>
      <c r="L60" s="177" t="s">
        <v>25</v>
      </c>
      <c r="M60" s="177" t="s">
        <v>25</v>
      </c>
      <c r="N60" s="177" t="s">
        <v>25</v>
      </c>
      <c r="O60" s="177" t="s">
        <v>25</v>
      </c>
    </row>
    <row r="61">
      <c r="A61" s="173"/>
      <c r="B61" s="174">
        <v>57.0</v>
      </c>
      <c r="C61" s="175" t="s">
        <v>363</v>
      </c>
      <c r="D61" s="186" t="s">
        <v>364</v>
      </c>
      <c r="E61" s="88" t="str">
        <f t="shared" si="2"/>
        <v>9번 중 9번 참여</v>
      </c>
      <c r="F61" s="89">
        <f t="shared" si="3"/>
        <v>1</v>
      </c>
      <c r="G61" s="177" t="s">
        <v>25</v>
      </c>
      <c r="H61" s="177" t="s">
        <v>25</v>
      </c>
      <c r="I61" s="177" t="s">
        <v>25</v>
      </c>
      <c r="J61" s="177" t="s">
        <v>25</v>
      </c>
      <c r="K61" s="177" t="s">
        <v>25</v>
      </c>
      <c r="L61" s="177" t="s">
        <v>25</v>
      </c>
      <c r="M61" s="177" t="s">
        <v>25</v>
      </c>
      <c r="N61" s="177" t="s">
        <v>25</v>
      </c>
      <c r="O61" s="177" t="s">
        <v>25</v>
      </c>
    </row>
    <row r="62">
      <c r="A62" s="173"/>
      <c r="B62" s="174">
        <v>58.0</v>
      </c>
      <c r="C62" s="180" t="s">
        <v>365</v>
      </c>
      <c r="D62" s="175" t="s">
        <v>366</v>
      </c>
      <c r="E62" s="88" t="str">
        <f t="shared" si="2"/>
        <v>9번 중 1번 참여</v>
      </c>
      <c r="F62" s="89">
        <f t="shared" si="3"/>
        <v>0.1111111111</v>
      </c>
      <c r="G62" s="177" t="s">
        <v>25</v>
      </c>
      <c r="H62" s="177"/>
      <c r="I62" s="177"/>
      <c r="J62" s="177"/>
      <c r="K62" s="177"/>
      <c r="L62" s="177"/>
      <c r="M62" s="177"/>
      <c r="N62" s="177"/>
      <c r="O62" s="177"/>
    </row>
    <row r="63">
      <c r="A63" s="173"/>
      <c r="B63" s="174">
        <v>59.0</v>
      </c>
      <c r="C63" s="175" t="s">
        <v>367</v>
      </c>
      <c r="D63" s="175" t="s">
        <v>368</v>
      </c>
      <c r="E63" s="88" t="str">
        <f t="shared" si="2"/>
        <v>9번 중 6번 참여</v>
      </c>
      <c r="F63" s="89">
        <f t="shared" si="3"/>
        <v>0.6666666667</v>
      </c>
      <c r="G63" s="177"/>
      <c r="H63" s="177" t="s">
        <v>25</v>
      </c>
      <c r="I63" s="177"/>
      <c r="J63" s="177" t="s">
        <v>25</v>
      </c>
      <c r="K63" s="177" t="s">
        <v>25</v>
      </c>
      <c r="L63" s="177" t="s">
        <v>25</v>
      </c>
      <c r="M63" s="177"/>
      <c r="N63" s="177" t="s">
        <v>25</v>
      </c>
      <c r="O63" s="177" t="s">
        <v>25</v>
      </c>
    </row>
    <row r="64">
      <c r="A64" s="173"/>
      <c r="B64" s="174">
        <v>60.0</v>
      </c>
      <c r="C64" s="175" t="s">
        <v>369</v>
      </c>
      <c r="D64" s="175" t="s">
        <v>108</v>
      </c>
      <c r="E64" s="88" t="str">
        <f t="shared" si="2"/>
        <v>9번 중 9번 참여</v>
      </c>
      <c r="F64" s="89">
        <f t="shared" si="3"/>
        <v>1</v>
      </c>
      <c r="G64" s="177" t="s">
        <v>25</v>
      </c>
      <c r="H64" s="177" t="s">
        <v>25</v>
      </c>
      <c r="I64" s="177" t="s">
        <v>25</v>
      </c>
      <c r="J64" s="177" t="s">
        <v>25</v>
      </c>
      <c r="K64" s="177" t="s">
        <v>25</v>
      </c>
      <c r="L64" s="177" t="s">
        <v>25</v>
      </c>
      <c r="M64" s="177" t="s">
        <v>25</v>
      </c>
      <c r="N64" s="177" t="s">
        <v>25</v>
      </c>
      <c r="O64" s="177" t="s">
        <v>25</v>
      </c>
    </row>
    <row r="65">
      <c r="A65" s="173"/>
      <c r="B65" s="174">
        <v>61.0</v>
      </c>
      <c r="C65" s="175" t="s">
        <v>370</v>
      </c>
      <c r="D65" s="175" t="s">
        <v>139</v>
      </c>
      <c r="E65" s="88" t="str">
        <f t="shared" si="2"/>
        <v>9번 중 9번 참여</v>
      </c>
      <c r="F65" s="89">
        <f t="shared" si="3"/>
        <v>1</v>
      </c>
      <c r="G65" s="177" t="s">
        <v>25</v>
      </c>
      <c r="H65" s="177" t="s">
        <v>25</v>
      </c>
      <c r="I65" s="177" t="s">
        <v>25</v>
      </c>
      <c r="J65" s="177" t="s">
        <v>25</v>
      </c>
      <c r="K65" s="177" t="s">
        <v>25</v>
      </c>
      <c r="L65" s="177" t="s">
        <v>25</v>
      </c>
      <c r="M65" s="177" t="s">
        <v>25</v>
      </c>
      <c r="N65" s="177" t="s">
        <v>25</v>
      </c>
      <c r="O65" s="177" t="s">
        <v>25</v>
      </c>
    </row>
    <row r="66">
      <c r="A66" s="173"/>
      <c r="B66" s="174">
        <v>62.0</v>
      </c>
      <c r="C66" s="175" t="s">
        <v>371</v>
      </c>
      <c r="D66" s="175" t="s">
        <v>137</v>
      </c>
      <c r="E66" s="88" t="str">
        <f t="shared" si="2"/>
        <v>9번 중 9번 참여</v>
      </c>
      <c r="F66" s="89">
        <f t="shared" si="3"/>
        <v>1</v>
      </c>
      <c r="G66" s="177" t="s">
        <v>25</v>
      </c>
      <c r="H66" s="177" t="s">
        <v>25</v>
      </c>
      <c r="I66" s="177" t="s">
        <v>25</v>
      </c>
      <c r="J66" s="177" t="s">
        <v>25</v>
      </c>
      <c r="K66" s="177" t="s">
        <v>25</v>
      </c>
      <c r="L66" s="177" t="s">
        <v>25</v>
      </c>
      <c r="M66" s="177" t="s">
        <v>25</v>
      </c>
      <c r="N66" s="177" t="s">
        <v>25</v>
      </c>
      <c r="O66" s="177" t="s">
        <v>25</v>
      </c>
    </row>
    <row r="67">
      <c r="A67" s="173"/>
      <c r="B67" s="174">
        <v>63.0</v>
      </c>
      <c r="C67" s="175" t="s">
        <v>372</v>
      </c>
      <c r="D67" s="175" t="s">
        <v>373</v>
      </c>
      <c r="E67" s="88" t="str">
        <f t="shared" si="2"/>
        <v>9번 중 3번 참여</v>
      </c>
      <c r="F67" s="89">
        <f t="shared" si="3"/>
        <v>0.3333333333</v>
      </c>
      <c r="G67" s="177" t="s">
        <v>25</v>
      </c>
      <c r="H67" s="177" t="s">
        <v>25</v>
      </c>
      <c r="I67" s="177" t="s">
        <v>25</v>
      </c>
      <c r="J67" s="177"/>
      <c r="K67" s="177"/>
      <c r="L67" s="177"/>
      <c r="M67" s="177"/>
      <c r="N67" s="177"/>
      <c r="O67" s="177"/>
    </row>
    <row r="68">
      <c r="A68" s="173"/>
      <c r="B68" s="174">
        <v>64.0</v>
      </c>
      <c r="C68" s="180" t="s">
        <v>374</v>
      </c>
      <c r="D68" s="175" t="s">
        <v>375</v>
      </c>
      <c r="E68" s="88" t="str">
        <f t="shared" si="2"/>
        <v>9번 중 1번 참여</v>
      </c>
      <c r="F68" s="89">
        <f t="shared" si="3"/>
        <v>0.1111111111</v>
      </c>
      <c r="G68" s="185"/>
      <c r="H68" s="177" t="s">
        <v>25</v>
      </c>
      <c r="I68" s="177"/>
      <c r="J68" s="177"/>
      <c r="K68" s="177"/>
      <c r="L68" s="177"/>
      <c r="M68" s="177"/>
      <c r="N68" s="177"/>
      <c r="O68" s="177"/>
    </row>
    <row r="69">
      <c r="A69" s="173"/>
      <c r="B69" s="174">
        <v>65.0</v>
      </c>
      <c r="C69" s="180" t="s">
        <v>376</v>
      </c>
      <c r="D69" s="175" t="s">
        <v>377</v>
      </c>
      <c r="E69" s="88" t="str">
        <f t="shared" si="2"/>
        <v/>
      </c>
      <c r="F69" s="89" t="str">
        <f t="shared" si="3"/>
        <v/>
      </c>
      <c r="G69" s="177"/>
      <c r="H69" s="177"/>
      <c r="I69" s="177"/>
      <c r="J69" s="177"/>
      <c r="K69" s="177"/>
      <c r="L69" s="177"/>
      <c r="M69" s="177"/>
      <c r="N69" s="177"/>
      <c r="O69" s="177"/>
    </row>
    <row r="70">
      <c r="A70" s="173"/>
      <c r="B70" s="174">
        <v>66.0</v>
      </c>
      <c r="C70" s="175" t="s">
        <v>148</v>
      </c>
      <c r="D70" s="175" t="s">
        <v>149</v>
      </c>
      <c r="E70" s="88" t="str">
        <f t="shared" si="2"/>
        <v>9번 중 7번 참여</v>
      </c>
      <c r="F70" s="89">
        <f t="shared" si="3"/>
        <v>0.7777777778</v>
      </c>
      <c r="G70" s="177"/>
      <c r="H70" s="177" t="s">
        <v>25</v>
      </c>
      <c r="I70" s="177"/>
      <c r="J70" s="177" t="s">
        <v>25</v>
      </c>
      <c r="K70" s="177" t="s">
        <v>25</v>
      </c>
      <c r="L70" s="177" t="s">
        <v>25</v>
      </c>
      <c r="M70" s="177" t="s">
        <v>25</v>
      </c>
      <c r="N70" s="177" t="s">
        <v>25</v>
      </c>
      <c r="O70" s="177" t="s">
        <v>25</v>
      </c>
    </row>
    <row r="71">
      <c r="A71" s="173"/>
      <c r="B71" s="174">
        <v>67.0</v>
      </c>
      <c r="C71" s="175" t="s">
        <v>378</v>
      </c>
      <c r="D71" s="175" t="s">
        <v>379</v>
      </c>
      <c r="E71" s="88" t="str">
        <f t="shared" si="2"/>
        <v>9번 중 8번 참여</v>
      </c>
      <c r="F71" s="89">
        <f t="shared" si="3"/>
        <v>0.8888888889</v>
      </c>
      <c r="G71" s="177"/>
      <c r="H71" s="177" t="s">
        <v>25</v>
      </c>
      <c r="I71" s="177" t="s">
        <v>25</v>
      </c>
      <c r="J71" s="177" t="s">
        <v>25</v>
      </c>
      <c r="K71" s="177" t="s">
        <v>25</v>
      </c>
      <c r="L71" s="177" t="s">
        <v>25</v>
      </c>
      <c r="M71" s="177" t="s">
        <v>25</v>
      </c>
      <c r="N71" s="177" t="s">
        <v>25</v>
      </c>
      <c r="O71" s="177" t="s">
        <v>25</v>
      </c>
    </row>
    <row r="72">
      <c r="A72" s="173"/>
      <c r="B72" s="174">
        <v>68.0</v>
      </c>
      <c r="C72" s="175" t="s">
        <v>146</v>
      </c>
      <c r="D72" s="175" t="s">
        <v>147</v>
      </c>
      <c r="E72" s="88" t="str">
        <f t="shared" si="2"/>
        <v>9번 중 9번 참여</v>
      </c>
      <c r="F72" s="89">
        <f t="shared" si="3"/>
        <v>1</v>
      </c>
      <c r="G72" s="177" t="s">
        <v>25</v>
      </c>
      <c r="H72" s="177" t="s">
        <v>25</v>
      </c>
      <c r="I72" s="177" t="s">
        <v>25</v>
      </c>
      <c r="J72" s="177" t="s">
        <v>25</v>
      </c>
      <c r="K72" s="177" t="s">
        <v>25</v>
      </c>
      <c r="L72" s="177" t="s">
        <v>25</v>
      </c>
      <c r="M72" s="177" t="s">
        <v>25</v>
      </c>
      <c r="N72" s="177" t="s">
        <v>25</v>
      </c>
      <c r="O72" s="177" t="s">
        <v>25</v>
      </c>
    </row>
    <row r="73">
      <c r="A73" s="173"/>
      <c r="B73" s="174">
        <v>69.0</v>
      </c>
      <c r="C73" s="175" t="s">
        <v>144</v>
      </c>
      <c r="D73" s="175" t="s">
        <v>145</v>
      </c>
      <c r="E73" s="88" t="str">
        <f t="shared" si="2"/>
        <v>9번 중 9번 참여</v>
      </c>
      <c r="F73" s="89">
        <f t="shared" si="3"/>
        <v>1</v>
      </c>
      <c r="G73" s="177" t="s">
        <v>25</v>
      </c>
      <c r="H73" s="177" t="s">
        <v>25</v>
      </c>
      <c r="I73" s="177" t="s">
        <v>25</v>
      </c>
      <c r="J73" s="177" t="s">
        <v>25</v>
      </c>
      <c r="K73" s="177" t="s">
        <v>25</v>
      </c>
      <c r="L73" s="177" t="s">
        <v>25</v>
      </c>
      <c r="M73" s="177" t="s">
        <v>25</v>
      </c>
      <c r="N73" s="177" t="s">
        <v>25</v>
      </c>
      <c r="O73" s="177" t="s">
        <v>25</v>
      </c>
    </row>
    <row r="74">
      <c r="A74" s="173"/>
      <c r="B74" s="174">
        <v>70.0</v>
      </c>
      <c r="C74" s="175" t="s">
        <v>142</v>
      </c>
      <c r="D74" s="175" t="s">
        <v>143</v>
      </c>
      <c r="E74" s="88" t="str">
        <f t="shared" si="2"/>
        <v>9번 중 9번 참여</v>
      </c>
      <c r="F74" s="89">
        <f t="shared" si="3"/>
        <v>1</v>
      </c>
      <c r="G74" s="177" t="s">
        <v>25</v>
      </c>
      <c r="H74" s="177" t="s">
        <v>25</v>
      </c>
      <c r="I74" s="177" t="s">
        <v>25</v>
      </c>
      <c r="J74" s="177" t="s">
        <v>25</v>
      </c>
      <c r="K74" s="177" t="s">
        <v>25</v>
      </c>
      <c r="L74" s="177" t="s">
        <v>25</v>
      </c>
      <c r="M74" s="177" t="s">
        <v>25</v>
      </c>
      <c r="N74" s="177" t="s">
        <v>25</v>
      </c>
      <c r="O74" s="177" t="s">
        <v>25</v>
      </c>
    </row>
    <row r="75">
      <c r="A75" s="173"/>
      <c r="B75" s="174">
        <v>71.0</v>
      </c>
      <c r="C75" s="175" t="s">
        <v>380</v>
      </c>
      <c r="D75" s="175" t="s">
        <v>381</v>
      </c>
      <c r="E75" s="88" t="str">
        <f t="shared" si="2"/>
        <v>9번 중 9번 참여</v>
      </c>
      <c r="F75" s="89">
        <f t="shared" si="3"/>
        <v>1</v>
      </c>
      <c r="G75" s="177" t="s">
        <v>25</v>
      </c>
      <c r="H75" s="177" t="s">
        <v>25</v>
      </c>
      <c r="I75" s="177" t="s">
        <v>25</v>
      </c>
      <c r="J75" s="177" t="s">
        <v>25</v>
      </c>
      <c r="K75" s="177" t="s">
        <v>25</v>
      </c>
      <c r="L75" s="177" t="s">
        <v>25</v>
      </c>
      <c r="M75" s="177" t="s">
        <v>25</v>
      </c>
      <c r="N75" s="177" t="s">
        <v>25</v>
      </c>
      <c r="O75" s="177" t="s">
        <v>25</v>
      </c>
    </row>
    <row r="76">
      <c r="A76" s="173"/>
      <c r="B76" s="174">
        <v>72.0</v>
      </c>
      <c r="C76" s="175" t="s">
        <v>284</v>
      </c>
      <c r="D76" s="175" t="s">
        <v>121</v>
      </c>
      <c r="E76" s="88" t="str">
        <f t="shared" si="2"/>
        <v>9번 중 9번 참여</v>
      </c>
      <c r="F76" s="89">
        <f t="shared" si="3"/>
        <v>1</v>
      </c>
      <c r="G76" s="177" t="s">
        <v>25</v>
      </c>
      <c r="H76" s="177" t="s">
        <v>25</v>
      </c>
      <c r="I76" s="177" t="s">
        <v>25</v>
      </c>
      <c r="J76" s="177" t="s">
        <v>25</v>
      </c>
      <c r="K76" s="177" t="s">
        <v>25</v>
      </c>
      <c r="L76" s="177" t="s">
        <v>25</v>
      </c>
      <c r="M76" s="177" t="s">
        <v>25</v>
      </c>
      <c r="N76" s="177" t="s">
        <v>25</v>
      </c>
      <c r="O76" s="177" t="s">
        <v>25</v>
      </c>
    </row>
    <row r="77">
      <c r="A77" s="173"/>
      <c r="B77" s="174">
        <v>73.0</v>
      </c>
      <c r="C77" s="175" t="s">
        <v>382</v>
      </c>
      <c r="D77" s="175" t="s">
        <v>383</v>
      </c>
      <c r="E77" s="88" t="str">
        <f t="shared" si="2"/>
        <v>9번 중 8번 참여</v>
      </c>
      <c r="F77" s="89">
        <f t="shared" si="3"/>
        <v>0.8888888889</v>
      </c>
      <c r="G77" s="177" t="s">
        <v>25</v>
      </c>
      <c r="H77" s="177" t="s">
        <v>25</v>
      </c>
      <c r="I77" s="177" t="s">
        <v>25</v>
      </c>
      <c r="J77" s="177" t="s">
        <v>25</v>
      </c>
      <c r="K77" s="177" t="s">
        <v>25</v>
      </c>
      <c r="L77" s="177" t="s">
        <v>25</v>
      </c>
      <c r="M77" s="177" t="s">
        <v>25</v>
      </c>
      <c r="N77" s="177" t="s">
        <v>25</v>
      </c>
      <c r="O77" s="177"/>
    </row>
    <row r="78">
      <c r="A78" s="173"/>
      <c r="B78" s="174">
        <v>74.0</v>
      </c>
      <c r="C78" s="180" t="s">
        <v>384</v>
      </c>
      <c r="D78" s="175" t="s">
        <v>385</v>
      </c>
      <c r="E78" s="88" t="str">
        <f t="shared" si="2"/>
        <v>9번 중 3번 참여</v>
      </c>
      <c r="F78" s="89">
        <f t="shared" si="3"/>
        <v>0.3333333333</v>
      </c>
      <c r="G78" s="177"/>
      <c r="H78" s="177" t="s">
        <v>25</v>
      </c>
      <c r="I78" s="177"/>
      <c r="J78" s="177"/>
      <c r="K78" s="177"/>
      <c r="L78" s="177"/>
      <c r="M78" s="177"/>
      <c r="N78" s="177" t="s">
        <v>25</v>
      </c>
      <c r="O78" s="177" t="s">
        <v>25</v>
      </c>
    </row>
    <row r="79">
      <c r="A79" s="173"/>
      <c r="B79" s="174">
        <v>75.0</v>
      </c>
      <c r="C79" s="175" t="s">
        <v>386</v>
      </c>
      <c r="D79" s="176" t="s">
        <v>387</v>
      </c>
      <c r="E79" s="88" t="str">
        <f t="shared" si="2"/>
        <v>9번 중 9번 참여</v>
      </c>
      <c r="F79" s="89">
        <f t="shared" si="3"/>
        <v>1</v>
      </c>
      <c r="G79" s="177" t="s">
        <v>25</v>
      </c>
      <c r="H79" s="177" t="s">
        <v>25</v>
      </c>
      <c r="I79" s="177" t="s">
        <v>25</v>
      </c>
      <c r="J79" s="177" t="s">
        <v>25</v>
      </c>
      <c r="K79" s="177" t="s">
        <v>25</v>
      </c>
      <c r="L79" s="177" t="s">
        <v>25</v>
      </c>
      <c r="M79" s="177" t="s">
        <v>25</v>
      </c>
      <c r="N79" s="177" t="s">
        <v>25</v>
      </c>
      <c r="O79" s="177" t="s">
        <v>25</v>
      </c>
    </row>
    <row r="80">
      <c r="A80" s="173"/>
      <c r="B80" s="174">
        <v>76.0</v>
      </c>
      <c r="C80" s="175" t="s">
        <v>99</v>
      </c>
      <c r="D80" s="175" t="s">
        <v>100</v>
      </c>
      <c r="E80" s="88" t="str">
        <f t="shared" si="2"/>
        <v>9번 중 8번 참여</v>
      </c>
      <c r="F80" s="89">
        <f t="shared" si="3"/>
        <v>0.8888888889</v>
      </c>
      <c r="G80" s="177"/>
      <c r="H80" s="177" t="s">
        <v>25</v>
      </c>
      <c r="I80" s="177" t="s">
        <v>25</v>
      </c>
      <c r="J80" s="177" t="s">
        <v>25</v>
      </c>
      <c r="K80" s="177" t="s">
        <v>25</v>
      </c>
      <c r="L80" s="177" t="s">
        <v>25</v>
      </c>
      <c r="M80" s="177" t="s">
        <v>25</v>
      </c>
      <c r="N80" s="177" t="s">
        <v>25</v>
      </c>
      <c r="O80" s="177" t="s">
        <v>25</v>
      </c>
    </row>
    <row r="81">
      <c r="A81" s="173"/>
      <c r="B81" s="174">
        <v>77.0</v>
      </c>
      <c r="C81" s="175" t="s">
        <v>388</v>
      </c>
      <c r="D81" s="175" t="s">
        <v>389</v>
      </c>
      <c r="E81" s="88" t="str">
        <f t="shared" si="2"/>
        <v>9번 중 8번 참여</v>
      </c>
      <c r="F81" s="89">
        <f t="shared" si="3"/>
        <v>0.8888888889</v>
      </c>
      <c r="G81" s="177" t="s">
        <v>25</v>
      </c>
      <c r="H81" s="177" t="s">
        <v>25</v>
      </c>
      <c r="I81" s="177" t="s">
        <v>25</v>
      </c>
      <c r="J81" s="177" t="s">
        <v>25</v>
      </c>
      <c r="K81" s="177" t="s">
        <v>25</v>
      </c>
      <c r="L81" s="177"/>
      <c r="M81" s="177" t="s">
        <v>25</v>
      </c>
      <c r="N81" s="177" t="s">
        <v>25</v>
      </c>
      <c r="O81" s="177" t="s">
        <v>25</v>
      </c>
    </row>
    <row r="82">
      <c r="A82" s="173"/>
      <c r="B82" s="174">
        <v>78.0</v>
      </c>
      <c r="C82" s="180" t="s">
        <v>390</v>
      </c>
      <c r="D82" s="175" t="s">
        <v>391</v>
      </c>
      <c r="E82" s="88" t="str">
        <f t="shared" si="2"/>
        <v/>
      </c>
      <c r="F82" s="89" t="str">
        <f t="shared" si="3"/>
        <v/>
      </c>
      <c r="G82" s="177"/>
      <c r="H82" s="177"/>
      <c r="I82" s="177"/>
      <c r="J82" s="177"/>
      <c r="K82" s="177"/>
      <c r="L82" s="177"/>
      <c r="M82" s="177"/>
      <c r="N82" s="177"/>
      <c r="O82" s="177"/>
    </row>
    <row r="83">
      <c r="A83" s="173"/>
      <c r="B83" s="174">
        <v>79.0</v>
      </c>
      <c r="C83" s="180" t="s">
        <v>392</v>
      </c>
      <c r="D83" s="175" t="s">
        <v>393</v>
      </c>
      <c r="E83" s="88" t="str">
        <f t="shared" si="2"/>
        <v>9번 중 2번 참여</v>
      </c>
      <c r="F83" s="89">
        <f t="shared" si="3"/>
        <v>0.2222222222</v>
      </c>
      <c r="G83" s="177" t="s">
        <v>25</v>
      </c>
      <c r="H83" s="177" t="s">
        <v>25</v>
      </c>
      <c r="I83" s="177"/>
      <c r="J83" s="177"/>
      <c r="K83" s="177"/>
      <c r="L83" s="177"/>
      <c r="M83" s="177"/>
      <c r="N83" s="177"/>
      <c r="O83" s="177"/>
    </row>
    <row r="84">
      <c r="A84" s="173"/>
      <c r="B84" s="174">
        <v>80.0</v>
      </c>
      <c r="C84" s="175" t="s">
        <v>58</v>
      </c>
      <c r="D84" s="175" t="s">
        <v>59</v>
      </c>
      <c r="E84" s="88" t="str">
        <f t="shared" si="2"/>
        <v>9번 중 8번 참여</v>
      </c>
      <c r="F84" s="89">
        <f t="shared" si="3"/>
        <v>0.8888888889</v>
      </c>
      <c r="G84" s="177" t="s">
        <v>25</v>
      </c>
      <c r="H84" s="177" t="s">
        <v>25</v>
      </c>
      <c r="I84" s="177" t="s">
        <v>25</v>
      </c>
      <c r="J84" s="177" t="s">
        <v>25</v>
      </c>
      <c r="K84" s="177" t="s">
        <v>25</v>
      </c>
      <c r="L84" s="177"/>
      <c r="M84" s="177" t="s">
        <v>25</v>
      </c>
      <c r="N84" s="177" t="s">
        <v>25</v>
      </c>
      <c r="O84" s="177" t="s">
        <v>25</v>
      </c>
    </row>
    <row r="85">
      <c r="A85" s="173"/>
      <c r="B85" s="174">
        <v>81.0</v>
      </c>
      <c r="C85" s="175" t="s">
        <v>62</v>
      </c>
      <c r="D85" s="175" t="s">
        <v>394</v>
      </c>
      <c r="E85" s="88" t="str">
        <f t="shared" si="2"/>
        <v>9번 중 9번 참여</v>
      </c>
      <c r="F85" s="89">
        <f t="shared" si="3"/>
        <v>1</v>
      </c>
      <c r="G85" s="177" t="s">
        <v>25</v>
      </c>
      <c r="H85" s="177" t="s">
        <v>25</v>
      </c>
      <c r="I85" s="177" t="s">
        <v>25</v>
      </c>
      <c r="J85" s="177" t="s">
        <v>25</v>
      </c>
      <c r="K85" s="177" t="s">
        <v>25</v>
      </c>
      <c r="L85" s="177" t="s">
        <v>25</v>
      </c>
      <c r="M85" s="177" t="s">
        <v>25</v>
      </c>
      <c r="N85" s="177" t="s">
        <v>25</v>
      </c>
      <c r="O85" s="177" t="s">
        <v>25</v>
      </c>
    </row>
    <row r="86">
      <c r="A86" s="173"/>
      <c r="B86" s="174">
        <v>82.0</v>
      </c>
      <c r="C86" s="175" t="s">
        <v>395</v>
      </c>
      <c r="D86" s="175" t="s">
        <v>396</v>
      </c>
      <c r="E86" s="88" t="str">
        <f t="shared" si="2"/>
        <v>9번 중 7번 참여</v>
      </c>
      <c r="F86" s="89">
        <f t="shared" si="3"/>
        <v>0.7777777778</v>
      </c>
      <c r="G86" s="177" t="s">
        <v>25</v>
      </c>
      <c r="H86" s="177" t="s">
        <v>25</v>
      </c>
      <c r="I86" s="177"/>
      <c r="J86" s="177" t="s">
        <v>25</v>
      </c>
      <c r="K86" s="177" t="s">
        <v>25</v>
      </c>
      <c r="L86" s="177" t="s">
        <v>80</v>
      </c>
      <c r="M86" s="177" t="s">
        <v>25</v>
      </c>
      <c r="N86" s="177" t="s">
        <v>25</v>
      </c>
      <c r="O86" s="177" t="s">
        <v>25</v>
      </c>
    </row>
    <row r="87">
      <c r="A87" s="173"/>
      <c r="B87" s="174">
        <v>83.0</v>
      </c>
      <c r="C87" s="175" t="s">
        <v>172</v>
      </c>
      <c r="D87" s="175" t="s">
        <v>397</v>
      </c>
      <c r="E87" s="88" t="str">
        <f t="shared" si="2"/>
        <v>9번 중 9번 참여</v>
      </c>
      <c r="F87" s="89">
        <f t="shared" si="3"/>
        <v>1</v>
      </c>
      <c r="G87" s="177" t="s">
        <v>25</v>
      </c>
      <c r="H87" s="177" t="s">
        <v>25</v>
      </c>
      <c r="I87" s="177" t="s">
        <v>25</v>
      </c>
      <c r="J87" s="177" t="s">
        <v>25</v>
      </c>
      <c r="K87" s="177" t="s">
        <v>25</v>
      </c>
      <c r="L87" s="177" t="s">
        <v>25</v>
      </c>
      <c r="M87" s="177" t="s">
        <v>25</v>
      </c>
      <c r="N87" s="177" t="s">
        <v>25</v>
      </c>
      <c r="O87" s="177" t="s">
        <v>25</v>
      </c>
    </row>
    <row r="88">
      <c r="A88" s="173"/>
      <c r="B88" s="174">
        <v>84.0</v>
      </c>
      <c r="C88" s="175" t="s">
        <v>66</v>
      </c>
      <c r="D88" s="175" t="s">
        <v>67</v>
      </c>
      <c r="E88" s="88" t="str">
        <f t="shared" si="2"/>
        <v>9번 중 8번 참여</v>
      </c>
      <c r="F88" s="89">
        <f t="shared" si="3"/>
        <v>0.8888888889</v>
      </c>
      <c r="G88" s="177" t="s">
        <v>25</v>
      </c>
      <c r="H88" s="177" t="s">
        <v>25</v>
      </c>
      <c r="I88" s="177" t="s">
        <v>25</v>
      </c>
      <c r="J88" s="177"/>
      <c r="K88" s="177" t="s">
        <v>25</v>
      </c>
      <c r="L88" s="177" t="s">
        <v>25</v>
      </c>
      <c r="M88" s="177" t="s">
        <v>25</v>
      </c>
      <c r="N88" s="177" t="s">
        <v>25</v>
      </c>
      <c r="O88" s="177" t="s">
        <v>25</v>
      </c>
    </row>
    <row r="89">
      <c r="A89" s="173"/>
      <c r="B89" s="174">
        <v>85.0</v>
      </c>
      <c r="C89" s="175" t="s">
        <v>154</v>
      </c>
      <c r="D89" s="175" t="s">
        <v>155</v>
      </c>
      <c r="E89" s="88" t="str">
        <f t="shared" si="2"/>
        <v>9번 중 9번 참여</v>
      </c>
      <c r="F89" s="89">
        <f t="shared" si="3"/>
        <v>1</v>
      </c>
      <c r="G89" s="177" t="s">
        <v>25</v>
      </c>
      <c r="H89" s="177" t="s">
        <v>25</v>
      </c>
      <c r="I89" s="177" t="s">
        <v>25</v>
      </c>
      <c r="J89" s="177" t="s">
        <v>25</v>
      </c>
      <c r="K89" s="177" t="s">
        <v>25</v>
      </c>
      <c r="L89" s="177" t="s">
        <v>25</v>
      </c>
      <c r="M89" s="177" t="s">
        <v>25</v>
      </c>
      <c r="N89" s="177" t="s">
        <v>25</v>
      </c>
      <c r="O89" s="177" t="s">
        <v>25</v>
      </c>
    </row>
    <row r="90">
      <c r="A90" s="173"/>
      <c r="B90" s="174">
        <v>86.0</v>
      </c>
      <c r="C90" s="175" t="s">
        <v>170</v>
      </c>
      <c r="D90" s="175" t="s">
        <v>398</v>
      </c>
      <c r="E90" s="88" t="str">
        <f t="shared" si="2"/>
        <v>9번 중 9번 참여</v>
      </c>
      <c r="F90" s="89">
        <f t="shared" si="3"/>
        <v>1</v>
      </c>
      <c r="G90" s="177" t="s">
        <v>25</v>
      </c>
      <c r="H90" s="177" t="s">
        <v>25</v>
      </c>
      <c r="I90" s="177" t="s">
        <v>25</v>
      </c>
      <c r="J90" s="177" t="s">
        <v>25</v>
      </c>
      <c r="K90" s="177" t="s">
        <v>25</v>
      </c>
      <c r="L90" s="177" t="s">
        <v>25</v>
      </c>
      <c r="M90" s="177" t="s">
        <v>25</v>
      </c>
      <c r="N90" s="177" t="s">
        <v>25</v>
      </c>
      <c r="O90" s="177" t="s">
        <v>25</v>
      </c>
    </row>
    <row r="91">
      <c r="A91" s="187" t="s">
        <v>399</v>
      </c>
      <c r="B91" s="174">
        <v>87.0</v>
      </c>
      <c r="C91" s="175" t="s">
        <v>28</v>
      </c>
      <c r="D91" s="175" t="s">
        <v>70</v>
      </c>
      <c r="E91" s="88" t="str">
        <f t="shared" si="2"/>
        <v>9번 중 9번 참여</v>
      </c>
      <c r="F91" s="89">
        <f t="shared" si="3"/>
        <v>1</v>
      </c>
      <c r="G91" s="177" t="s">
        <v>25</v>
      </c>
      <c r="H91" s="177" t="s">
        <v>25</v>
      </c>
      <c r="I91" s="177" t="s">
        <v>25</v>
      </c>
      <c r="J91" s="177" t="s">
        <v>25</v>
      </c>
      <c r="K91" s="177" t="s">
        <v>25</v>
      </c>
      <c r="L91" s="177" t="s">
        <v>25</v>
      </c>
      <c r="M91" s="177" t="s">
        <v>25</v>
      </c>
      <c r="N91" s="177" t="s">
        <v>25</v>
      </c>
      <c r="O91" s="177" t="s">
        <v>25</v>
      </c>
    </row>
    <row r="92">
      <c r="A92" s="173"/>
      <c r="B92" s="174">
        <v>88.0</v>
      </c>
      <c r="C92" s="175"/>
      <c r="D92" s="175"/>
      <c r="E92" s="88" t="str">
        <f t="shared" si="2"/>
        <v/>
      </c>
      <c r="F92" s="89" t="str">
        <f t="shared" si="3"/>
        <v/>
      </c>
      <c r="G92" s="177"/>
      <c r="H92" s="177"/>
      <c r="I92" s="177"/>
      <c r="J92" s="177"/>
      <c r="K92" s="177"/>
      <c r="L92" s="177"/>
      <c r="M92" s="177"/>
      <c r="N92" s="177"/>
      <c r="O92" s="177"/>
    </row>
    <row r="93">
      <c r="A93" s="173"/>
      <c r="B93" s="174">
        <v>89.0</v>
      </c>
      <c r="C93" s="188"/>
      <c r="D93" s="188"/>
      <c r="E93" s="88" t="str">
        <f t="shared" si="2"/>
        <v/>
      </c>
      <c r="F93" s="89" t="str">
        <f t="shared" si="3"/>
        <v/>
      </c>
      <c r="G93" s="177"/>
      <c r="H93" s="177"/>
      <c r="I93" s="177"/>
      <c r="J93" s="177"/>
      <c r="K93" s="177"/>
      <c r="L93" s="177"/>
      <c r="M93" s="177"/>
      <c r="N93" s="177"/>
      <c r="O93" s="177"/>
    </row>
    <row r="94">
      <c r="A94" s="173"/>
      <c r="B94" s="174">
        <v>90.0</v>
      </c>
      <c r="C94" s="188"/>
      <c r="D94" s="188"/>
      <c r="E94" s="88" t="str">
        <f t="shared" si="2"/>
        <v/>
      </c>
      <c r="F94" s="89" t="str">
        <f t="shared" si="3"/>
        <v/>
      </c>
      <c r="G94" s="177"/>
      <c r="H94" s="177"/>
      <c r="I94" s="177"/>
      <c r="J94" s="177"/>
      <c r="K94" s="177"/>
      <c r="L94" s="177"/>
      <c r="M94" s="177"/>
      <c r="N94" s="177"/>
      <c r="O94" s="177"/>
    </row>
    <row r="95">
      <c r="A95" s="173"/>
      <c r="B95" s="174">
        <v>91.0</v>
      </c>
      <c r="C95" s="188"/>
      <c r="D95" s="188"/>
      <c r="E95" s="88" t="str">
        <f t="shared" si="2"/>
        <v/>
      </c>
      <c r="F95" s="89" t="str">
        <f t="shared" si="3"/>
        <v/>
      </c>
      <c r="G95" s="177"/>
      <c r="H95" s="177"/>
      <c r="I95" s="177"/>
      <c r="J95" s="177"/>
      <c r="K95" s="177"/>
      <c r="L95" s="177"/>
      <c r="M95" s="177"/>
      <c r="N95" s="177"/>
      <c r="O95" s="177"/>
    </row>
    <row r="96">
      <c r="A96" s="173"/>
      <c r="B96" s="174">
        <v>92.0</v>
      </c>
      <c r="C96" s="188"/>
      <c r="D96" s="188"/>
      <c r="E96" s="88" t="str">
        <f t="shared" si="2"/>
        <v/>
      </c>
      <c r="F96" s="89" t="str">
        <f t="shared" si="3"/>
        <v/>
      </c>
      <c r="G96" s="177"/>
      <c r="H96" s="177"/>
      <c r="I96" s="177"/>
      <c r="J96" s="177"/>
      <c r="K96" s="177"/>
      <c r="L96" s="177"/>
      <c r="M96" s="177"/>
      <c r="N96" s="177"/>
      <c r="O96" s="177"/>
    </row>
    <row r="97">
      <c r="A97" s="173"/>
      <c r="B97" s="174">
        <v>93.0</v>
      </c>
      <c r="C97" s="188"/>
      <c r="D97" s="188"/>
      <c r="E97" s="88" t="str">
        <f t="shared" si="2"/>
        <v/>
      </c>
      <c r="F97" s="89" t="str">
        <f t="shared" si="3"/>
        <v/>
      </c>
      <c r="G97" s="177"/>
      <c r="H97" s="177"/>
      <c r="I97" s="177"/>
      <c r="J97" s="177"/>
      <c r="K97" s="177"/>
      <c r="L97" s="177"/>
      <c r="M97" s="177"/>
      <c r="N97" s="177"/>
      <c r="O97" s="177"/>
    </row>
    <row r="98">
      <c r="A98" s="173"/>
      <c r="B98" s="174">
        <v>94.0</v>
      </c>
      <c r="C98" s="188"/>
      <c r="D98" s="188"/>
      <c r="E98" s="88" t="str">
        <f t="shared" si="2"/>
        <v/>
      </c>
      <c r="F98" s="89" t="str">
        <f t="shared" si="3"/>
        <v/>
      </c>
      <c r="G98" s="177"/>
      <c r="H98" s="177"/>
      <c r="I98" s="177"/>
      <c r="J98" s="177"/>
      <c r="K98" s="177"/>
      <c r="L98" s="177"/>
      <c r="M98" s="177"/>
      <c r="N98" s="177"/>
      <c r="O98" s="177"/>
    </row>
    <row r="99">
      <c r="A99" s="173"/>
      <c r="B99" s="174">
        <v>95.0</v>
      </c>
      <c r="C99" s="188"/>
      <c r="D99" s="188"/>
      <c r="E99" s="88" t="str">
        <f t="shared" si="2"/>
        <v/>
      </c>
      <c r="F99" s="89" t="str">
        <f t="shared" si="3"/>
        <v/>
      </c>
      <c r="G99" s="177"/>
      <c r="H99" s="177"/>
      <c r="I99" s="177"/>
      <c r="J99" s="177"/>
      <c r="K99" s="177"/>
      <c r="L99" s="177"/>
      <c r="M99" s="177"/>
      <c r="N99" s="177"/>
      <c r="O99" s="177"/>
    </row>
    <row r="100">
      <c r="A100" s="173"/>
      <c r="B100" s="174">
        <v>96.0</v>
      </c>
      <c r="C100" s="188"/>
      <c r="D100" s="188"/>
      <c r="E100" s="88" t="str">
        <f t="shared" si="2"/>
        <v/>
      </c>
      <c r="F100" s="89" t="str">
        <f t="shared" si="3"/>
        <v/>
      </c>
      <c r="G100" s="177"/>
      <c r="H100" s="177"/>
      <c r="I100" s="177"/>
      <c r="J100" s="177"/>
      <c r="K100" s="177"/>
      <c r="L100" s="177"/>
      <c r="M100" s="177"/>
      <c r="N100" s="177"/>
      <c r="O100" s="177"/>
    </row>
    <row r="101">
      <c r="A101" s="173"/>
      <c r="B101" s="174">
        <v>97.0</v>
      </c>
      <c r="C101" s="188"/>
      <c r="D101" s="188"/>
      <c r="E101" s="88" t="str">
        <f t="shared" si="2"/>
        <v/>
      </c>
      <c r="F101" s="89" t="str">
        <f t="shared" si="3"/>
        <v/>
      </c>
      <c r="G101" s="177"/>
      <c r="H101" s="177"/>
      <c r="I101" s="177"/>
      <c r="J101" s="177"/>
      <c r="K101" s="177"/>
      <c r="L101" s="177"/>
      <c r="M101" s="177"/>
      <c r="N101" s="177"/>
      <c r="O101" s="177"/>
    </row>
    <row r="102">
      <c r="A102" s="173"/>
      <c r="B102" s="174">
        <v>98.0</v>
      </c>
      <c r="C102" s="188"/>
      <c r="D102" s="188"/>
      <c r="E102" s="88" t="str">
        <f t="shared" si="2"/>
        <v/>
      </c>
      <c r="F102" s="89" t="str">
        <f t="shared" si="3"/>
        <v/>
      </c>
      <c r="G102" s="177"/>
      <c r="H102" s="177"/>
      <c r="I102" s="177"/>
      <c r="J102" s="177"/>
      <c r="K102" s="177"/>
      <c r="L102" s="177"/>
      <c r="M102" s="177"/>
      <c r="N102" s="177"/>
      <c r="O102" s="177"/>
    </row>
    <row r="103">
      <c r="A103" s="173"/>
      <c r="B103" s="174">
        <v>99.0</v>
      </c>
      <c r="C103" s="188"/>
      <c r="D103" s="188"/>
      <c r="E103" s="88" t="str">
        <f t="shared" si="2"/>
        <v/>
      </c>
      <c r="F103" s="89" t="str">
        <f t="shared" si="3"/>
        <v/>
      </c>
      <c r="G103" s="177"/>
      <c r="H103" s="177"/>
      <c r="I103" s="177"/>
      <c r="J103" s="177"/>
      <c r="K103" s="177"/>
      <c r="L103" s="177"/>
      <c r="M103" s="177"/>
      <c r="N103" s="177"/>
      <c r="O103" s="177"/>
    </row>
    <row r="104">
      <c r="A104" s="173"/>
      <c r="B104" s="174">
        <v>100.0</v>
      </c>
      <c r="C104" s="188"/>
      <c r="D104" s="188"/>
      <c r="E104" s="88" t="str">
        <f t="shared" si="2"/>
        <v/>
      </c>
      <c r="F104" s="89" t="str">
        <f t="shared" si="3"/>
        <v/>
      </c>
      <c r="G104" s="177"/>
      <c r="H104" s="177"/>
      <c r="I104" s="177"/>
      <c r="J104" s="177"/>
      <c r="K104" s="177"/>
      <c r="L104" s="177"/>
      <c r="M104" s="177"/>
      <c r="N104" s="177"/>
      <c r="O104" s="177"/>
    </row>
    <row r="105">
      <c r="A105" s="173"/>
      <c r="B105" s="174">
        <v>101.0</v>
      </c>
      <c r="C105" s="188"/>
      <c r="D105" s="188"/>
      <c r="E105" s="88" t="str">
        <f t="shared" si="2"/>
        <v/>
      </c>
      <c r="F105" s="89" t="str">
        <f t="shared" si="3"/>
        <v/>
      </c>
      <c r="G105" s="177"/>
      <c r="H105" s="177"/>
      <c r="I105" s="177"/>
      <c r="J105" s="177"/>
      <c r="K105" s="177"/>
      <c r="L105" s="177"/>
      <c r="M105" s="177"/>
      <c r="N105" s="177"/>
      <c r="O105" s="177"/>
    </row>
    <row r="106">
      <c r="A106" s="173"/>
      <c r="B106" s="174">
        <v>102.0</v>
      </c>
      <c r="C106" s="188"/>
      <c r="D106" s="188"/>
      <c r="E106" s="88" t="str">
        <f t="shared" si="2"/>
        <v/>
      </c>
      <c r="F106" s="89" t="str">
        <f t="shared" si="3"/>
        <v/>
      </c>
      <c r="G106" s="177"/>
      <c r="H106" s="177"/>
      <c r="I106" s="177"/>
      <c r="J106" s="177"/>
      <c r="K106" s="177"/>
      <c r="L106" s="177"/>
      <c r="M106" s="177"/>
      <c r="N106" s="177"/>
      <c r="O106" s="177"/>
    </row>
    <row r="107">
      <c r="A107" s="173"/>
      <c r="B107" s="174">
        <v>103.0</v>
      </c>
      <c r="C107" s="188"/>
      <c r="D107" s="188"/>
      <c r="E107" s="88" t="str">
        <f t="shared" si="2"/>
        <v/>
      </c>
      <c r="F107" s="89" t="str">
        <f t="shared" si="3"/>
        <v/>
      </c>
      <c r="G107" s="177"/>
      <c r="H107" s="177"/>
      <c r="I107" s="177"/>
      <c r="J107" s="177"/>
      <c r="K107" s="177"/>
      <c r="L107" s="177"/>
      <c r="M107" s="177"/>
      <c r="N107" s="177"/>
      <c r="O107" s="177"/>
    </row>
    <row r="108">
      <c r="A108" s="173"/>
      <c r="B108" s="174">
        <v>104.0</v>
      </c>
      <c r="C108" s="188"/>
      <c r="D108" s="188"/>
      <c r="E108" s="88" t="str">
        <f t="shared" si="2"/>
        <v/>
      </c>
      <c r="F108" s="89" t="str">
        <f t="shared" si="3"/>
        <v/>
      </c>
      <c r="G108" s="177"/>
      <c r="H108" s="177"/>
      <c r="I108" s="177"/>
      <c r="J108" s="177"/>
      <c r="K108" s="177"/>
      <c r="L108" s="177"/>
      <c r="M108" s="177"/>
      <c r="N108" s="177"/>
      <c r="O108" s="177"/>
    </row>
    <row r="109">
      <c r="A109" s="173"/>
      <c r="B109" s="174">
        <v>105.0</v>
      </c>
      <c r="C109" s="188"/>
      <c r="D109" s="188"/>
      <c r="E109" s="88" t="str">
        <f t="shared" si="2"/>
        <v/>
      </c>
      <c r="F109" s="89" t="str">
        <f t="shared" si="3"/>
        <v/>
      </c>
      <c r="G109" s="177"/>
      <c r="H109" s="177"/>
      <c r="I109" s="177"/>
      <c r="J109" s="177"/>
      <c r="K109" s="177"/>
      <c r="L109" s="177"/>
      <c r="M109" s="177"/>
      <c r="N109" s="177"/>
      <c r="O109" s="177"/>
    </row>
    <row r="110">
      <c r="A110" s="173"/>
      <c r="B110" s="174">
        <v>106.0</v>
      </c>
      <c r="C110" s="188"/>
      <c r="D110" s="188"/>
      <c r="E110" s="88" t="str">
        <f t="shared" si="2"/>
        <v/>
      </c>
      <c r="F110" s="89" t="str">
        <f t="shared" si="3"/>
        <v/>
      </c>
      <c r="G110" s="177"/>
      <c r="H110" s="177"/>
      <c r="I110" s="177"/>
      <c r="J110" s="177"/>
      <c r="K110" s="177"/>
      <c r="L110" s="177"/>
      <c r="M110" s="177"/>
      <c r="N110" s="177"/>
      <c r="O110" s="177"/>
    </row>
    <row r="111">
      <c r="A111" s="173"/>
      <c r="B111" s="174">
        <v>107.0</v>
      </c>
      <c r="C111" s="188"/>
      <c r="D111" s="188"/>
      <c r="E111" s="88" t="str">
        <f t="shared" si="2"/>
        <v/>
      </c>
      <c r="F111" s="89" t="str">
        <f t="shared" si="3"/>
        <v/>
      </c>
      <c r="G111" s="177"/>
      <c r="H111" s="177"/>
      <c r="I111" s="177"/>
      <c r="J111" s="177"/>
      <c r="K111" s="177"/>
      <c r="L111" s="177"/>
      <c r="M111" s="177"/>
      <c r="N111" s="177"/>
      <c r="O111" s="177"/>
    </row>
    <row r="112">
      <c r="A112" s="173"/>
      <c r="B112" s="174">
        <v>108.0</v>
      </c>
      <c r="C112" s="188"/>
      <c r="D112" s="188"/>
      <c r="E112" s="88" t="str">
        <f t="shared" si="2"/>
        <v/>
      </c>
      <c r="F112" s="89" t="str">
        <f t="shared" si="3"/>
        <v/>
      </c>
      <c r="G112" s="177"/>
      <c r="H112" s="177"/>
      <c r="I112" s="177"/>
      <c r="J112" s="177"/>
      <c r="K112" s="177"/>
      <c r="L112" s="177"/>
      <c r="M112" s="177"/>
      <c r="N112" s="177"/>
      <c r="O112" s="177"/>
    </row>
    <row r="113">
      <c r="A113" s="173"/>
      <c r="B113" s="174">
        <v>109.0</v>
      </c>
      <c r="C113" s="188"/>
      <c r="D113" s="188"/>
      <c r="E113" s="88" t="str">
        <f t="shared" si="2"/>
        <v/>
      </c>
      <c r="F113" s="89" t="str">
        <f t="shared" si="3"/>
        <v/>
      </c>
      <c r="G113" s="177"/>
      <c r="H113" s="177"/>
      <c r="I113" s="177"/>
      <c r="J113" s="177"/>
      <c r="K113" s="177"/>
      <c r="L113" s="177"/>
      <c r="M113" s="177"/>
      <c r="N113" s="177"/>
      <c r="O113" s="177"/>
    </row>
    <row r="114">
      <c r="A114" s="173"/>
      <c r="B114" s="174">
        <v>110.0</v>
      </c>
      <c r="C114" s="188"/>
      <c r="D114" s="188"/>
      <c r="E114" s="88" t="str">
        <f t="shared" si="2"/>
        <v/>
      </c>
      <c r="F114" s="89" t="str">
        <f t="shared" si="3"/>
        <v/>
      </c>
      <c r="G114" s="177"/>
      <c r="H114" s="177"/>
      <c r="I114" s="177"/>
      <c r="J114" s="177"/>
      <c r="K114" s="177"/>
      <c r="L114" s="177"/>
      <c r="M114" s="177"/>
      <c r="N114" s="177"/>
      <c r="O114" s="177"/>
    </row>
    <row r="115">
      <c r="A115" s="173"/>
      <c r="B115" s="174">
        <v>111.0</v>
      </c>
      <c r="C115" s="188"/>
      <c r="D115" s="188"/>
      <c r="E115" s="88" t="str">
        <f t="shared" si="2"/>
        <v/>
      </c>
      <c r="F115" s="89" t="str">
        <f t="shared" si="3"/>
        <v/>
      </c>
      <c r="G115" s="177"/>
      <c r="H115" s="177"/>
      <c r="I115" s="177"/>
      <c r="J115" s="177"/>
      <c r="K115" s="177"/>
      <c r="L115" s="177"/>
      <c r="M115" s="177"/>
      <c r="N115" s="177"/>
      <c r="O115" s="177"/>
    </row>
    <row r="116">
      <c r="A116" s="173"/>
      <c r="B116" s="174">
        <v>112.0</v>
      </c>
      <c r="C116" s="188"/>
      <c r="D116" s="188"/>
      <c r="E116" s="88" t="str">
        <f t="shared" si="2"/>
        <v/>
      </c>
      <c r="F116" s="89" t="str">
        <f t="shared" si="3"/>
        <v/>
      </c>
      <c r="G116" s="177"/>
      <c r="H116" s="177"/>
      <c r="I116" s="177"/>
      <c r="J116" s="177"/>
      <c r="K116" s="177"/>
      <c r="L116" s="177"/>
      <c r="M116" s="177"/>
      <c r="N116" s="177"/>
      <c r="O116" s="177"/>
    </row>
    <row r="117">
      <c r="A117" s="173"/>
      <c r="B117" s="174">
        <v>113.0</v>
      </c>
      <c r="C117" s="188"/>
      <c r="D117" s="188"/>
      <c r="E117" s="88" t="str">
        <f t="shared" si="2"/>
        <v/>
      </c>
      <c r="F117" s="89" t="str">
        <f t="shared" si="3"/>
        <v/>
      </c>
      <c r="G117" s="177"/>
      <c r="H117" s="177"/>
      <c r="I117" s="177"/>
      <c r="J117" s="177"/>
      <c r="K117" s="177"/>
      <c r="L117" s="177"/>
      <c r="M117" s="177"/>
      <c r="N117" s="177"/>
      <c r="O117" s="177"/>
    </row>
    <row r="118">
      <c r="A118" s="173"/>
      <c r="B118" s="174">
        <v>114.0</v>
      </c>
      <c r="C118" s="188"/>
      <c r="D118" s="188"/>
      <c r="E118" s="88" t="str">
        <f t="shared" si="2"/>
        <v/>
      </c>
      <c r="F118" s="89" t="str">
        <f t="shared" si="3"/>
        <v/>
      </c>
      <c r="G118" s="177"/>
      <c r="H118" s="177"/>
      <c r="I118" s="177"/>
      <c r="J118" s="177"/>
      <c r="K118" s="177"/>
      <c r="L118" s="177"/>
      <c r="M118" s="177"/>
      <c r="N118" s="177"/>
      <c r="O118" s="177"/>
    </row>
    <row r="119">
      <c r="A119" s="173"/>
      <c r="B119" s="174">
        <v>115.0</v>
      </c>
      <c r="C119" s="188"/>
      <c r="D119" s="188"/>
      <c r="E119" s="88" t="str">
        <f t="shared" si="2"/>
        <v/>
      </c>
      <c r="F119" s="89" t="str">
        <f t="shared" si="3"/>
        <v/>
      </c>
      <c r="G119" s="177"/>
      <c r="H119" s="177"/>
      <c r="I119" s="177"/>
      <c r="J119" s="177"/>
      <c r="K119" s="177"/>
      <c r="L119" s="177"/>
      <c r="M119" s="177"/>
      <c r="N119" s="177"/>
      <c r="O119" s="177"/>
    </row>
    <row r="120">
      <c r="A120" s="173"/>
      <c r="B120" s="174">
        <v>116.0</v>
      </c>
      <c r="C120" s="188"/>
      <c r="D120" s="188"/>
      <c r="E120" s="88" t="str">
        <f t="shared" si="2"/>
        <v/>
      </c>
      <c r="F120" s="89" t="str">
        <f t="shared" si="3"/>
        <v/>
      </c>
      <c r="G120" s="177"/>
      <c r="H120" s="177"/>
      <c r="I120" s="177"/>
      <c r="J120" s="177"/>
      <c r="K120" s="177"/>
      <c r="L120" s="177"/>
      <c r="M120" s="177"/>
      <c r="N120" s="177"/>
      <c r="O120" s="177"/>
    </row>
    <row r="121">
      <c r="A121" s="173"/>
      <c r="B121" s="174">
        <v>117.0</v>
      </c>
      <c r="C121" s="188"/>
      <c r="D121" s="188"/>
      <c r="E121" s="88" t="str">
        <f t="shared" si="2"/>
        <v/>
      </c>
      <c r="F121" s="89" t="str">
        <f t="shared" si="3"/>
        <v/>
      </c>
      <c r="G121" s="177"/>
      <c r="H121" s="177"/>
      <c r="I121" s="177"/>
      <c r="J121" s="177"/>
      <c r="K121" s="177"/>
      <c r="L121" s="177"/>
      <c r="M121" s="177"/>
      <c r="N121" s="177"/>
      <c r="O121" s="177"/>
    </row>
    <row r="122">
      <c r="A122" s="189"/>
      <c r="B122" s="190">
        <v>118.0</v>
      </c>
      <c r="C122" s="191"/>
      <c r="D122" s="191"/>
      <c r="E122" s="88" t="str">
        <f t="shared" si="2"/>
        <v/>
      </c>
      <c r="F122" s="89" t="str">
        <f t="shared" si="3"/>
        <v/>
      </c>
      <c r="G122" s="192"/>
      <c r="H122" s="192"/>
      <c r="I122" s="192"/>
      <c r="J122" s="192"/>
      <c r="K122" s="192"/>
      <c r="L122" s="192"/>
      <c r="M122" s="192"/>
      <c r="N122" s="192"/>
      <c r="O122" s="192"/>
    </row>
    <row r="123">
      <c r="A123" s="189"/>
      <c r="B123" s="190">
        <v>119.0</v>
      </c>
      <c r="C123" s="191"/>
      <c r="D123" s="191"/>
      <c r="E123" s="88" t="str">
        <f t="shared" si="2"/>
        <v/>
      </c>
      <c r="F123" s="89" t="str">
        <f t="shared" si="3"/>
        <v/>
      </c>
      <c r="G123" s="192"/>
      <c r="H123" s="192"/>
      <c r="I123" s="192"/>
      <c r="J123" s="192"/>
      <c r="K123" s="192"/>
      <c r="L123" s="192"/>
      <c r="M123" s="192"/>
      <c r="N123" s="192"/>
      <c r="O123" s="192"/>
    </row>
    <row r="124">
      <c r="A124" s="189"/>
      <c r="B124" s="190">
        <v>120.0</v>
      </c>
      <c r="C124" s="191"/>
      <c r="D124" s="191"/>
      <c r="E124" s="88" t="str">
        <f t="shared" si="2"/>
        <v/>
      </c>
      <c r="F124" s="89" t="str">
        <f t="shared" si="3"/>
        <v/>
      </c>
      <c r="G124" s="192"/>
      <c r="H124" s="192"/>
      <c r="I124" s="192"/>
      <c r="J124" s="192"/>
      <c r="K124" s="192"/>
      <c r="L124" s="192"/>
      <c r="M124" s="192"/>
      <c r="N124" s="192"/>
      <c r="O124" s="192"/>
    </row>
    <row r="125">
      <c r="A125" s="193"/>
      <c r="B125" s="193"/>
      <c r="C125" s="193"/>
      <c r="D125" s="193"/>
      <c r="E125" s="194"/>
      <c r="F125" s="194"/>
      <c r="G125" s="193"/>
      <c r="H125" s="193"/>
      <c r="I125" s="193"/>
      <c r="J125" s="193"/>
      <c r="K125" s="193"/>
      <c r="L125" s="193"/>
      <c r="M125" s="193"/>
      <c r="N125" s="193"/>
      <c r="O125" s="193"/>
    </row>
    <row r="126">
      <c r="A126" s="193"/>
      <c r="B126" s="193"/>
      <c r="C126" s="193"/>
      <c r="D126" s="193"/>
      <c r="E126" s="194"/>
      <c r="F126" s="194"/>
      <c r="G126" s="193"/>
      <c r="H126" s="193"/>
      <c r="I126" s="193"/>
      <c r="J126" s="193"/>
      <c r="K126" s="193"/>
      <c r="L126" s="193"/>
      <c r="M126" s="193"/>
      <c r="N126" s="193"/>
      <c r="O126" s="193"/>
    </row>
    <row r="127">
      <c r="A127" s="193"/>
      <c r="B127" s="193"/>
      <c r="C127" s="193"/>
      <c r="D127" s="193"/>
      <c r="E127" s="194"/>
      <c r="F127" s="194"/>
      <c r="G127" s="193"/>
      <c r="H127" s="193"/>
      <c r="I127" s="193"/>
      <c r="J127" s="193"/>
      <c r="K127" s="193"/>
      <c r="L127" s="193"/>
      <c r="M127" s="193"/>
      <c r="N127" s="193"/>
      <c r="O127" s="193"/>
    </row>
    <row r="128">
      <c r="A128" s="193"/>
      <c r="B128" s="193"/>
      <c r="C128" s="193"/>
      <c r="D128" s="193"/>
      <c r="E128" s="194"/>
      <c r="F128" s="194"/>
      <c r="G128" s="193"/>
      <c r="H128" s="193"/>
      <c r="I128" s="193"/>
      <c r="J128" s="193"/>
      <c r="K128" s="193"/>
      <c r="L128" s="193"/>
      <c r="M128" s="193"/>
      <c r="N128" s="193"/>
      <c r="O128" s="193"/>
    </row>
    <row r="129">
      <c r="A129" s="193"/>
      <c r="B129" s="193"/>
      <c r="C129" s="193"/>
      <c r="D129" s="193"/>
      <c r="E129" s="194"/>
      <c r="F129" s="194"/>
      <c r="G129" s="193"/>
      <c r="H129" s="193"/>
      <c r="I129" s="193"/>
      <c r="J129" s="193"/>
      <c r="K129" s="193"/>
      <c r="L129" s="193"/>
      <c r="M129" s="193"/>
      <c r="N129" s="193"/>
      <c r="O129" s="193"/>
    </row>
    <row r="130">
      <c r="A130" s="193"/>
      <c r="B130" s="193"/>
      <c r="C130" s="193"/>
      <c r="D130" s="193"/>
      <c r="E130" s="194"/>
      <c r="F130" s="194"/>
      <c r="G130" s="193"/>
      <c r="H130" s="193"/>
      <c r="I130" s="193"/>
      <c r="J130" s="193"/>
      <c r="K130" s="193"/>
      <c r="L130" s="193"/>
      <c r="M130" s="193"/>
      <c r="N130" s="193"/>
      <c r="O130" s="193"/>
    </row>
    <row r="131">
      <c r="A131" s="193"/>
      <c r="B131" s="193"/>
      <c r="C131" s="193"/>
      <c r="D131" s="193"/>
      <c r="E131" s="194"/>
      <c r="F131" s="194"/>
      <c r="G131" s="193"/>
      <c r="H131" s="193"/>
      <c r="I131" s="193"/>
      <c r="J131" s="193"/>
      <c r="K131" s="193"/>
      <c r="L131" s="193"/>
      <c r="M131" s="193"/>
      <c r="N131" s="193"/>
      <c r="O131" s="193"/>
    </row>
    <row r="132">
      <c r="A132" s="193"/>
      <c r="B132" s="193"/>
      <c r="C132" s="193"/>
      <c r="D132" s="193"/>
      <c r="E132" s="194"/>
      <c r="F132" s="194"/>
      <c r="G132" s="193"/>
      <c r="H132" s="193"/>
      <c r="I132" s="193"/>
      <c r="J132" s="193"/>
      <c r="K132" s="193"/>
      <c r="L132" s="193"/>
      <c r="M132" s="193"/>
      <c r="N132" s="193"/>
      <c r="O132" s="193"/>
    </row>
    <row r="133">
      <c r="A133" s="193"/>
      <c r="B133" s="193"/>
      <c r="C133" s="193"/>
      <c r="D133" s="193"/>
      <c r="E133" s="194"/>
      <c r="F133" s="194"/>
      <c r="G133" s="193"/>
      <c r="H133" s="193"/>
      <c r="I133" s="193"/>
      <c r="J133" s="193"/>
      <c r="K133" s="193"/>
      <c r="L133" s="193"/>
      <c r="M133" s="193"/>
      <c r="N133" s="193"/>
      <c r="O133" s="193"/>
    </row>
    <row r="134">
      <c r="A134" s="193"/>
      <c r="B134" s="193"/>
      <c r="C134" s="193"/>
      <c r="D134" s="193"/>
      <c r="E134" s="194"/>
      <c r="F134" s="194"/>
      <c r="G134" s="193"/>
      <c r="H134" s="193"/>
      <c r="I134" s="193"/>
      <c r="J134" s="193"/>
      <c r="K134" s="193"/>
      <c r="L134" s="193"/>
      <c r="M134" s="193"/>
      <c r="N134" s="193"/>
      <c r="O134" s="193"/>
    </row>
    <row r="135">
      <c r="A135" s="193"/>
      <c r="B135" s="193"/>
      <c r="C135" s="193"/>
      <c r="D135" s="193"/>
      <c r="E135" s="194"/>
      <c r="F135" s="194"/>
      <c r="G135" s="193"/>
      <c r="H135" s="193"/>
      <c r="I135" s="193"/>
      <c r="J135" s="193"/>
      <c r="K135" s="193"/>
      <c r="L135" s="193"/>
      <c r="M135" s="193"/>
      <c r="N135" s="193"/>
      <c r="O135" s="193"/>
    </row>
    <row r="136">
      <c r="A136" s="193"/>
      <c r="B136" s="193"/>
      <c r="C136" s="193"/>
      <c r="D136" s="193"/>
      <c r="E136" s="194"/>
      <c r="F136" s="194"/>
      <c r="G136" s="193"/>
      <c r="H136" s="193"/>
      <c r="I136" s="193"/>
      <c r="J136" s="193"/>
      <c r="K136" s="193"/>
      <c r="L136" s="193"/>
      <c r="M136" s="193"/>
      <c r="N136" s="193"/>
      <c r="O136" s="193"/>
    </row>
    <row r="137">
      <c r="A137" s="193"/>
      <c r="B137" s="193"/>
      <c r="C137" s="193"/>
      <c r="D137" s="193"/>
      <c r="E137" s="194"/>
      <c r="F137" s="194"/>
      <c r="G137" s="193"/>
      <c r="H137" s="193"/>
      <c r="I137" s="193"/>
      <c r="J137" s="193"/>
      <c r="K137" s="193"/>
      <c r="L137" s="193"/>
      <c r="M137" s="193"/>
      <c r="N137" s="193"/>
      <c r="O137" s="193"/>
    </row>
    <row r="138">
      <c r="A138" s="193"/>
      <c r="B138" s="193"/>
      <c r="C138" s="193"/>
      <c r="D138" s="193"/>
      <c r="E138" s="194"/>
      <c r="F138" s="194"/>
      <c r="G138" s="193"/>
      <c r="H138" s="193"/>
      <c r="I138" s="193"/>
      <c r="J138" s="193"/>
      <c r="K138" s="193"/>
      <c r="L138" s="193"/>
      <c r="M138" s="193"/>
      <c r="N138" s="193"/>
      <c r="O138" s="193"/>
    </row>
    <row r="139">
      <c r="A139" s="193"/>
      <c r="B139" s="193"/>
      <c r="C139" s="193"/>
      <c r="D139" s="193"/>
      <c r="E139" s="194"/>
      <c r="F139" s="194"/>
      <c r="G139" s="193"/>
      <c r="H139" s="193"/>
      <c r="I139" s="193"/>
      <c r="J139" s="193"/>
      <c r="K139" s="193"/>
      <c r="L139" s="193"/>
      <c r="M139" s="193"/>
      <c r="N139" s="193"/>
      <c r="O139" s="193"/>
    </row>
    <row r="140">
      <c r="A140" s="193"/>
      <c r="B140" s="193"/>
      <c r="C140" s="193"/>
      <c r="D140" s="193"/>
      <c r="E140" s="194"/>
      <c r="F140" s="194"/>
      <c r="G140" s="193"/>
      <c r="H140" s="193"/>
      <c r="I140" s="193"/>
      <c r="J140" s="193"/>
      <c r="K140" s="193"/>
      <c r="L140" s="193"/>
      <c r="M140" s="193"/>
      <c r="N140" s="193"/>
      <c r="O140" s="193"/>
    </row>
    <row r="141">
      <c r="A141" s="193"/>
      <c r="B141" s="193"/>
      <c r="C141" s="193"/>
      <c r="D141" s="193"/>
      <c r="E141" s="194"/>
      <c r="F141" s="194"/>
      <c r="G141" s="193"/>
      <c r="H141" s="193"/>
      <c r="I141" s="193"/>
      <c r="J141" s="193"/>
      <c r="K141" s="193"/>
      <c r="L141" s="193"/>
      <c r="M141" s="193"/>
      <c r="N141" s="193"/>
      <c r="O141" s="193"/>
    </row>
    <row r="142">
      <c r="A142" s="193"/>
      <c r="B142" s="193"/>
      <c r="C142" s="193"/>
      <c r="D142" s="193"/>
      <c r="E142" s="194"/>
      <c r="F142" s="194"/>
      <c r="G142" s="193"/>
      <c r="H142" s="193"/>
      <c r="I142" s="193"/>
      <c r="J142" s="193"/>
      <c r="K142" s="193"/>
      <c r="L142" s="193"/>
      <c r="M142" s="193"/>
      <c r="N142" s="193"/>
      <c r="O142" s="193"/>
    </row>
    <row r="143">
      <c r="A143" s="193"/>
      <c r="B143" s="193"/>
      <c r="C143" s="193"/>
      <c r="D143" s="193"/>
      <c r="E143" s="194"/>
      <c r="F143" s="194"/>
      <c r="G143" s="193"/>
      <c r="H143" s="193"/>
      <c r="I143" s="193"/>
      <c r="J143" s="193"/>
      <c r="K143" s="193"/>
      <c r="L143" s="193"/>
      <c r="M143" s="193"/>
      <c r="N143" s="193"/>
      <c r="O143" s="193"/>
    </row>
    <row r="144">
      <c r="A144" s="193"/>
      <c r="B144" s="193"/>
      <c r="C144" s="193"/>
      <c r="D144" s="193"/>
      <c r="E144" s="194"/>
      <c r="F144" s="194"/>
      <c r="G144" s="193"/>
      <c r="H144" s="193"/>
      <c r="I144" s="193"/>
      <c r="J144" s="193"/>
      <c r="K144" s="193"/>
      <c r="L144" s="193"/>
      <c r="M144" s="193"/>
      <c r="N144" s="193"/>
      <c r="O144" s="193"/>
    </row>
    <row r="145">
      <c r="A145" s="193"/>
      <c r="B145" s="193"/>
      <c r="C145" s="193"/>
      <c r="D145" s="193"/>
      <c r="E145" s="194"/>
      <c r="F145" s="194"/>
      <c r="G145" s="193"/>
      <c r="H145" s="193"/>
      <c r="I145" s="193"/>
      <c r="J145" s="193"/>
      <c r="K145" s="193"/>
      <c r="L145" s="193"/>
      <c r="M145" s="193"/>
      <c r="N145" s="193"/>
      <c r="O145" s="193"/>
    </row>
    <row r="146">
      <c r="A146" s="193"/>
      <c r="B146" s="193"/>
      <c r="C146" s="193"/>
      <c r="D146" s="193"/>
      <c r="E146" s="194"/>
      <c r="F146" s="194"/>
      <c r="G146" s="193"/>
      <c r="H146" s="193"/>
      <c r="I146" s="193"/>
      <c r="J146" s="193"/>
      <c r="K146" s="193"/>
      <c r="L146" s="193"/>
      <c r="M146" s="193"/>
      <c r="N146" s="193"/>
      <c r="O146" s="193"/>
    </row>
    <row r="147">
      <c r="A147" s="193"/>
      <c r="B147" s="193"/>
      <c r="C147" s="193"/>
      <c r="D147" s="193"/>
      <c r="E147" s="194"/>
      <c r="F147" s="194"/>
      <c r="G147" s="193"/>
      <c r="H147" s="193"/>
      <c r="I147" s="193"/>
      <c r="J147" s="193"/>
      <c r="K147" s="193"/>
      <c r="L147" s="193"/>
      <c r="M147" s="193"/>
      <c r="N147" s="193"/>
      <c r="O147" s="193"/>
    </row>
    <row r="148">
      <c r="A148" s="193"/>
      <c r="B148" s="193"/>
      <c r="C148" s="193"/>
      <c r="D148" s="193"/>
      <c r="E148" s="194"/>
      <c r="F148" s="194"/>
      <c r="G148" s="193"/>
      <c r="H148" s="193"/>
      <c r="I148" s="193"/>
      <c r="J148" s="193"/>
      <c r="K148" s="193"/>
      <c r="L148" s="193"/>
      <c r="M148" s="193"/>
      <c r="N148" s="193"/>
      <c r="O148" s="193"/>
    </row>
    <row r="149">
      <c r="A149" s="193"/>
      <c r="B149" s="193"/>
      <c r="C149" s="193"/>
      <c r="D149" s="193"/>
      <c r="E149" s="194"/>
      <c r="F149" s="194"/>
      <c r="G149" s="193"/>
      <c r="H149" s="193"/>
      <c r="I149" s="193"/>
      <c r="J149" s="193"/>
      <c r="K149" s="193"/>
      <c r="L149" s="193"/>
      <c r="M149" s="193"/>
      <c r="N149" s="193"/>
      <c r="O149" s="193"/>
    </row>
    <row r="150">
      <c r="A150" s="193"/>
      <c r="B150" s="193"/>
      <c r="C150" s="193"/>
      <c r="D150" s="193"/>
      <c r="E150" s="194"/>
      <c r="F150" s="194"/>
      <c r="G150" s="193"/>
      <c r="H150" s="193"/>
      <c r="I150" s="193"/>
      <c r="J150" s="193"/>
      <c r="K150" s="193"/>
      <c r="L150" s="193"/>
      <c r="M150" s="193"/>
      <c r="N150" s="193"/>
      <c r="O150" s="193"/>
    </row>
    <row r="151">
      <c r="A151" s="193"/>
      <c r="B151" s="193"/>
      <c r="C151" s="193"/>
      <c r="D151" s="193"/>
      <c r="E151" s="194"/>
      <c r="F151" s="194"/>
      <c r="G151" s="193"/>
      <c r="H151" s="193"/>
      <c r="I151" s="193"/>
      <c r="J151" s="193"/>
      <c r="K151" s="193"/>
      <c r="L151" s="193"/>
      <c r="M151" s="193"/>
      <c r="N151" s="193"/>
      <c r="O151" s="193"/>
    </row>
    <row r="152">
      <c r="A152" s="193"/>
      <c r="B152" s="193"/>
      <c r="C152" s="193"/>
      <c r="D152" s="193"/>
      <c r="E152" s="194"/>
      <c r="F152" s="194"/>
      <c r="G152" s="193"/>
      <c r="H152" s="193"/>
      <c r="I152" s="193"/>
      <c r="J152" s="193"/>
      <c r="K152" s="193"/>
      <c r="L152" s="193"/>
      <c r="M152" s="193"/>
      <c r="N152" s="193"/>
      <c r="O152" s="193"/>
    </row>
    <row r="153">
      <c r="A153" s="193"/>
      <c r="B153" s="193"/>
      <c r="C153" s="193"/>
      <c r="D153" s="193"/>
      <c r="E153" s="194"/>
      <c r="F153" s="194"/>
      <c r="G153" s="193"/>
      <c r="H153" s="193"/>
      <c r="I153" s="193"/>
      <c r="J153" s="193"/>
      <c r="K153" s="193"/>
      <c r="L153" s="193"/>
      <c r="M153" s="193"/>
      <c r="N153" s="193"/>
      <c r="O153" s="193"/>
    </row>
    <row r="154">
      <c r="A154" s="193"/>
      <c r="B154" s="193"/>
      <c r="C154" s="193"/>
      <c r="D154" s="193"/>
      <c r="E154" s="194"/>
      <c r="F154" s="194"/>
      <c r="G154" s="193"/>
      <c r="H154" s="193"/>
      <c r="I154" s="193"/>
      <c r="J154" s="193"/>
      <c r="K154" s="193"/>
      <c r="L154" s="193"/>
      <c r="M154" s="193"/>
      <c r="N154" s="193"/>
      <c r="O154" s="193"/>
    </row>
    <row r="155">
      <c r="A155" s="193"/>
      <c r="B155" s="193"/>
      <c r="C155" s="193"/>
      <c r="D155" s="193"/>
      <c r="E155" s="194"/>
      <c r="F155" s="194"/>
      <c r="G155" s="193"/>
      <c r="H155" s="193"/>
      <c r="I155" s="193"/>
      <c r="J155" s="193"/>
      <c r="K155" s="193"/>
      <c r="L155" s="193"/>
      <c r="M155" s="193"/>
      <c r="N155" s="193"/>
      <c r="O155" s="193"/>
    </row>
    <row r="156">
      <c r="A156" s="193"/>
      <c r="B156" s="193"/>
      <c r="C156" s="193"/>
      <c r="D156" s="193"/>
      <c r="E156" s="194"/>
      <c r="F156" s="194"/>
      <c r="G156" s="193"/>
      <c r="H156" s="193"/>
      <c r="I156" s="193"/>
      <c r="J156" s="193"/>
      <c r="K156" s="193"/>
      <c r="L156" s="193"/>
      <c r="M156" s="193"/>
      <c r="N156" s="193"/>
      <c r="O156" s="193"/>
    </row>
    <row r="157">
      <c r="A157" s="193"/>
      <c r="B157" s="193"/>
      <c r="C157" s="193"/>
      <c r="D157" s="193"/>
      <c r="E157" s="194"/>
      <c r="F157" s="194"/>
      <c r="G157" s="193"/>
      <c r="H157" s="193"/>
      <c r="I157" s="193"/>
      <c r="J157" s="193"/>
      <c r="K157" s="193"/>
      <c r="L157" s="193"/>
      <c r="M157" s="193"/>
      <c r="N157" s="193"/>
      <c r="O157" s="193"/>
    </row>
    <row r="158">
      <c r="A158" s="193"/>
      <c r="B158" s="193"/>
      <c r="C158" s="193"/>
      <c r="D158" s="193"/>
      <c r="E158" s="194"/>
      <c r="F158" s="194"/>
      <c r="G158" s="193"/>
      <c r="H158" s="193"/>
      <c r="I158" s="193"/>
      <c r="J158" s="193"/>
      <c r="K158" s="193"/>
      <c r="L158" s="193"/>
      <c r="M158" s="193"/>
      <c r="N158" s="193"/>
      <c r="O158" s="193"/>
    </row>
    <row r="159">
      <c r="A159" s="193"/>
      <c r="B159" s="193"/>
      <c r="C159" s="193"/>
      <c r="D159" s="193"/>
      <c r="E159" s="194"/>
      <c r="F159" s="194"/>
      <c r="G159" s="193"/>
      <c r="H159" s="193"/>
      <c r="I159" s="193"/>
      <c r="J159" s="193"/>
      <c r="K159" s="193"/>
      <c r="L159" s="193"/>
      <c r="M159" s="193"/>
      <c r="N159" s="193"/>
      <c r="O159" s="193"/>
    </row>
    <row r="160">
      <c r="A160" s="193"/>
      <c r="B160" s="193"/>
      <c r="C160" s="193"/>
      <c r="D160" s="193"/>
      <c r="E160" s="194"/>
      <c r="F160" s="194"/>
      <c r="G160" s="193"/>
      <c r="H160" s="193"/>
      <c r="I160" s="193"/>
      <c r="J160" s="193"/>
      <c r="K160" s="193"/>
      <c r="L160" s="193"/>
      <c r="M160" s="193"/>
      <c r="N160" s="193"/>
      <c r="O160" s="193"/>
    </row>
    <row r="161">
      <c r="A161" s="193"/>
      <c r="B161" s="193"/>
      <c r="C161" s="193"/>
      <c r="D161" s="193"/>
      <c r="E161" s="194"/>
      <c r="F161" s="194"/>
      <c r="G161" s="193"/>
      <c r="H161" s="193"/>
      <c r="I161" s="193"/>
      <c r="J161" s="193"/>
      <c r="K161" s="193"/>
      <c r="L161" s="193"/>
      <c r="M161" s="193"/>
      <c r="N161" s="193"/>
      <c r="O161" s="193"/>
    </row>
    <row r="162">
      <c r="A162" s="193"/>
      <c r="B162" s="193"/>
      <c r="C162" s="193"/>
      <c r="D162" s="193"/>
      <c r="E162" s="194"/>
      <c r="F162" s="194"/>
      <c r="G162" s="193"/>
      <c r="H162" s="193"/>
      <c r="I162" s="193"/>
      <c r="J162" s="193"/>
      <c r="K162" s="193"/>
      <c r="L162" s="193"/>
      <c r="M162" s="193"/>
      <c r="N162" s="193"/>
      <c r="O162" s="193"/>
    </row>
    <row r="163">
      <c r="A163" s="193"/>
      <c r="B163" s="193"/>
      <c r="C163" s="193"/>
      <c r="D163" s="193"/>
      <c r="E163" s="194"/>
      <c r="F163" s="194"/>
      <c r="G163" s="193"/>
      <c r="H163" s="193"/>
      <c r="I163" s="193"/>
      <c r="J163" s="193"/>
      <c r="K163" s="193"/>
      <c r="L163" s="193"/>
      <c r="M163" s="193"/>
      <c r="N163" s="193"/>
      <c r="O163" s="193"/>
    </row>
    <row r="164">
      <c r="A164" s="193"/>
      <c r="B164" s="193"/>
      <c r="C164" s="193"/>
      <c r="D164" s="193"/>
      <c r="E164" s="194"/>
      <c r="F164" s="194"/>
      <c r="G164" s="193"/>
      <c r="H164" s="193"/>
      <c r="I164" s="193"/>
      <c r="J164" s="193"/>
      <c r="K164" s="193"/>
      <c r="L164" s="193"/>
      <c r="M164" s="193"/>
      <c r="N164" s="193"/>
      <c r="O164" s="193"/>
    </row>
    <row r="165">
      <c r="A165" s="193"/>
      <c r="B165" s="193"/>
      <c r="C165" s="193"/>
      <c r="D165" s="193"/>
      <c r="E165" s="194"/>
      <c r="F165" s="194"/>
      <c r="G165" s="193"/>
      <c r="H165" s="193"/>
      <c r="I165" s="193"/>
      <c r="J165" s="193"/>
      <c r="K165" s="193"/>
      <c r="L165" s="193"/>
      <c r="M165" s="193"/>
      <c r="N165" s="193"/>
      <c r="O165" s="193"/>
    </row>
    <row r="166">
      <c r="A166" s="193"/>
      <c r="B166" s="193"/>
      <c r="C166" s="193"/>
      <c r="D166" s="193"/>
      <c r="E166" s="194"/>
      <c r="F166" s="194"/>
      <c r="G166" s="193"/>
      <c r="H166" s="193"/>
      <c r="I166" s="193"/>
      <c r="J166" s="193"/>
      <c r="K166" s="193"/>
      <c r="L166" s="193"/>
      <c r="M166" s="193"/>
      <c r="N166" s="193"/>
      <c r="O166" s="193"/>
    </row>
    <row r="167">
      <c r="A167" s="193"/>
      <c r="B167" s="193"/>
      <c r="C167" s="193"/>
      <c r="D167" s="193"/>
      <c r="E167" s="194"/>
      <c r="F167" s="194"/>
      <c r="G167" s="193"/>
      <c r="H167" s="193"/>
      <c r="I167" s="193"/>
      <c r="J167" s="193"/>
      <c r="K167" s="193"/>
      <c r="L167" s="193"/>
      <c r="M167" s="193"/>
      <c r="N167" s="193"/>
      <c r="O167" s="193"/>
    </row>
    <row r="168">
      <c r="A168" s="193"/>
      <c r="B168" s="193"/>
      <c r="C168" s="193"/>
      <c r="D168" s="193"/>
      <c r="E168" s="194"/>
      <c r="F168" s="194"/>
      <c r="G168" s="193"/>
      <c r="H168" s="193"/>
      <c r="I168" s="193"/>
      <c r="J168" s="193"/>
      <c r="K168" s="193"/>
      <c r="L168" s="193"/>
      <c r="M168" s="193"/>
      <c r="N168" s="193"/>
      <c r="O168" s="193"/>
    </row>
    <row r="169">
      <c r="A169" s="193"/>
      <c r="B169" s="193"/>
      <c r="C169" s="193"/>
      <c r="D169" s="193"/>
      <c r="E169" s="194"/>
      <c r="F169" s="194"/>
      <c r="G169" s="193"/>
      <c r="H169" s="193"/>
      <c r="I169" s="193"/>
      <c r="J169" s="193"/>
      <c r="K169" s="193"/>
      <c r="L169" s="193"/>
      <c r="M169" s="193"/>
      <c r="N169" s="193"/>
      <c r="O169" s="193"/>
    </row>
    <row r="170">
      <c r="A170" s="193"/>
      <c r="B170" s="193"/>
      <c r="C170" s="193"/>
      <c r="D170" s="193"/>
      <c r="E170" s="194"/>
      <c r="F170" s="194"/>
      <c r="G170" s="193"/>
      <c r="H170" s="193"/>
      <c r="I170" s="193"/>
      <c r="J170" s="193"/>
      <c r="K170" s="193"/>
      <c r="L170" s="193"/>
      <c r="M170" s="193"/>
      <c r="N170" s="193"/>
      <c r="O170" s="193"/>
    </row>
    <row r="171">
      <c r="A171" s="193"/>
      <c r="B171" s="193"/>
      <c r="C171" s="193"/>
      <c r="D171" s="193"/>
      <c r="E171" s="194"/>
      <c r="F171" s="194"/>
      <c r="G171" s="193"/>
      <c r="H171" s="193"/>
      <c r="I171" s="193"/>
      <c r="J171" s="193"/>
      <c r="K171" s="193"/>
      <c r="L171" s="193"/>
      <c r="M171" s="193"/>
      <c r="N171" s="193"/>
      <c r="O171" s="193"/>
    </row>
    <row r="172">
      <c r="A172" s="193"/>
      <c r="B172" s="193"/>
      <c r="C172" s="193"/>
      <c r="D172" s="193"/>
      <c r="E172" s="194"/>
      <c r="F172" s="194"/>
      <c r="G172" s="193"/>
      <c r="H172" s="193"/>
      <c r="I172" s="193"/>
      <c r="J172" s="193"/>
      <c r="K172" s="193"/>
      <c r="L172" s="193"/>
      <c r="M172" s="193"/>
      <c r="N172" s="193"/>
      <c r="O172" s="193"/>
    </row>
    <row r="173">
      <c r="A173" s="193"/>
      <c r="B173" s="193"/>
      <c r="C173" s="193"/>
      <c r="D173" s="193"/>
      <c r="E173" s="194"/>
      <c r="F173" s="194"/>
      <c r="G173" s="193"/>
      <c r="H173" s="193"/>
      <c r="I173" s="193"/>
      <c r="J173" s="193"/>
      <c r="K173" s="193"/>
      <c r="L173" s="193"/>
      <c r="M173" s="193"/>
      <c r="N173" s="193"/>
      <c r="O173" s="193"/>
    </row>
    <row r="174">
      <c r="A174" s="193"/>
      <c r="B174" s="193"/>
      <c r="C174" s="193"/>
      <c r="D174" s="193"/>
      <c r="E174" s="194"/>
      <c r="F174" s="194"/>
      <c r="G174" s="193"/>
      <c r="H174" s="193"/>
      <c r="I174" s="193"/>
      <c r="J174" s="193"/>
      <c r="K174" s="193"/>
      <c r="L174" s="193"/>
      <c r="M174" s="193"/>
      <c r="N174" s="193"/>
      <c r="O174" s="193"/>
    </row>
    <row r="175">
      <c r="A175" s="193"/>
      <c r="B175" s="193"/>
      <c r="C175" s="193"/>
      <c r="D175" s="193"/>
      <c r="E175" s="194"/>
      <c r="F175" s="194"/>
      <c r="G175" s="193"/>
      <c r="H175" s="193"/>
      <c r="I175" s="193"/>
      <c r="J175" s="193"/>
      <c r="K175" s="193"/>
      <c r="L175" s="193"/>
      <c r="M175" s="193"/>
      <c r="N175" s="193"/>
      <c r="O175" s="193"/>
    </row>
    <row r="176">
      <c r="A176" s="193"/>
      <c r="B176" s="193"/>
      <c r="C176" s="193"/>
      <c r="D176" s="193"/>
      <c r="E176" s="194"/>
      <c r="F176" s="194"/>
      <c r="G176" s="193"/>
      <c r="H176" s="193"/>
      <c r="I176" s="193"/>
      <c r="J176" s="193"/>
      <c r="K176" s="193"/>
      <c r="L176" s="193"/>
      <c r="M176" s="193"/>
      <c r="N176" s="193"/>
      <c r="O176" s="193"/>
    </row>
    <row r="177">
      <c r="A177" s="193"/>
      <c r="B177" s="193"/>
      <c r="C177" s="193"/>
      <c r="D177" s="193"/>
      <c r="E177" s="194"/>
      <c r="F177" s="194"/>
      <c r="G177" s="193"/>
      <c r="H177" s="193"/>
      <c r="I177" s="193"/>
      <c r="J177" s="193"/>
      <c r="K177" s="193"/>
      <c r="L177" s="193"/>
      <c r="M177" s="193"/>
      <c r="N177" s="193"/>
      <c r="O177" s="193"/>
    </row>
    <row r="178">
      <c r="A178" s="193"/>
      <c r="B178" s="193"/>
      <c r="C178" s="193"/>
      <c r="D178" s="193"/>
      <c r="E178" s="194"/>
      <c r="F178" s="194"/>
      <c r="G178" s="193"/>
      <c r="H178" s="193"/>
      <c r="I178" s="193"/>
      <c r="J178" s="193"/>
      <c r="K178" s="193"/>
      <c r="L178" s="193"/>
      <c r="M178" s="193"/>
      <c r="N178" s="193"/>
      <c r="O178" s="193"/>
    </row>
    <row r="179">
      <c r="A179" s="193"/>
      <c r="B179" s="193"/>
      <c r="C179" s="193"/>
      <c r="D179" s="193"/>
      <c r="E179" s="194"/>
      <c r="F179" s="194"/>
      <c r="G179" s="193"/>
      <c r="H179" s="193"/>
      <c r="I179" s="193"/>
      <c r="J179" s="193"/>
      <c r="K179" s="193"/>
      <c r="L179" s="193"/>
      <c r="M179" s="193"/>
      <c r="N179" s="193"/>
      <c r="O179" s="193"/>
    </row>
    <row r="180">
      <c r="A180" s="193"/>
      <c r="B180" s="193"/>
      <c r="C180" s="193"/>
      <c r="D180" s="193"/>
      <c r="E180" s="194"/>
      <c r="F180" s="194"/>
      <c r="G180" s="193"/>
      <c r="H180" s="193"/>
      <c r="I180" s="193"/>
      <c r="J180" s="193"/>
      <c r="K180" s="193"/>
      <c r="L180" s="193"/>
      <c r="M180" s="193"/>
      <c r="N180" s="193"/>
      <c r="O180" s="193"/>
    </row>
    <row r="181">
      <c r="A181" s="193"/>
      <c r="B181" s="193"/>
      <c r="C181" s="193"/>
      <c r="D181" s="193"/>
      <c r="E181" s="194"/>
      <c r="F181" s="194"/>
      <c r="G181" s="193"/>
      <c r="H181" s="193"/>
      <c r="I181" s="193"/>
      <c r="J181" s="193"/>
      <c r="K181" s="193"/>
      <c r="L181" s="193"/>
      <c r="M181" s="193"/>
      <c r="N181" s="193"/>
      <c r="O181" s="193"/>
    </row>
    <row r="182">
      <c r="A182" s="193"/>
      <c r="B182" s="193"/>
      <c r="C182" s="193"/>
      <c r="D182" s="193"/>
      <c r="E182" s="194"/>
      <c r="F182" s="194"/>
      <c r="G182" s="193"/>
      <c r="H182" s="193"/>
      <c r="I182" s="193"/>
      <c r="J182" s="193"/>
      <c r="K182" s="193"/>
      <c r="L182" s="193"/>
      <c r="M182" s="193"/>
      <c r="N182" s="193"/>
      <c r="O182" s="193"/>
    </row>
    <row r="183">
      <c r="A183" s="193"/>
      <c r="B183" s="193"/>
      <c r="C183" s="193"/>
      <c r="D183" s="193"/>
      <c r="E183" s="194"/>
      <c r="F183" s="194"/>
      <c r="G183" s="193"/>
      <c r="H183" s="193"/>
      <c r="I183" s="193"/>
      <c r="J183" s="193"/>
      <c r="K183" s="193"/>
      <c r="L183" s="193"/>
      <c r="M183" s="193"/>
      <c r="N183" s="193"/>
      <c r="O183" s="193"/>
    </row>
    <row r="184">
      <c r="A184" s="193"/>
      <c r="B184" s="193"/>
      <c r="C184" s="193"/>
      <c r="D184" s="193"/>
      <c r="E184" s="194"/>
      <c r="F184" s="194"/>
      <c r="G184" s="193"/>
      <c r="H184" s="193"/>
      <c r="I184" s="193"/>
      <c r="J184" s="193"/>
      <c r="K184" s="193"/>
      <c r="L184" s="193"/>
      <c r="M184" s="193"/>
      <c r="N184" s="193"/>
      <c r="O184" s="193"/>
    </row>
    <row r="185">
      <c r="A185" s="193"/>
      <c r="B185" s="193"/>
      <c r="C185" s="193"/>
      <c r="D185" s="193"/>
      <c r="E185" s="194"/>
      <c r="F185" s="194"/>
      <c r="G185" s="193"/>
      <c r="H185" s="193"/>
      <c r="I185" s="193"/>
      <c r="J185" s="193"/>
      <c r="K185" s="193"/>
      <c r="L185" s="193"/>
      <c r="M185" s="193"/>
      <c r="N185" s="193"/>
      <c r="O185" s="193"/>
    </row>
    <row r="186">
      <c r="A186" s="193"/>
      <c r="B186" s="193"/>
      <c r="C186" s="193"/>
      <c r="D186" s="193"/>
      <c r="E186" s="194"/>
      <c r="F186" s="194"/>
      <c r="G186" s="193"/>
      <c r="H186" s="193"/>
      <c r="I186" s="193"/>
      <c r="J186" s="193"/>
      <c r="K186" s="193"/>
      <c r="L186" s="193"/>
      <c r="M186" s="193"/>
      <c r="N186" s="193"/>
      <c r="O186" s="193"/>
    </row>
    <row r="187">
      <c r="A187" s="193"/>
      <c r="B187" s="193"/>
      <c r="C187" s="193"/>
      <c r="D187" s="193"/>
      <c r="E187" s="194"/>
      <c r="F187" s="194"/>
      <c r="G187" s="193"/>
      <c r="H187" s="193"/>
      <c r="I187" s="193"/>
      <c r="J187" s="193"/>
      <c r="K187" s="193"/>
      <c r="L187" s="193"/>
      <c r="M187" s="193"/>
      <c r="N187" s="193"/>
      <c r="O187" s="193"/>
    </row>
    <row r="188">
      <c r="A188" s="193"/>
      <c r="B188" s="193"/>
      <c r="C188" s="193"/>
      <c r="D188" s="193"/>
      <c r="E188" s="194"/>
      <c r="F188" s="194"/>
      <c r="G188" s="193"/>
      <c r="H188" s="193"/>
      <c r="I188" s="193"/>
      <c r="J188" s="193"/>
      <c r="K188" s="193"/>
      <c r="L188" s="193"/>
      <c r="M188" s="193"/>
      <c r="N188" s="193"/>
      <c r="O188" s="193"/>
    </row>
    <row r="189">
      <c r="A189" s="193"/>
      <c r="B189" s="193"/>
      <c r="C189" s="193"/>
      <c r="D189" s="193"/>
      <c r="E189" s="194"/>
      <c r="F189" s="194"/>
      <c r="G189" s="193"/>
      <c r="H189" s="193"/>
      <c r="I189" s="193"/>
      <c r="J189" s="193"/>
      <c r="K189" s="193"/>
      <c r="L189" s="193"/>
      <c r="M189" s="193"/>
      <c r="N189" s="193"/>
      <c r="O189" s="193"/>
    </row>
    <row r="190">
      <c r="A190" s="193"/>
      <c r="B190" s="193"/>
      <c r="C190" s="193"/>
      <c r="D190" s="193"/>
      <c r="E190" s="194"/>
      <c r="F190" s="194"/>
      <c r="G190" s="193"/>
      <c r="H190" s="193"/>
      <c r="I190" s="193"/>
      <c r="J190" s="193"/>
      <c r="K190" s="193"/>
      <c r="L190" s="193"/>
      <c r="M190" s="193"/>
      <c r="N190" s="193"/>
      <c r="O190" s="193"/>
    </row>
    <row r="191">
      <c r="A191" s="193"/>
      <c r="B191" s="193"/>
      <c r="C191" s="193"/>
      <c r="D191" s="193"/>
      <c r="E191" s="194"/>
      <c r="F191" s="194"/>
      <c r="G191" s="193"/>
      <c r="H191" s="193"/>
      <c r="I191" s="193"/>
      <c r="J191" s="193"/>
      <c r="K191" s="193"/>
      <c r="L191" s="193"/>
      <c r="M191" s="193"/>
      <c r="N191" s="193"/>
      <c r="O191" s="193"/>
    </row>
    <row r="192">
      <c r="A192" s="193"/>
      <c r="B192" s="193"/>
      <c r="C192" s="193"/>
      <c r="D192" s="193"/>
      <c r="E192" s="194"/>
      <c r="F192" s="194"/>
      <c r="G192" s="193"/>
      <c r="H192" s="193"/>
      <c r="I192" s="193"/>
      <c r="J192" s="193"/>
      <c r="K192" s="193"/>
      <c r="L192" s="193"/>
      <c r="M192" s="193"/>
      <c r="N192" s="193"/>
      <c r="O192" s="193"/>
    </row>
    <row r="193">
      <c r="A193" s="193"/>
      <c r="B193" s="193"/>
      <c r="C193" s="193"/>
      <c r="D193" s="193"/>
      <c r="E193" s="194"/>
      <c r="F193" s="194"/>
      <c r="G193" s="193"/>
      <c r="H193" s="193"/>
      <c r="I193" s="193"/>
      <c r="J193" s="193"/>
      <c r="K193" s="193"/>
      <c r="L193" s="193"/>
      <c r="M193" s="193"/>
      <c r="N193" s="193"/>
      <c r="O193" s="193"/>
    </row>
    <row r="194">
      <c r="A194" s="193"/>
      <c r="B194" s="193"/>
      <c r="C194" s="193"/>
      <c r="D194" s="193"/>
      <c r="E194" s="194"/>
      <c r="F194" s="194"/>
      <c r="G194" s="193"/>
      <c r="H194" s="193"/>
      <c r="I194" s="193"/>
      <c r="J194" s="193"/>
      <c r="K194" s="193"/>
      <c r="L194" s="193"/>
      <c r="M194" s="193"/>
      <c r="N194" s="193"/>
      <c r="O194" s="193"/>
    </row>
    <row r="195">
      <c r="A195" s="193"/>
      <c r="B195" s="193"/>
      <c r="C195" s="193"/>
      <c r="D195" s="193"/>
      <c r="E195" s="194"/>
      <c r="F195" s="194"/>
      <c r="G195" s="193"/>
      <c r="H195" s="193"/>
      <c r="I195" s="193"/>
      <c r="J195" s="193"/>
      <c r="K195" s="193"/>
      <c r="L195" s="193"/>
      <c r="M195" s="193"/>
      <c r="N195" s="193"/>
      <c r="O195" s="193"/>
    </row>
    <row r="196">
      <c r="A196" s="193"/>
      <c r="B196" s="193"/>
      <c r="C196" s="193"/>
      <c r="D196" s="193"/>
      <c r="E196" s="194"/>
      <c r="F196" s="194"/>
      <c r="G196" s="193"/>
      <c r="H196" s="193"/>
      <c r="I196" s="193"/>
      <c r="J196" s="193"/>
      <c r="K196" s="193"/>
      <c r="L196" s="193"/>
      <c r="M196" s="193"/>
      <c r="N196" s="193"/>
      <c r="O196" s="193"/>
    </row>
    <row r="197">
      <c r="A197" s="193"/>
      <c r="B197" s="193"/>
      <c r="C197" s="193"/>
      <c r="D197" s="193"/>
      <c r="E197" s="194"/>
      <c r="F197" s="194"/>
      <c r="G197" s="193"/>
      <c r="H197" s="193"/>
      <c r="I197" s="193"/>
      <c r="J197" s="193"/>
      <c r="K197" s="193"/>
      <c r="L197" s="193"/>
      <c r="M197" s="193"/>
      <c r="N197" s="193"/>
      <c r="O197" s="193"/>
    </row>
    <row r="198">
      <c r="A198" s="193"/>
      <c r="B198" s="193"/>
      <c r="C198" s="193"/>
      <c r="D198" s="193"/>
      <c r="E198" s="194"/>
      <c r="F198" s="194"/>
      <c r="G198" s="193"/>
      <c r="H198" s="193"/>
      <c r="I198" s="193"/>
      <c r="J198" s="193"/>
      <c r="K198" s="193"/>
      <c r="L198" s="193"/>
      <c r="M198" s="193"/>
      <c r="N198" s="193"/>
      <c r="O198" s="193"/>
    </row>
    <row r="199">
      <c r="A199" s="193"/>
      <c r="B199" s="193"/>
      <c r="C199" s="193"/>
      <c r="D199" s="193"/>
      <c r="E199" s="194"/>
      <c r="F199" s="194"/>
      <c r="G199" s="193"/>
      <c r="H199" s="193"/>
      <c r="I199" s="193"/>
      <c r="J199" s="193"/>
      <c r="K199" s="193"/>
      <c r="L199" s="193"/>
      <c r="M199" s="193"/>
      <c r="N199" s="193"/>
      <c r="O199" s="193"/>
    </row>
    <row r="200">
      <c r="A200" s="193"/>
      <c r="B200" s="193"/>
      <c r="C200" s="193"/>
      <c r="D200" s="193"/>
      <c r="E200" s="194"/>
      <c r="F200" s="194"/>
      <c r="G200" s="193"/>
      <c r="H200" s="193"/>
      <c r="I200" s="193"/>
      <c r="J200" s="193"/>
      <c r="K200" s="193"/>
      <c r="L200" s="193"/>
      <c r="M200" s="193"/>
      <c r="N200" s="193"/>
      <c r="O200" s="193"/>
    </row>
    <row r="201">
      <c r="A201" s="193"/>
      <c r="B201" s="193"/>
      <c r="C201" s="193"/>
      <c r="D201" s="193"/>
      <c r="E201" s="194"/>
      <c r="F201" s="194"/>
      <c r="G201" s="193"/>
      <c r="H201" s="193"/>
      <c r="I201" s="193"/>
      <c r="J201" s="193"/>
      <c r="K201" s="193"/>
      <c r="L201" s="193"/>
      <c r="M201" s="193"/>
      <c r="N201" s="193"/>
      <c r="O201" s="193"/>
    </row>
    <row r="202">
      <c r="A202" s="193"/>
      <c r="B202" s="193"/>
      <c r="C202" s="193"/>
      <c r="D202" s="193"/>
      <c r="E202" s="194"/>
      <c r="F202" s="194"/>
      <c r="G202" s="193"/>
      <c r="H202" s="193"/>
      <c r="I202" s="193"/>
      <c r="J202" s="193"/>
      <c r="K202" s="193"/>
      <c r="L202" s="193"/>
      <c r="M202" s="193"/>
      <c r="N202" s="193"/>
      <c r="O202" s="193"/>
    </row>
    <row r="203">
      <c r="A203" s="193"/>
      <c r="B203" s="193"/>
      <c r="C203" s="193"/>
      <c r="D203" s="193"/>
      <c r="E203" s="194"/>
      <c r="F203" s="194"/>
      <c r="G203" s="193"/>
      <c r="H203" s="193"/>
      <c r="I203" s="193"/>
      <c r="J203" s="193"/>
      <c r="K203" s="193"/>
      <c r="L203" s="193"/>
      <c r="M203" s="193"/>
      <c r="N203" s="193"/>
      <c r="O203" s="193"/>
    </row>
    <row r="204">
      <c r="A204" s="193"/>
      <c r="B204" s="193"/>
      <c r="C204" s="193"/>
      <c r="D204" s="193"/>
      <c r="E204" s="194"/>
      <c r="F204" s="194"/>
      <c r="G204" s="193"/>
      <c r="H204" s="193"/>
      <c r="I204" s="193"/>
      <c r="J204" s="193"/>
      <c r="K204" s="193"/>
      <c r="L204" s="193"/>
      <c r="M204" s="193"/>
      <c r="N204" s="193"/>
      <c r="O204" s="193"/>
    </row>
    <row r="205">
      <c r="A205" s="193"/>
      <c r="B205" s="193"/>
      <c r="C205" s="193"/>
      <c r="D205" s="193"/>
      <c r="E205" s="194"/>
      <c r="F205" s="194"/>
      <c r="G205" s="193"/>
      <c r="H205" s="193"/>
      <c r="I205" s="193"/>
      <c r="J205" s="193"/>
      <c r="K205" s="193"/>
      <c r="L205" s="193"/>
      <c r="M205" s="193"/>
      <c r="N205" s="193"/>
      <c r="O205" s="193"/>
    </row>
    <row r="206">
      <c r="A206" s="193"/>
      <c r="B206" s="193"/>
      <c r="C206" s="193"/>
      <c r="D206" s="193"/>
      <c r="E206" s="194"/>
      <c r="F206" s="194"/>
      <c r="G206" s="193"/>
      <c r="H206" s="193"/>
      <c r="I206" s="193"/>
      <c r="J206" s="193"/>
      <c r="K206" s="193"/>
      <c r="L206" s="193"/>
      <c r="M206" s="193"/>
      <c r="N206" s="193"/>
      <c r="O206" s="193"/>
    </row>
    <row r="207">
      <c r="A207" s="193"/>
      <c r="B207" s="193"/>
      <c r="C207" s="193"/>
      <c r="D207" s="193"/>
      <c r="E207" s="194"/>
      <c r="F207" s="194"/>
      <c r="G207" s="193"/>
      <c r="H207" s="193"/>
      <c r="I207" s="193"/>
      <c r="J207" s="193"/>
      <c r="K207" s="193"/>
      <c r="L207" s="193"/>
      <c r="M207" s="193"/>
      <c r="N207" s="193"/>
      <c r="O207" s="193"/>
    </row>
    <row r="208">
      <c r="A208" s="193"/>
      <c r="B208" s="193"/>
      <c r="C208" s="193"/>
      <c r="D208" s="193"/>
      <c r="E208" s="194"/>
      <c r="F208" s="194"/>
      <c r="G208" s="193"/>
      <c r="H208" s="193"/>
      <c r="I208" s="193"/>
      <c r="J208" s="193"/>
      <c r="K208" s="193"/>
      <c r="L208" s="193"/>
      <c r="M208" s="193"/>
      <c r="N208" s="193"/>
      <c r="O208" s="193"/>
    </row>
    <row r="209">
      <c r="A209" s="193"/>
      <c r="B209" s="193"/>
      <c r="C209" s="193"/>
      <c r="D209" s="193"/>
      <c r="E209" s="194"/>
      <c r="F209" s="194"/>
      <c r="G209" s="193"/>
      <c r="H209" s="193"/>
      <c r="I209" s="193"/>
      <c r="J209" s="193"/>
      <c r="K209" s="193"/>
      <c r="L209" s="193"/>
      <c r="M209" s="193"/>
      <c r="N209" s="193"/>
      <c r="O209" s="193"/>
    </row>
    <row r="210">
      <c r="A210" s="193"/>
      <c r="B210" s="193"/>
      <c r="C210" s="193"/>
      <c r="D210" s="193"/>
      <c r="E210" s="194"/>
      <c r="F210" s="194"/>
      <c r="G210" s="193"/>
      <c r="H210" s="193"/>
      <c r="I210" s="193"/>
      <c r="J210" s="193"/>
      <c r="K210" s="193"/>
      <c r="L210" s="193"/>
      <c r="M210" s="193"/>
      <c r="N210" s="193"/>
      <c r="O210" s="193"/>
    </row>
    <row r="211">
      <c r="A211" s="193"/>
      <c r="B211" s="193"/>
      <c r="C211" s="193"/>
      <c r="D211" s="193"/>
      <c r="E211" s="194"/>
      <c r="F211" s="194"/>
      <c r="G211" s="193"/>
      <c r="H211" s="193"/>
      <c r="I211" s="193"/>
      <c r="J211" s="193"/>
      <c r="K211" s="193"/>
      <c r="L211" s="193"/>
      <c r="M211" s="193"/>
      <c r="N211" s="193"/>
      <c r="O211" s="193"/>
    </row>
    <row r="212">
      <c r="A212" s="193"/>
      <c r="B212" s="193"/>
      <c r="C212" s="193"/>
      <c r="D212" s="193"/>
      <c r="E212" s="194"/>
      <c r="F212" s="194"/>
      <c r="G212" s="193"/>
      <c r="H212" s="193"/>
      <c r="I212" s="193"/>
      <c r="J212" s="193"/>
      <c r="K212" s="193"/>
      <c r="L212" s="193"/>
      <c r="M212" s="193"/>
      <c r="N212" s="193"/>
      <c r="O212" s="193"/>
    </row>
    <row r="213">
      <c r="A213" s="193"/>
      <c r="B213" s="193"/>
      <c r="C213" s="193"/>
      <c r="D213" s="193"/>
      <c r="E213" s="194"/>
      <c r="F213" s="194"/>
      <c r="G213" s="193"/>
      <c r="H213" s="193"/>
      <c r="I213" s="193"/>
      <c r="J213" s="193"/>
      <c r="K213" s="193"/>
      <c r="L213" s="193"/>
      <c r="M213" s="193"/>
      <c r="N213" s="193"/>
      <c r="O213" s="193"/>
    </row>
    <row r="214">
      <c r="A214" s="193"/>
      <c r="B214" s="193"/>
      <c r="C214" s="193"/>
      <c r="D214" s="193"/>
      <c r="E214" s="194"/>
      <c r="F214" s="194"/>
      <c r="G214" s="193"/>
      <c r="H214" s="193"/>
      <c r="I214" s="193"/>
      <c r="J214" s="193"/>
      <c r="K214" s="193"/>
      <c r="L214" s="193"/>
      <c r="M214" s="193"/>
      <c r="N214" s="193"/>
      <c r="O214" s="193"/>
    </row>
    <row r="215">
      <c r="A215" s="193"/>
      <c r="B215" s="193"/>
      <c r="C215" s="193"/>
      <c r="D215" s="193"/>
      <c r="E215" s="194"/>
      <c r="F215" s="194"/>
      <c r="G215" s="193"/>
      <c r="H215" s="193"/>
      <c r="I215" s="193"/>
      <c r="J215" s="193"/>
      <c r="K215" s="193"/>
      <c r="L215" s="193"/>
      <c r="M215" s="193"/>
      <c r="N215" s="193"/>
      <c r="O215" s="193"/>
    </row>
    <row r="216">
      <c r="A216" s="193"/>
      <c r="B216" s="193"/>
      <c r="C216" s="193"/>
      <c r="D216" s="193"/>
      <c r="E216" s="194"/>
      <c r="F216" s="194"/>
      <c r="G216" s="193"/>
      <c r="H216" s="193"/>
      <c r="I216" s="193"/>
      <c r="J216" s="193"/>
      <c r="K216" s="193"/>
      <c r="L216" s="193"/>
      <c r="M216" s="193"/>
      <c r="N216" s="193"/>
      <c r="O216" s="193"/>
    </row>
    <row r="217">
      <c r="A217" s="193"/>
      <c r="B217" s="193"/>
      <c r="C217" s="193"/>
      <c r="D217" s="193"/>
      <c r="E217" s="194"/>
      <c r="F217" s="194"/>
      <c r="G217" s="193"/>
      <c r="H217" s="193"/>
      <c r="I217" s="193"/>
      <c r="J217" s="193"/>
      <c r="K217" s="193"/>
      <c r="L217" s="193"/>
      <c r="M217" s="193"/>
      <c r="N217" s="193"/>
      <c r="O217" s="193"/>
    </row>
    <row r="218">
      <c r="A218" s="193"/>
      <c r="B218" s="193"/>
      <c r="C218" s="193"/>
      <c r="D218" s="193"/>
      <c r="E218" s="194"/>
      <c r="F218" s="194"/>
      <c r="G218" s="193"/>
      <c r="H218" s="193"/>
      <c r="I218" s="193"/>
      <c r="J218" s="193"/>
      <c r="K218" s="193"/>
      <c r="L218" s="193"/>
      <c r="M218" s="193"/>
      <c r="N218" s="193"/>
      <c r="O218" s="193"/>
    </row>
    <row r="219">
      <c r="A219" s="193"/>
      <c r="B219" s="193"/>
      <c r="C219" s="193"/>
      <c r="D219" s="193"/>
      <c r="E219" s="194"/>
      <c r="F219" s="194"/>
      <c r="G219" s="193"/>
      <c r="H219" s="193"/>
      <c r="I219" s="193"/>
      <c r="J219" s="193"/>
      <c r="K219" s="193"/>
      <c r="L219" s="193"/>
      <c r="M219" s="193"/>
      <c r="N219" s="193"/>
      <c r="O219" s="193"/>
    </row>
    <row r="220">
      <c r="A220" s="193"/>
      <c r="B220" s="193"/>
      <c r="C220" s="193"/>
      <c r="D220" s="193"/>
      <c r="E220" s="194"/>
      <c r="F220" s="194"/>
      <c r="G220" s="193"/>
      <c r="H220" s="193"/>
      <c r="I220" s="193"/>
      <c r="J220" s="193"/>
      <c r="K220" s="193"/>
      <c r="L220" s="193"/>
      <c r="M220" s="193"/>
      <c r="N220" s="193"/>
      <c r="O220" s="193"/>
    </row>
    <row r="221">
      <c r="A221" s="193"/>
      <c r="B221" s="193"/>
      <c r="C221" s="193"/>
      <c r="D221" s="193"/>
      <c r="E221" s="194"/>
      <c r="F221" s="194"/>
      <c r="G221" s="193"/>
      <c r="H221" s="193"/>
      <c r="I221" s="193"/>
      <c r="J221" s="193"/>
      <c r="K221" s="193"/>
      <c r="L221" s="193"/>
      <c r="M221" s="193"/>
      <c r="N221" s="193"/>
      <c r="O221" s="193"/>
    </row>
    <row r="222">
      <c r="A222" s="193"/>
      <c r="B222" s="193"/>
      <c r="C222" s="193"/>
      <c r="D222" s="193"/>
      <c r="E222" s="194"/>
      <c r="F222" s="194"/>
      <c r="G222" s="193"/>
      <c r="H222" s="193"/>
      <c r="I222" s="193"/>
      <c r="J222" s="193"/>
      <c r="K222" s="193"/>
      <c r="L222" s="193"/>
      <c r="M222" s="193"/>
      <c r="N222" s="193"/>
      <c r="O222" s="193"/>
    </row>
    <row r="223">
      <c r="A223" s="193"/>
      <c r="B223" s="193"/>
      <c r="C223" s="193"/>
      <c r="D223" s="193"/>
      <c r="E223" s="194"/>
      <c r="F223" s="194"/>
      <c r="G223" s="193"/>
      <c r="H223" s="193"/>
      <c r="I223" s="193"/>
      <c r="J223" s="193"/>
      <c r="K223" s="193"/>
      <c r="L223" s="193"/>
      <c r="M223" s="193"/>
      <c r="N223" s="193"/>
      <c r="O223" s="193"/>
    </row>
  </sheetData>
  <mergeCells count="3">
    <mergeCell ref="B1:D1"/>
    <mergeCell ref="E1:F2"/>
    <mergeCell ref="B2:D2"/>
  </mergeCells>
  <dataValidations>
    <dataValidation type="list" allowBlank="1" showErrorMessage="1" sqref="G4:O33 H34:O34 G35:O124">
      <formula1>"선택,완료"</formula1>
    </dataValidation>
    <dataValidation type="list" allowBlank="1" showErrorMessage="1" sqref="G34">
      <formula1>"선택,완료"</formula1>
    </dataValidation>
  </dataValidations>
  <hyperlinks>
    <hyperlink r:id="rId1" ref="D5"/>
    <hyperlink r:id="rId2" ref="D6"/>
    <hyperlink r:id="rId3" ref="D13"/>
    <hyperlink r:id="rId4" ref="D17"/>
    <hyperlink r:id="rId5" ref="D25"/>
    <hyperlink r:id="rId6" ref="D26"/>
    <hyperlink r:id="rId7" ref="D31"/>
    <hyperlink r:id="rId8" ref="D32"/>
    <hyperlink r:id="rId9" ref="D37"/>
    <hyperlink r:id="rId10" ref="D54"/>
    <hyperlink r:id="rId11" ref="D79"/>
  </hyperlink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2"/>
  <tableParts count="1">
    <tablePart r:id="rId1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4.75"/>
    <col customWidth="1" min="2" max="2" width="6.63"/>
    <col customWidth="1" min="3" max="3" width="18.63"/>
    <col customWidth="1" min="4" max="4" width="21.13"/>
    <col customWidth="1" min="5" max="6" width="14.75"/>
    <col customWidth="1" min="7" max="15" width="12.63"/>
  </cols>
  <sheetData>
    <row r="1">
      <c r="A1" s="1"/>
      <c r="B1" s="75" t="s">
        <v>0</v>
      </c>
      <c r="E1" s="195" t="s">
        <v>1</v>
      </c>
      <c r="G1" s="143" t="s">
        <v>400</v>
      </c>
      <c r="H1" s="143" t="s">
        <v>401</v>
      </c>
      <c r="I1" s="143" t="s">
        <v>402</v>
      </c>
      <c r="J1" s="143" t="s">
        <v>403</v>
      </c>
      <c r="K1" s="143" t="s">
        <v>404</v>
      </c>
      <c r="L1" s="143" t="s">
        <v>405</v>
      </c>
      <c r="M1" s="143" t="s">
        <v>406</v>
      </c>
      <c r="N1" s="143" t="s">
        <v>407</v>
      </c>
      <c r="O1" s="143" t="s">
        <v>408</v>
      </c>
    </row>
    <row r="2">
      <c r="A2" s="1"/>
      <c r="G2" s="196" t="s">
        <v>409</v>
      </c>
      <c r="H2" s="196" t="s">
        <v>410</v>
      </c>
      <c r="I2" s="196" t="s">
        <v>411</v>
      </c>
      <c r="J2" s="196" t="s">
        <v>412</v>
      </c>
      <c r="K2" s="196" t="s">
        <v>413</v>
      </c>
      <c r="L2" s="196" t="s">
        <v>414</v>
      </c>
      <c r="M2" s="196" t="s">
        <v>415</v>
      </c>
      <c r="N2" s="196" t="s">
        <v>416</v>
      </c>
      <c r="O2" s="196" t="s">
        <v>417</v>
      </c>
    </row>
    <row r="3">
      <c r="A3" s="1"/>
      <c r="B3" s="1"/>
      <c r="C3" s="1"/>
      <c r="D3" s="1"/>
      <c r="E3" s="197"/>
      <c r="F3" s="197"/>
      <c r="G3" s="11" t="str">
        <f t="shared" ref="G3:O3" si="1">COUNTIF(G5:G200, "완료") &amp; "명 완료"
</f>
        <v>79명 완료</v>
      </c>
      <c r="H3" s="11" t="str">
        <f t="shared" si="1"/>
        <v>74명 완료</v>
      </c>
      <c r="I3" s="11" t="str">
        <f t="shared" si="1"/>
        <v>77명 완료</v>
      </c>
      <c r="J3" s="11" t="str">
        <f t="shared" si="1"/>
        <v>78명 완료</v>
      </c>
      <c r="K3" s="11" t="str">
        <f t="shared" si="1"/>
        <v>79명 완료</v>
      </c>
      <c r="L3" s="11" t="str">
        <f t="shared" si="1"/>
        <v>79명 완료</v>
      </c>
      <c r="M3" s="11" t="str">
        <f t="shared" si="1"/>
        <v>72명 완료</v>
      </c>
      <c r="N3" s="11" t="str">
        <f t="shared" si="1"/>
        <v>75명 완료</v>
      </c>
      <c r="O3" s="11" t="str">
        <f t="shared" si="1"/>
        <v>74명 완료</v>
      </c>
    </row>
    <row r="4">
      <c r="A4" s="198"/>
      <c r="B4" s="81"/>
      <c r="C4" s="82" t="s">
        <v>21</v>
      </c>
      <c r="D4" s="82" t="s">
        <v>22</v>
      </c>
      <c r="E4" s="199" t="s">
        <v>23</v>
      </c>
      <c r="F4" s="199" t="s">
        <v>24</v>
      </c>
      <c r="G4" s="200" t="s">
        <v>25</v>
      </c>
      <c r="H4" s="200" t="s">
        <v>25</v>
      </c>
      <c r="I4" s="200" t="s">
        <v>25</v>
      </c>
      <c r="J4" s="200" t="s">
        <v>25</v>
      </c>
      <c r="K4" s="200" t="s">
        <v>25</v>
      </c>
      <c r="L4" s="200" t="s">
        <v>25</v>
      </c>
      <c r="M4" s="200" t="s">
        <v>25</v>
      </c>
      <c r="N4" s="200" t="s">
        <v>25</v>
      </c>
      <c r="O4" s="200" t="s">
        <v>25</v>
      </c>
    </row>
    <row r="5">
      <c r="A5" s="21"/>
      <c r="B5" s="145">
        <v>1.0</v>
      </c>
      <c r="C5" s="201" t="s">
        <v>26</v>
      </c>
      <c r="D5" s="202" t="s">
        <v>27</v>
      </c>
      <c r="E5" s="88" t="str">
        <f t="shared" ref="E5:E124" si="2">IF(COUNTIF(G5:O5, "완료")=0, "", COUNTIF($G$4:$O$4, "완료") &amp; "번 중 " &amp; COUNTIF(G5:O5, "완료") &amp; "번 참여")
</f>
        <v>9번 중 9번 참여</v>
      </c>
      <c r="F5" s="89">
        <f t="shared" ref="F5:F124" si="3">IF(COUNTIF($G$4:$X$4, "완료")=0, "", IF(COUNTIF(G5:O5, "완료")=0, "", COUNTIF(G5:O5, "완료") / COUNTIF($G$4:$O$4, "완료")))
</f>
        <v>1</v>
      </c>
      <c r="G5" s="90" t="s">
        <v>25</v>
      </c>
      <c r="H5" s="90" t="s">
        <v>25</v>
      </c>
      <c r="I5" s="90" t="s">
        <v>25</v>
      </c>
      <c r="J5" s="90" t="s">
        <v>25</v>
      </c>
      <c r="K5" s="90" t="s">
        <v>25</v>
      </c>
      <c r="L5" s="90" t="s">
        <v>25</v>
      </c>
      <c r="M5" s="90" t="s">
        <v>25</v>
      </c>
      <c r="N5" s="90" t="s">
        <v>25</v>
      </c>
      <c r="O5" s="90" t="s">
        <v>25</v>
      </c>
    </row>
    <row r="6">
      <c r="A6" s="203"/>
      <c r="B6" s="204">
        <v>2.0</v>
      </c>
      <c r="C6" s="93" t="s">
        <v>324</v>
      </c>
      <c r="D6" s="93" t="s">
        <v>325</v>
      </c>
      <c r="E6" s="88" t="str">
        <f t="shared" si="2"/>
        <v>9번 중 9번 참여</v>
      </c>
      <c r="F6" s="89">
        <f t="shared" si="3"/>
        <v>1</v>
      </c>
      <c r="G6" s="90" t="s">
        <v>25</v>
      </c>
      <c r="H6" s="90" t="s">
        <v>25</v>
      </c>
      <c r="I6" s="90" t="s">
        <v>25</v>
      </c>
      <c r="J6" s="90" t="s">
        <v>25</v>
      </c>
      <c r="K6" s="90" t="s">
        <v>25</v>
      </c>
      <c r="L6" s="90" t="s">
        <v>25</v>
      </c>
      <c r="M6" s="90" t="s">
        <v>25</v>
      </c>
      <c r="N6" s="90" t="s">
        <v>25</v>
      </c>
      <c r="O6" s="90" t="s">
        <v>25</v>
      </c>
    </row>
    <row r="7">
      <c r="A7" s="21"/>
      <c r="B7" s="145">
        <v>3.0</v>
      </c>
      <c r="C7" s="201" t="s">
        <v>28</v>
      </c>
      <c r="D7" s="201" t="s">
        <v>29</v>
      </c>
      <c r="E7" s="88" t="str">
        <f t="shared" si="2"/>
        <v>9번 중 9번 참여</v>
      </c>
      <c r="F7" s="89">
        <f t="shared" si="3"/>
        <v>1</v>
      </c>
      <c r="G7" s="90" t="s">
        <v>25</v>
      </c>
      <c r="H7" s="90" t="s">
        <v>25</v>
      </c>
      <c r="I7" s="90" t="s">
        <v>25</v>
      </c>
      <c r="J7" s="90" t="s">
        <v>25</v>
      </c>
      <c r="K7" s="90" t="s">
        <v>25</v>
      </c>
      <c r="L7" s="90" t="s">
        <v>25</v>
      </c>
      <c r="M7" s="90" t="s">
        <v>25</v>
      </c>
      <c r="N7" s="90" t="s">
        <v>25</v>
      </c>
      <c r="O7" s="90" t="s">
        <v>25</v>
      </c>
    </row>
    <row r="8">
      <c r="A8" s="203"/>
      <c r="B8" s="204">
        <v>4.0</v>
      </c>
      <c r="C8" s="93" t="s">
        <v>30</v>
      </c>
      <c r="D8" s="93" t="s">
        <v>31</v>
      </c>
      <c r="E8" s="88" t="str">
        <f t="shared" si="2"/>
        <v>9번 중 9번 참여</v>
      </c>
      <c r="F8" s="89">
        <f t="shared" si="3"/>
        <v>1</v>
      </c>
      <c r="G8" s="90" t="s">
        <v>25</v>
      </c>
      <c r="H8" s="90" t="s">
        <v>25</v>
      </c>
      <c r="I8" s="90" t="s">
        <v>25</v>
      </c>
      <c r="J8" s="90" t="s">
        <v>25</v>
      </c>
      <c r="K8" s="90" t="s">
        <v>25</v>
      </c>
      <c r="L8" s="90" t="s">
        <v>25</v>
      </c>
      <c r="M8" s="90" t="s">
        <v>25</v>
      </c>
      <c r="N8" s="90" t="s">
        <v>25</v>
      </c>
      <c r="O8" s="90" t="s">
        <v>25</v>
      </c>
    </row>
    <row r="9">
      <c r="A9" s="21"/>
      <c r="B9" s="145">
        <v>5.0</v>
      </c>
      <c r="C9" s="201" t="s">
        <v>32</v>
      </c>
      <c r="D9" s="201" t="s">
        <v>33</v>
      </c>
      <c r="E9" s="88" t="str">
        <f t="shared" si="2"/>
        <v>9번 중 9번 참여</v>
      </c>
      <c r="F9" s="89">
        <f t="shared" si="3"/>
        <v>1</v>
      </c>
      <c r="G9" s="90" t="s">
        <v>25</v>
      </c>
      <c r="H9" s="90" t="s">
        <v>25</v>
      </c>
      <c r="I9" s="90" t="s">
        <v>25</v>
      </c>
      <c r="J9" s="90" t="s">
        <v>25</v>
      </c>
      <c r="K9" s="90" t="s">
        <v>25</v>
      </c>
      <c r="L9" s="90" t="s">
        <v>25</v>
      </c>
      <c r="M9" s="90" t="s">
        <v>25</v>
      </c>
      <c r="N9" s="90" t="s">
        <v>25</v>
      </c>
      <c r="O9" s="90" t="s">
        <v>25</v>
      </c>
    </row>
    <row r="10">
      <c r="A10" s="203"/>
      <c r="B10" s="204">
        <v>6.0</v>
      </c>
      <c r="C10" s="93" t="s">
        <v>34</v>
      </c>
      <c r="D10" s="93" t="s">
        <v>35</v>
      </c>
      <c r="E10" s="88" t="str">
        <f t="shared" si="2"/>
        <v>9번 중 8번 참여</v>
      </c>
      <c r="F10" s="89">
        <f t="shared" si="3"/>
        <v>0.8888888889</v>
      </c>
      <c r="G10" s="90" t="s">
        <v>25</v>
      </c>
      <c r="H10" s="41"/>
      <c r="I10" s="90" t="s">
        <v>25</v>
      </c>
      <c r="J10" s="90" t="s">
        <v>25</v>
      </c>
      <c r="K10" s="90" t="s">
        <v>25</v>
      </c>
      <c r="L10" s="90" t="s">
        <v>25</v>
      </c>
      <c r="M10" s="90" t="s">
        <v>25</v>
      </c>
      <c r="N10" s="90" t="s">
        <v>25</v>
      </c>
      <c r="O10" s="90" t="s">
        <v>25</v>
      </c>
    </row>
    <row r="11">
      <c r="A11" s="21"/>
      <c r="B11" s="145">
        <v>7.0</v>
      </c>
      <c r="C11" s="201" t="s">
        <v>36</v>
      </c>
      <c r="D11" s="201" t="s">
        <v>72</v>
      </c>
      <c r="E11" s="88" t="str">
        <f t="shared" si="2"/>
        <v>9번 중 9번 참여</v>
      </c>
      <c r="F11" s="89">
        <f t="shared" si="3"/>
        <v>1</v>
      </c>
      <c r="G11" s="90" t="s">
        <v>25</v>
      </c>
      <c r="H11" s="90" t="s">
        <v>25</v>
      </c>
      <c r="I11" s="90" t="s">
        <v>25</v>
      </c>
      <c r="J11" s="90" t="s">
        <v>25</v>
      </c>
      <c r="K11" s="90" t="s">
        <v>25</v>
      </c>
      <c r="L11" s="90" t="s">
        <v>25</v>
      </c>
      <c r="M11" s="90" t="s">
        <v>25</v>
      </c>
      <c r="N11" s="90" t="s">
        <v>25</v>
      </c>
      <c r="O11" s="90" t="s">
        <v>25</v>
      </c>
    </row>
    <row r="12">
      <c r="A12" s="203"/>
      <c r="B12" s="204">
        <v>8.0</v>
      </c>
      <c r="C12" s="93" t="s">
        <v>38</v>
      </c>
      <c r="D12" s="93" t="s">
        <v>39</v>
      </c>
      <c r="E12" s="88" t="str">
        <f t="shared" si="2"/>
        <v>9번 중 9번 참여</v>
      </c>
      <c r="F12" s="89">
        <f t="shared" si="3"/>
        <v>1</v>
      </c>
      <c r="G12" s="90" t="s">
        <v>25</v>
      </c>
      <c r="H12" s="90" t="s">
        <v>25</v>
      </c>
      <c r="I12" s="90" t="s">
        <v>25</v>
      </c>
      <c r="J12" s="90" t="s">
        <v>25</v>
      </c>
      <c r="K12" s="90" t="s">
        <v>25</v>
      </c>
      <c r="L12" s="90" t="s">
        <v>25</v>
      </c>
      <c r="M12" s="90" t="s">
        <v>25</v>
      </c>
      <c r="N12" s="90" t="s">
        <v>25</v>
      </c>
      <c r="O12" s="90" t="s">
        <v>25</v>
      </c>
    </row>
    <row r="13">
      <c r="A13" s="21"/>
      <c r="B13" s="145">
        <v>9.0</v>
      </c>
      <c r="C13" s="201" t="s">
        <v>40</v>
      </c>
      <c r="D13" s="201" t="s">
        <v>41</v>
      </c>
      <c r="E13" s="88" t="str">
        <f t="shared" si="2"/>
        <v>9번 중 9번 참여</v>
      </c>
      <c r="F13" s="89">
        <f t="shared" si="3"/>
        <v>1</v>
      </c>
      <c r="G13" s="90" t="s">
        <v>25</v>
      </c>
      <c r="H13" s="90" t="s">
        <v>25</v>
      </c>
      <c r="I13" s="90" t="s">
        <v>25</v>
      </c>
      <c r="J13" s="90" t="s">
        <v>25</v>
      </c>
      <c r="K13" s="90" t="s">
        <v>25</v>
      </c>
      <c r="L13" s="90" t="s">
        <v>25</v>
      </c>
      <c r="M13" s="90" t="s">
        <v>25</v>
      </c>
      <c r="N13" s="90" t="s">
        <v>25</v>
      </c>
      <c r="O13" s="90" t="s">
        <v>25</v>
      </c>
    </row>
    <row r="14">
      <c r="A14" s="203"/>
      <c r="B14" s="204">
        <v>10.0</v>
      </c>
      <c r="C14" s="93" t="s">
        <v>42</v>
      </c>
      <c r="D14" s="93" t="s">
        <v>43</v>
      </c>
      <c r="E14" s="88" t="str">
        <f t="shared" si="2"/>
        <v>9번 중 8번 참여</v>
      </c>
      <c r="F14" s="89">
        <f t="shared" si="3"/>
        <v>0.8888888889</v>
      </c>
      <c r="G14" s="90" t="s">
        <v>25</v>
      </c>
      <c r="H14" s="90" t="s">
        <v>25</v>
      </c>
      <c r="I14" s="90" t="s">
        <v>25</v>
      </c>
      <c r="J14" s="90" t="s">
        <v>25</v>
      </c>
      <c r="K14" s="41"/>
      <c r="L14" s="90" t="s">
        <v>25</v>
      </c>
      <c r="M14" s="90" t="s">
        <v>25</v>
      </c>
      <c r="N14" s="90" t="s">
        <v>25</v>
      </c>
      <c r="O14" s="90" t="s">
        <v>25</v>
      </c>
    </row>
    <row r="15">
      <c r="A15" s="21"/>
      <c r="B15" s="145">
        <v>11.0</v>
      </c>
      <c r="C15" s="96" t="s">
        <v>418</v>
      </c>
      <c r="D15" s="201" t="s">
        <v>327</v>
      </c>
      <c r="E15" s="88" t="str">
        <f t="shared" si="2"/>
        <v>9번 중 9번 참여</v>
      </c>
      <c r="F15" s="89">
        <f t="shared" si="3"/>
        <v>1</v>
      </c>
      <c r="G15" s="205" t="s">
        <v>25</v>
      </c>
      <c r="H15" s="90" t="s">
        <v>25</v>
      </c>
      <c r="I15" s="90" t="s">
        <v>25</v>
      </c>
      <c r="J15" s="90" t="s">
        <v>25</v>
      </c>
      <c r="K15" s="90" t="s">
        <v>25</v>
      </c>
      <c r="L15" s="90" t="s">
        <v>25</v>
      </c>
      <c r="M15" s="90" t="s">
        <v>25</v>
      </c>
      <c r="N15" s="90" t="s">
        <v>25</v>
      </c>
      <c r="O15" s="90" t="s">
        <v>25</v>
      </c>
    </row>
    <row r="16">
      <c r="A16" s="203"/>
      <c r="B16" s="204">
        <v>12.0</v>
      </c>
      <c r="C16" s="94" t="s">
        <v>419</v>
      </c>
      <c r="D16" s="93" t="s">
        <v>328</v>
      </c>
      <c r="E16" s="88" t="str">
        <f t="shared" si="2"/>
        <v>9번 중 9번 참여</v>
      </c>
      <c r="F16" s="89">
        <f t="shared" si="3"/>
        <v>1</v>
      </c>
      <c r="G16" s="90" t="s">
        <v>25</v>
      </c>
      <c r="H16" s="90" t="s">
        <v>25</v>
      </c>
      <c r="I16" s="90" t="s">
        <v>25</v>
      </c>
      <c r="J16" s="90" t="s">
        <v>25</v>
      </c>
      <c r="K16" s="90" t="s">
        <v>25</v>
      </c>
      <c r="L16" s="90" t="s">
        <v>25</v>
      </c>
      <c r="M16" s="90" t="s">
        <v>25</v>
      </c>
      <c r="N16" s="90" t="s">
        <v>25</v>
      </c>
      <c r="O16" s="90" t="s">
        <v>25</v>
      </c>
    </row>
    <row r="17">
      <c r="A17" s="21"/>
      <c r="B17" s="145">
        <v>13.0</v>
      </c>
      <c r="C17" s="201" t="s">
        <v>44</v>
      </c>
      <c r="D17" s="201" t="s">
        <v>45</v>
      </c>
      <c r="E17" s="88" t="str">
        <f t="shared" si="2"/>
        <v>9번 중 9번 참여</v>
      </c>
      <c r="F17" s="89">
        <f t="shared" si="3"/>
        <v>1</v>
      </c>
      <c r="G17" s="90" t="s">
        <v>25</v>
      </c>
      <c r="H17" s="90" t="s">
        <v>25</v>
      </c>
      <c r="I17" s="90" t="s">
        <v>25</v>
      </c>
      <c r="J17" s="90" t="s">
        <v>25</v>
      </c>
      <c r="K17" s="90" t="s">
        <v>25</v>
      </c>
      <c r="L17" s="90" t="s">
        <v>25</v>
      </c>
      <c r="M17" s="90" t="s">
        <v>25</v>
      </c>
      <c r="N17" s="90" t="s">
        <v>25</v>
      </c>
      <c r="O17" s="90" t="s">
        <v>25</v>
      </c>
    </row>
    <row r="18">
      <c r="A18" s="203"/>
      <c r="B18" s="204">
        <v>14.0</v>
      </c>
      <c r="C18" s="93" t="s">
        <v>46</v>
      </c>
      <c r="D18" s="93" t="s">
        <v>47</v>
      </c>
      <c r="E18" s="88" t="str">
        <f t="shared" si="2"/>
        <v>9번 중 9번 참여</v>
      </c>
      <c r="F18" s="89">
        <f t="shared" si="3"/>
        <v>1</v>
      </c>
      <c r="G18" s="90" t="s">
        <v>25</v>
      </c>
      <c r="H18" s="90" t="s">
        <v>25</v>
      </c>
      <c r="I18" s="90" t="s">
        <v>25</v>
      </c>
      <c r="J18" s="90" t="s">
        <v>25</v>
      </c>
      <c r="K18" s="90" t="s">
        <v>25</v>
      </c>
      <c r="L18" s="90" t="s">
        <v>25</v>
      </c>
      <c r="M18" s="90" t="s">
        <v>25</v>
      </c>
      <c r="N18" s="90" t="s">
        <v>25</v>
      </c>
      <c r="O18" s="90" t="s">
        <v>25</v>
      </c>
    </row>
    <row r="19">
      <c r="A19" s="21"/>
      <c r="B19" s="145">
        <v>15.0</v>
      </c>
      <c r="C19" s="201" t="s">
        <v>48</v>
      </c>
      <c r="D19" s="201" t="s">
        <v>49</v>
      </c>
      <c r="E19" s="88" t="str">
        <f t="shared" si="2"/>
        <v>9번 중 9번 참여</v>
      </c>
      <c r="F19" s="89">
        <f t="shared" si="3"/>
        <v>1</v>
      </c>
      <c r="G19" s="90" t="s">
        <v>25</v>
      </c>
      <c r="H19" s="90" t="s">
        <v>25</v>
      </c>
      <c r="I19" s="90" t="s">
        <v>25</v>
      </c>
      <c r="J19" s="90" t="s">
        <v>25</v>
      </c>
      <c r="K19" s="90" t="s">
        <v>25</v>
      </c>
      <c r="L19" s="90" t="s">
        <v>25</v>
      </c>
      <c r="M19" s="90" t="s">
        <v>25</v>
      </c>
      <c r="N19" s="90" t="s">
        <v>25</v>
      </c>
      <c r="O19" s="90" t="s">
        <v>25</v>
      </c>
    </row>
    <row r="20">
      <c r="A20" s="203"/>
      <c r="B20" s="204">
        <v>16.0</v>
      </c>
      <c r="C20" s="93" t="s">
        <v>50</v>
      </c>
      <c r="D20" s="93" t="s">
        <v>51</v>
      </c>
      <c r="E20" s="88" t="str">
        <f t="shared" si="2"/>
        <v>9번 중 9번 참여</v>
      </c>
      <c r="F20" s="89">
        <f t="shared" si="3"/>
        <v>1</v>
      </c>
      <c r="G20" s="90" t="s">
        <v>25</v>
      </c>
      <c r="H20" s="90" t="s">
        <v>25</v>
      </c>
      <c r="I20" s="90" t="s">
        <v>25</v>
      </c>
      <c r="J20" s="90" t="s">
        <v>25</v>
      </c>
      <c r="K20" s="90" t="s">
        <v>25</v>
      </c>
      <c r="L20" s="90" t="s">
        <v>25</v>
      </c>
      <c r="M20" s="90" t="s">
        <v>25</v>
      </c>
      <c r="N20" s="90" t="s">
        <v>25</v>
      </c>
      <c r="O20" s="90" t="s">
        <v>25</v>
      </c>
    </row>
    <row r="21">
      <c r="A21" s="21"/>
      <c r="B21" s="145">
        <v>17.0</v>
      </c>
      <c r="C21" s="201" t="s">
        <v>52</v>
      </c>
      <c r="D21" s="201" t="s">
        <v>53</v>
      </c>
      <c r="E21" s="88" t="str">
        <f t="shared" si="2"/>
        <v>9번 중 7번 참여</v>
      </c>
      <c r="F21" s="89">
        <f t="shared" si="3"/>
        <v>0.7777777778</v>
      </c>
      <c r="G21" s="90" t="s">
        <v>25</v>
      </c>
      <c r="H21" s="90" t="s">
        <v>25</v>
      </c>
      <c r="I21" s="41"/>
      <c r="J21" s="41"/>
      <c r="K21" s="90" t="s">
        <v>25</v>
      </c>
      <c r="L21" s="90" t="s">
        <v>25</v>
      </c>
      <c r="M21" s="90" t="s">
        <v>25</v>
      </c>
      <c r="N21" s="90" t="s">
        <v>25</v>
      </c>
      <c r="O21" s="90" t="s">
        <v>25</v>
      </c>
    </row>
    <row r="22">
      <c r="A22" s="203"/>
      <c r="B22" s="204">
        <v>18.0</v>
      </c>
      <c r="C22" s="93" t="s">
        <v>329</v>
      </c>
      <c r="D22" s="93" t="s">
        <v>330</v>
      </c>
      <c r="E22" s="88" t="str">
        <f t="shared" si="2"/>
        <v>9번 중 9번 참여</v>
      </c>
      <c r="F22" s="89">
        <f t="shared" si="3"/>
        <v>1</v>
      </c>
      <c r="G22" s="90" t="s">
        <v>25</v>
      </c>
      <c r="H22" s="90" t="s">
        <v>25</v>
      </c>
      <c r="I22" s="90" t="s">
        <v>25</v>
      </c>
      <c r="J22" s="90" t="s">
        <v>25</v>
      </c>
      <c r="K22" s="90" t="s">
        <v>25</v>
      </c>
      <c r="L22" s="90" t="s">
        <v>25</v>
      </c>
      <c r="M22" s="90" t="s">
        <v>25</v>
      </c>
      <c r="N22" s="90" t="s">
        <v>25</v>
      </c>
      <c r="O22" s="90" t="s">
        <v>25</v>
      </c>
    </row>
    <row r="23">
      <c r="A23" s="21"/>
      <c r="B23" s="145">
        <v>19.0</v>
      </c>
      <c r="C23" s="201" t="s">
        <v>56</v>
      </c>
      <c r="D23" s="201" t="s">
        <v>57</v>
      </c>
      <c r="E23" s="88" t="str">
        <f t="shared" si="2"/>
        <v>9번 중 9번 참여</v>
      </c>
      <c r="F23" s="89">
        <f t="shared" si="3"/>
        <v>1</v>
      </c>
      <c r="G23" s="90" t="s">
        <v>25</v>
      </c>
      <c r="H23" s="90" t="s">
        <v>25</v>
      </c>
      <c r="I23" s="90" t="s">
        <v>25</v>
      </c>
      <c r="J23" s="90" t="s">
        <v>25</v>
      </c>
      <c r="K23" s="90" t="s">
        <v>25</v>
      </c>
      <c r="L23" s="90" t="s">
        <v>25</v>
      </c>
      <c r="M23" s="90" t="s">
        <v>25</v>
      </c>
      <c r="N23" s="90" t="s">
        <v>25</v>
      </c>
      <c r="O23" s="90" t="s">
        <v>25</v>
      </c>
    </row>
    <row r="24">
      <c r="A24" s="203"/>
      <c r="B24" s="204">
        <v>20.0</v>
      </c>
      <c r="C24" s="93" t="s">
        <v>58</v>
      </c>
      <c r="D24" s="93" t="s">
        <v>59</v>
      </c>
      <c r="E24" s="88" t="str">
        <f t="shared" si="2"/>
        <v>9번 중 8번 참여</v>
      </c>
      <c r="F24" s="89">
        <f t="shared" si="3"/>
        <v>0.8888888889</v>
      </c>
      <c r="G24" s="90" t="s">
        <v>25</v>
      </c>
      <c r="H24" s="90" t="s">
        <v>25</v>
      </c>
      <c r="I24" s="90" t="s">
        <v>25</v>
      </c>
      <c r="J24" s="90" t="s">
        <v>25</v>
      </c>
      <c r="K24" s="90" t="s">
        <v>25</v>
      </c>
      <c r="L24" s="90" t="s">
        <v>25</v>
      </c>
      <c r="M24" s="41"/>
      <c r="N24" s="90" t="s">
        <v>25</v>
      </c>
      <c r="O24" s="90" t="s">
        <v>25</v>
      </c>
    </row>
    <row r="25">
      <c r="A25" s="21"/>
      <c r="B25" s="145">
        <v>21.0</v>
      </c>
      <c r="C25" s="201" t="s">
        <v>60</v>
      </c>
      <c r="D25" s="206" t="s">
        <v>61</v>
      </c>
      <c r="E25" s="88" t="str">
        <f t="shared" si="2"/>
        <v>9번 중 9번 참여</v>
      </c>
      <c r="F25" s="89">
        <f t="shared" si="3"/>
        <v>1</v>
      </c>
      <c r="G25" s="90" t="s">
        <v>25</v>
      </c>
      <c r="H25" s="90" t="s">
        <v>25</v>
      </c>
      <c r="I25" s="90" t="s">
        <v>25</v>
      </c>
      <c r="J25" s="90" t="s">
        <v>25</v>
      </c>
      <c r="K25" s="90" t="s">
        <v>25</v>
      </c>
      <c r="L25" s="90" t="s">
        <v>25</v>
      </c>
      <c r="M25" s="90" t="s">
        <v>25</v>
      </c>
      <c r="N25" s="90" t="s">
        <v>25</v>
      </c>
      <c r="O25" s="90" t="s">
        <v>25</v>
      </c>
    </row>
    <row r="26">
      <c r="A26" s="203"/>
      <c r="B26" s="204">
        <v>22.0</v>
      </c>
      <c r="C26" s="207" t="s">
        <v>62</v>
      </c>
      <c r="D26" s="207" t="s">
        <v>63</v>
      </c>
      <c r="E26" s="88" t="str">
        <f t="shared" si="2"/>
        <v>9번 중 9번 참여</v>
      </c>
      <c r="F26" s="89">
        <f t="shared" si="3"/>
        <v>1</v>
      </c>
      <c r="G26" s="90" t="s">
        <v>25</v>
      </c>
      <c r="H26" s="90" t="s">
        <v>25</v>
      </c>
      <c r="I26" s="90" t="s">
        <v>25</v>
      </c>
      <c r="J26" s="90" t="s">
        <v>25</v>
      </c>
      <c r="K26" s="90" t="s">
        <v>25</v>
      </c>
      <c r="L26" s="90" t="s">
        <v>25</v>
      </c>
      <c r="M26" s="90" t="s">
        <v>25</v>
      </c>
      <c r="N26" s="90" t="s">
        <v>25</v>
      </c>
      <c r="O26" s="90" t="s">
        <v>25</v>
      </c>
    </row>
    <row r="27">
      <c r="A27" s="21"/>
      <c r="B27" s="145">
        <v>23.0</v>
      </c>
      <c r="C27" s="201" t="s">
        <v>64</v>
      </c>
      <c r="D27" s="201" t="s">
        <v>65</v>
      </c>
      <c r="E27" s="88" t="str">
        <f t="shared" si="2"/>
        <v>9번 중 8번 참여</v>
      </c>
      <c r="F27" s="89">
        <f t="shared" si="3"/>
        <v>0.8888888889</v>
      </c>
      <c r="G27" s="41"/>
      <c r="H27" s="90" t="s">
        <v>25</v>
      </c>
      <c r="I27" s="90" t="s">
        <v>25</v>
      </c>
      <c r="J27" s="90" t="s">
        <v>25</v>
      </c>
      <c r="K27" s="90" t="s">
        <v>25</v>
      </c>
      <c r="L27" s="90" t="s">
        <v>25</v>
      </c>
      <c r="M27" s="90" t="s">
        <v>25</v>
      </c>
      <c r="N27" s="90" t="s">
        <v>25</v>
      </c>
      <c r="O27" s="90" t="s">
        <v>25</v>
      </c>
    </row>
    <row r="28">
      <c r="A28" s="203"/>
      <c r="B28" s="204">
        <v>24.0</v>
      </c>
      <c r="C28" s="93" t="s">
        <v>335</v>
      </c>
      <c r="D28" s="93" t="s">
        <v>336</v>
      </c>
      <c r="E28" s="88" t="str">
        <f t="shared" si="2"/>
        <v>9번 중 9번 참여</v>
      </c>
      <c r="F28" s="89">
        <f t="shared" si="3"/>
        <v>1</v>
      </c>
      <c r="G28" s="90" t="s">
        <v>25</v>
      </c>
      <c r="H28" s="90" t="s">
        <v>25</v>
      </c>
      <c r="I28" s="90" t="s">
        <v>25</v>
      </c>
      <c r="J28" s="90" t="s">
        <v>25</v>
      </c>
      <c r="K28" s="90" t="s">
        <v>25</v>
      </c>
      <c r="L28" s="90" t="s">
        <v>25</v>
      </c>
      <c r="M28" s="90" t="s">
        <v>25</v>
      </c>
      <c r="N28" s="90" t="s">
        <v>25</v>
      </c>
      <c r="O28" s="90" t="s">
        <v>25</v>
      </c>
    </row>
    <row r="29">
      <c r="A29" s="21"/>
      <c r="B29" s="145">
        <v>25.0</v>
      </c>
      <c r="C29" s="96" t="s">
        <v>420</v>
      </c>
      <c r="D29" s="201" t="s">
        <v>337</v>
      </c>
      <c r="E29" s="88" t="str">
        <f t="shared" si="2"/>
        <v>9번 중 9번 참여</v>
      </c>
      <c r="F29" s="89">
        <f t="shared" si="3"/>
        <v>1</v>
      </c>
      <c r="G29" s="90" t="s">
        <v>25</v>
      </c>
      <c r="H29" s="90" t="s">
        <v>25</v>
      </c>
      <c r="I29" s="90" t="s">
        <v>25</v>
      </c>
      <c r="J29" s="90" t="s">
        <v>25</v>
      </c>
      <c r="K29" s="90" t="s">
        <v>25</v>
      </c>
      <c r="L29" s="90" t="s">
        <v>25</v>
      </c>
      <c r="M29" s="90" t="s">
        <v>25</v>
      </c>
      <c r="N29" s="90" t="s">
        <v>25</v>
      </c>
      <c r="O29" s="90" t="s">
        <v>25</v>
      </c>
    </row>
    <row r="30">
      <c r="A30" s="203"/>
      <c r="B30" s="204">
        <v>26.0</v>
      </c>
      <c r="C30" s="93" t="s">
        <v>74</v>
      </c>
      <c r="D30" s="93" t="s">
        <v>75</v>
      </c>
      <c r="E30" s="88" t="str">
        <f t="shared" si="2"/>
        <v>9번 중 8번 참여</v>
      </c>
      <c r="F30" s="89">
        <f t="shared" si="3"/>
        <v>0.8888888889</v>
      </c>
      <c r="G30" s="90" t="s">
        <v>25</v>
      </c>
      <c r="H30" s="90" t="s">
        <v>25</v>
      </c>
      <c r="I30" s="41"/>
      <c r="J30" s="90" t="s">
        <v>25</v>
      </c>
      <c r="K30" s="90" t="s">
        <v>25</v>
      </c>
      <c r="L30" s="90" t="s">
        <v>25</v>
      </c>
      <c r="M30" s="90" t="s">
        <v>25</v>
      </c>
      <c r="N30" s="90" t="s">
        <v>25</v>
      </c>
      <c r="O30" s="90" t="s">
        <v>25</v>
      </c>
    </row>
    <row r="31">
      <c r="A31" s="21"/>
      <c r="B31" s="145">
        <v>27.0</v>
      </c>
      <c r="C31" s="201" t="s">
        <v>76</v>
      </c>
      <c r="D31" s="206" t="s">
        <v>77</v>
      </c>
      <c r="E31" s="88" t="str">
        <f t="shared" si="2"/>
        <v>9번 중 9번 참여</v>
      </c>
      <c r="F31" s="89">
        <f t="shared" si="3"/>
        <v>1</v>
      </c>
      <c r="G31" s="90" t="s">
        <v>25</v>
      </c>
      <c r="H31" s="90" t="s">
        <v>25</v>
      </c>
      <c r="I31" s="90" t="s">
        <v>25</v>
      </c>
      <c r="J31" s="90" t="s">
        <v>25</v>
      </c>
      <c r="K31" s="90" t="s">
        <v>25</v>
      </c>
      <c r="L31" s="90" t="s">
        <v>25</v>
      </c>
      <c r="M31" s="90" t="s">
        <v>25</v>
      </c>
      <c r="N31" s="90" t="s">
        <v>25</v>
      </c>
      <c r="O31" s="90" t="s">
        <v>25</v>
      </c>
    </row>
    <row r="32">
      <c r="A32" s="203"/>
      <c r="B32" s="204">
        <v>28.0</v>
      </c>
      <c r="C32" s="93" t="s">
        <v>78</v>
      </c>
      <c r="D32" s="93" t="s">
        <v>79</v>
      </c>
      <c r="E32" s="88" t="str">
        <f t="shared" si="2"/>
        <v>9번 중 9번 참여</v>
      </c>
      <c r="F32" s="89">
        <f t="shared" si="3"/>
        <v>1</v>
      </c>
      <c r="G32" s="90" t="s">
        <v>25</v>
      </c>
      <c r="H32" s="90" t="s">
        <v>25</v>
      </c>
      <c r="I32" s="90" t="s">
        <v>25</v>
      </c>
      <c r="J32" s="90" t="s">
        <v>25</v>
      </c>
      <c r="K32" s="90" t="s">
        <v>25</v>
      </c>
      <c r="L32" s="90" t="s">
        <v>25</v>
      </c>
      <c r="M32" s="90" t="s">
        <v>25</v>
      </c>
      <c r="N32" s="90" t="s">
        <v>25</v>
      </c>
      <c r="O32" s="90" t="s">
        <v>25</v>
      </c>
    </row>
    <row r="33">
      <c r="A33" s="21"/>
      <c r="B33" s="145">
        <v>29.0</v>
      </c>
      <c r="C33" s="201" t="s">
        <v>130</v>
      </c>
      <c r="D33" s="201" t="s">
        <v>338</v>
      </c>
      <c r="E33" s="88" t="str">
        <f t="shared" si="2"/>
        <v>9번 중 9번 참여</v>
      </c>
      <c r="F33" s="89">
        <f t="shared" si="3"/>
        <v>1</v>
      </c>
      <c r="G33" s="90" t="s">
        <v>25</v>
      </c>
      <c r="H33" s="90" t="s">
        <v>25</v>
      </c>
      <c r="I33" s="90" t="s">
        <v>25</v>
      </c>
      <c r="J33" s="90" t="s">
        <v>25</v>
      </c>
      <c r="K33" s="90" t="s">
        <v>25</v>
      </c>
      <c r="L33" s="90" t="s">
        <v>25</v>
      </c>
      <c r="M33" s="90" t="s">
        <v>25</v>
      </c>
      <c r="N33" s="90" t="s">
        <v>25</v>
      </c>
      <c r="O33" s="90" t="s">
        <v>25</v>
      </c>
    </row>
    <row r="34">
      <c r="A34" s="203"/>
      <c r="B34" s="204">
        <v>30.0</v>
      </c>
      <c r="C34" s="93" t="s">
        <v>81</v>
      </c>
      <c r="D34" s="93" t="s">
        <v>82</v>
      </c>
      <c r="E34" s="88" t="str">
        <f t="shared" si="2"/>
        <v>9번 중 8번 참여</v>
      </c>
      <c r="F34" s="89">
        <f t="shared" si="3"/>
        <v>0.8888888889</v>
      </c>
      <c r="G34" s="90" t="s">
        <v>25</v>
      </c>
      <c r="H34" s="90" t="s">
        <v>25</v>
      </c>
      <c r="I34" s="90" t="s">
        <v>25</v>
      </c>
      <c r="J34" s="90" t="s">
        <v>25</v>
      </c>
      <c r="K34" s="90" t="s">
        <v>25</v>
      </c>
      <c r="L34" s="90" t="s">
        <v>25</v>
      </c>
      <c r="M34" s="90" t="s">
        <v>25</v>
      </c>
      <c r="N34" s="41"/>
      <c r="O34" s="90" t="s">
        <v>25</v>
      </c>
    </row>
    <row r="35">
      <c r="A35" s="21"/>
      <c r="B35" s="145">
        <v>31.0</v>
      </c>
      <c r="C35" s="201" t="s">
        <v>83</v>
      </c>
      <c r="D35" s="201" t="s">
        <v>84</v>
      </c>
      <c r="E35" s="88" t="str">
        <f t="shared" si="2"/>
        <v>9번 중 8번 참여</v>
      </c>
      <c r="F35" s="89">
        <f t="shared" si="3"/>
        <v>0.8888888889</v>
      </c>
      <c r="G35" s="90" t="s">
        <v>25</v>
      </c>
      <c r="H35" s="90" t="s">
        <v>25</v>
      </c>
      <c r="I35" s="90" t="s">
        <v>25</v>
      </c>
      <c r="J35" s="90" t="s">
        <v>25</v>
      </c>
      <c r="K35" s="90" t="s">
        <v>25</v>
      </c>
      <c r="L35" s="90" t="s">
        <v>25</v>
      </c>
      <c r="M35" s="41"/>
      <c r="N35" s="90" t="s">
        <v>25</v>
      </c>
      <c r="O35" s="90" t="s">
        <v>25</v>
      </c>
    </row>
    <row r="36">
      <c r="A36" s="203"/>
      <c r="B36" s="204">
        <v>32.0</v>
      </c>
      <c r="C36" s="93" t="s">
        <v>85</v>
      </c>
      <c r="D36" s="93" t="s">
        <v>86</v>
      </c>
      <c r="E36" s="88" t="str">
        <f t="shared" si="2"/>
        <v>9번 중 9번 참여</v>
      </c>
      <c r="F36" s="89">
        <f t="shared" si="3"/>
        <v>1</v>
      </c>
      <c r="G36" s="90" t="s">
        <v>25</v>
      </c>
      <c r="H36" s="90" t="s">
        <v>25</v>
      </c>
      <c r="I36" s="90" t="s">
        <v>25</v>
      </c>
      <c r="J36" s="90" t="s">
        <v>25</v>
      </c>
      <c r="K36" s="90" t="s">
        <v>25</v>
      </c>
      <c r="L36" s="90" t="s">
        <v>25</v>
      </c>
      <c r="M36" s="90" t="s">
        <v>25</v>
      </c>
      <c r="N36" s="90" t="s">
        <v>25</v>
      </c>
      <c r="O36" s="90" t="s">
        <v>25</v>
      </c>
    </row>
    <row r="37">
      <c r="A37" s="21"/>
      <c r="B37" s="145">
        <v>33.0</v>
      </c>
      <c r="C37" s="201" t="s">
        <v>87</v>
      </c>
      <c r="D37" s="206" t="s">
        <v>88</v>
      </c>
      <c r="E37" s="88" t="str">
        <f t="shared" si="2"/>
        <v>9번 중 7번 참여</v>
      </c>
      <c r="F37" s="89">
        <f t="shared" si="3"/>
        <v>0.7777777778</v>
      </c>
      <c r="G37" s="90" t="s">
        <v>25</v>
      </c>
      <c r="H37" s="90" t="s">
        <v>25</v>
      </c>
      <c r="I37" s="41"/>
      <c r="J37" s="90" t="s">
        <v>25</v>
      </c>
      <c r="K37" s="90" t="s">
        <v>25</v>
      </c>
      <c r="L37" s="90" t="s">
        <v>25</v>
      </c>
      <c r="M37" s="90" t="s">
        <v>25</v>
      </c>
      <c r="N37" s="41"/>
      <c r="O37" s="90" t="s">
        <v>25</v>
      </c>
    </row>
    <row r="38">
      <c r="A38" s="203"/>
      <c r="B38" s="204">
        <v>34.0</v>
      </c>
      <c r="C38" s="94" t="s">
        <v>421</v>
      </c>
      <c r="D38" s="93" t="s">
        <v>389</v>
      </c>
      <c r="E38" s="88" t="str">
        <f t="shared" si="2"/>
        <v>9번 중 5번 참여</v>
      </c>
      <c r="F38" s="89">
        <f t="shared" si="3"/>
        <v>0.5555555556</v>
      </c>
      <c r="G38" s="90" t="s">
        <v>25</v>
      </c>
      <c r="H38" s="90" t="s">
        <v>25</v>
      </c>
      <c r="I38" s="90" t="s">
        <v>25</v>
      </c>
      <c r="J38" s="90" t="s">
        <v>25</v>
      </c>
      <c r="K38" s="90" t="s">
        <v>25</v>
      </c>
      <c r="L38" s="41"/>
      <c r="M38" s="41"/>
      <c r="N38" s="41"/>
      <c r="O38" s="41"/>
    </row>
    <row r="39">
      <c r="A39" s="21"/>
      <c r="B39" s="145">
        <v>35.0</v>
      </c>
      <c r="C39" s="201" t="s">
        <v>382</v>
      </c>
      <c r="D39" s="201" t="s">
        <v>383</v>
      </c>
      <c r="E39" s="88" t="str">
        <f t="shared" si="2"/>
        <v>9번 중 5번 참여</v>
      </c>
      <c r="F39" s="89">
        <f t="shared" si="3"/>
        <v>0.5555555556</v>
      </c>
      <c r="G39" s="90" t="s">
        <v>25</v>
      </c>
      <c r="H39" s="41"/>
      <c r="I39" s="90" t="s">
        <v>25</v>
      </c>
      <c r="J39" s="90" t="s">
        <v>25</v>
      </c>
      <c r="K39" s="90" t="s">
        <v>25</v>
      </c>
      <c r="L39" s="90" t="s">
        <v>25</v>
      </c>
      <c r="M39" s="41"/>
      <c r="N39" s="41"/>
      <c r="O39" s="41"/>
    </row>
    <row r="40">
      <c r="A40" s="203"/>
      <c r="B40" s="204">
        <v>36.0</v>
      </c>
      <c r="C40" s="208" t="s">
        <v>93</v>
      </c>
      <c r="D40" s="208" t="s">
        <v>94</v>
      </c>
      <c r="E40" s="88" t="str">
        <f t="shared" si="2"/>
        <v>9번 중 9번 참여</v>
      </c>
      <c r="F40" s="89">
        <f t="shared" si="3"/>
        <v>1</v>
      </c>
      <c r="G40" s="90" t="s">
        <v>25</v>
      </c>
      <c r="H40" s="90" t="s">
        <v>25</v>
      </c>
      <c r="I40" s="90" t="s">
        <v>25</v>
      </c>
      <c r="J40" s="90" t="s">
        <v>25</v>
      </c>
      <c r="K40" s="90" t="s">
        <v>25</v>
      </c>
      <c r="L40" s="90" t="s">
        <v>25</v>
      </c>
      <c r="M40" s="90" t="s">
        <v>25</v>
      </c>
      <c r="N40" s="90" t="s">
        <v>25</v>
      </c>
      <c r="O40" s="90" t="s">
        <v>25</v>
      </c>
    </row>
    <row r="41">
      <c r="A41" s="21"/>
      <c r="B41" s="145">
        <v>37.0</v>
      </c>
      <c r="C41" s="201" t="s">
        <v>124</v>
      </c>
      <c r="D41" s="201" t="s">
        <v>125</v>
      </c>
      <c r="E41" s="88" t="str">
        <f t="shared" si="2"/>
        <v>9번 중 9번 참여</v>
      </c>
      <c r="F41" s="89">
        <f t="shared" si="3"/>
        <v>1</v>
      </c>
      <c r="G41" s="90" t="s">
        <v>25</v>
      </c>
      <c r="H41" s="90" t="s">
        <v>25</v>
      </c>
      <c r="I41" s="90" t="s">
        <v>25</v>
      </c>
      <c r="J41" s="90" t="s">
        <v>25</v>
      </c>
      <c r="K41" s="90" t="s">
        <v>25</v>
      </c>
      <c r="L41" s="90" t="s">
        <v>25</v>
      </c>
      <c r="M41" s="90" t="s">
        <v>25</v>
      </c>
      <c r="N41" s="90" t="s">
        <v>25</v>
      </c>
      <c r="O41" s="90" t="s">
        <v>25</v>
      </c>
    </row>
    <row r="42">
      <c r="A42" s="203"/>
      <c r="B42" s="204">
        <v>38.0</v>
      </c>
      <c r="C42" s="93" t="s">
        <v>128</v>
      </c>
      <c r="D42" s="93" t="s">
        <v>129</v>
      </c>
      <c r="E42" s="88" t="str">
        <f t="shared" si="2"/>
        <v>9번 중 9번 참여</v>
      </c>
      <c r="F42" s="89">
        <f t="shared" si="3"/>
        <v>1</v>
      </c>
      <c r="G42" s="90" t="s">
        <v>25</v>
      </c>
      <c r="H42" s="90" t="s">
        <v>25</v>
      </c>
      <c r="I42" s="90" t="s">
        <v>25</v>
      </c>
      <c r="J42" s="90" t="s">
        <v>25</v>
      </c>
      <c r="K42" s="90" t="s">
        <v>25</v>
      </c>
      <c r="L42" s="90" t="s">
        <v>25</v>
      </c>
      <c r="M42" s="90" t="s">
        <v>25</v>
      </c>
      <c r="N42" s="90" t="s">
        <v>25</v>
      </c>
      <c r="O42" s="90" t="s">
        <v>25</v>
      </c>
    </row>
    <row r="43">
      <c r="A43" s="21"/>
      <c r="B43" s="145">
        <v>39.0</v>
      </c>
      <c r="C43" s="201" t="s">
        <v>99</v>
      </c>
      <c r="D43" s="201" t="s">
        <v>100</v>
      </c>
      <c r="E43" s="88" t="str">
        <f t="shared" si="2"/>
        <v>9번 중 9번 참여</v>
      </c>
      <c r="F43" s="89">
        <f t="shared" si="3"/>
        <v>1</v>
      </c>
      <c r="G43" s="90" t="s">
        <v>25</v>
      </c>
      <c r="H43" s="90" t="s">
        <v>25</v>
      </c>
      <c r="I43" s="90" t="s">
        <v>25</v>
      </c>
      <c r="J43" s="90" t="s">
        <v>25</v>
      </c>
      <c r="K43" s="90" t="s">
        <v>25</v>
      </c>
      <c r="L43" s="90" t="s">
        <v>25</v>
      </c>
      <c r="M43" s="90" t="s">
        <v>25</v>
      </c>
      <c r="N43" s="90" t="s">
        <v>25</v>
      </c>
      <c r="O43" s="90" t="s">
        <v>25</v>
      </c>
    </row>
    <row r="44">
      <c r="A44" s="203"/>
      <c r="B44" s="209">
        <v>40.0</v>
      </c>
      <c r="C44" s="155" t="s">
        <v>422</v>
      </c>
      <c r="D44" s="155" t="s">
        <v>423</v>
      </c>
      <c r="E44" s="88" t="str">
        <f t="shared" si="2"/>
        <v>9번 중 1번 참여</v>
      </c>
      <c r="F44" s="89">
        <f t="shared" si="3"/>
        <v>0.1111111111</v>
      </c>
      <c r="G44" s="90" t="s">
        <v>25</v>
      </c>
      <c r="H44" s="41"/>
      <c r="I44" s="41"/>
      <c r="J44" s="41"/>
      <c r="K44" s="41"/>
      <c r="L44" s="41"/>
      <c r="M44" s="41"/>
      <c r="N44" s="41"/>
      <c r="O44" s="41"/>
    </row>
    <row r="45">
      <c r="A45" s="21"/>
      <c r="B45" s="145">
        <v>41.0</v>
      </c>
      <c r="C45" s="201" t="s">
        <v>347</v>
      </c>
      <c r="D45" s="201" t="s">
        <v>348</v>
      </c>
      <c r="E45" s="88" t="str">
        <f t="shared" si="2"/>
        <v>9번 중 9번 참여</v>
      </c>
      <c r="F45" s="89">
        <f t="shared" si="3"/>
        <v>1</v>
      </c>
      <c r="G45" s="90" t="s">
        <v>25</v>
      </c>
      <c r="H45" s="90" t="s">
        <v>25</v>
      </c>
      <c r="I45" s="90" t="s">
        <v>25</v>
      </c>
      <c r="J45" s="90" t="s">
        <v>25</v>
      </c>
      <c r="K45" s="90" t="s">
        <v>25</v>
      </c>
      <c r="L45" s="90" t="s">
        <v>25</v>
      </c>
      <c r="M45" s="90" t="s">
        <v>25</v>
      </c>
      <c r="N45" s="90" t="s">
        <v>25</v>
      </c>
      <c r="O45" s="90" t="s">
        <v>25</v>
      </c>
    </row>
    <row r="46">
      <c r="A46" s="203"/>
      <c r="B46" s="204">
        <v>42.0</v>
      </c>
      <c r="C46" s="93" t="s">
        <v>95</v>
      </c>
      <c r="D46" s="93" t="s">
        <v>96</v>
      </c>
      <c r="E46" s="88" t="str">
        <f t="shared" si="2"/>
        <v>9번 중 9번 참여</v>
      </c>
      <c r="F46" s="89">
        <f t="shared" si="3"/>
        <v>1</v>
      </c>
      <c r="G46" s="90" t="s">
        <v>25</v>
      </c>
      <c r="H46" s="90" t="s">
        <v>25</v>
      </c>
      <c r="I46" s="90" t="s">
        <v>25</v>
      </c>
      <c r="J46" s="90" t="s">
        <v>25</v>
      </c>
      <c r="K46" s="90" t="s">
        <v>25</v>
      </c>
      <c r="L46" s="90" t="s">
        <v>25</v>
      </c>
      <c r="M46" s="90" t="s">
        <v>25</v>
      </c>
      <c r="N46" s="90" t="s">
        <v>25</v>
      </c>
      <c r="O46" s="90" t="s">
        <v>25</v>
      </c>
    </row>
    <row r="47">
      <c r="A47" s="21"/>
      <c r="B47" s="145">
        <v>43.0</v>
      </c>
      <c r="C47" s="201" t="s">
        <v>97</v>
      </c>
      <c r="D47" s="201" t="s">
        <v>98</v>
      </c>
      <c r="E47" s="88" t="str">
        <f t="shared" si="2"/>
        <v>9번 중 9번 참여</v>
      </c>
      <c r="F47" s="89">
        <f t="shared" si="3"/>
        <v>1</v>
      </c>
      <c r="G47" s="90" t="s">
        <v>25</v>
      </c>
      <c r="H47" s="90" t="s">
        <v>25</v>
      </c>
      <c r="I47" s="90" t="s">
        <v>25</v>
      </c>
      <c r="J47" s="90" t="s">
        <v>25</v>
      </c>
      <c r="K47" s="90" t="s">
        <v>25</v>
      </c>
      <c r="L47" s="90" t="s">
        <v>25</v>
      </c>
      <c r="M47" s="90" t="s">
        <v>25</v>
      </c>
      <c r="N47" s="90" t="s">
        <v>25</v>
      </c>
      <c r="O47" s="90" t="s">
        <v>25</v>
      </c>
    </row>
    <row r="48">
      <c r="A48" s="203"/>
      <c r="B48" s="204">
        <v>44.0</v>
      </c>
      <c r="C48" s="93" t="s">
        <v>349</v>
      </c>
      <c r="D48" s="93" t="s">
        <v>350</v>
      </c>
      <c r="E48" s="88" t="str">
        <f t="shared" si="2"/>
        <v>9번 중 6번 참여</v>
      </c>
      <c r="F48" s="89">
        <f t="shared" si="3"/>
        <v>0.6666666667</v>
      </c>
      <c r="G48" s="90" t="s">
        <v>25</v>
      </c>
      <c r="H48" s="41"/>
      <c r="I48" s="90" t="s">
        <v>25</v>
      </c>
      <c r="J48" s="90" t="s">
        <v>25</v>
      </c>
      <c r="K48" s="90" t="s">
        <v>25</v>
      </c>
      <c r="L48" s="41"/>
      <c r="M48" s="41"/>
      <c r="N48" s="90" t="s">
        <v>25</v>
      </c>
      <c r="O48" s="90" t="s">
        <v>25</v>
      </c>
    </row>
    <row r="49">
      <c r="A49" s="21"/>
      <c r="B49" s="145">
        <v>45.0</v>
      </c>
      <c r="C49" s="201" t="s">
        <v>103</v>
      </c>
      <c r="D49" s="201" t="s">
        <v>104</v>
      </c>
      <c r="E49" s="88" t="str">
        <f t="shared" si="2"/>
        <v>9번 중 8번 참여</v>
      </c>
      <c r="F49" s="89">
        <f t="shared" si="3"/>
        <v>0.8888888889</v>
      </c>
      <c r="G49" s="41"/>
      <c r="H49" s="90" t="s">
        <v>25</v>
      </c>
      <c r="I49" s="90" t="s">
        <v>25</v>
      </c>
      <c r="J49" s="90" t="s">
        <v>25</v>
      </c>
      <c r="K49" s="90" t="s">
        <v>25</v>
      </c>
      <c r="L49" s="90" t="s">
        <v>25</v>
      </c>
      <c r="M49" s="90" t="s">
        <v>25</v>
      </c>
      <c r="N49" s="90" t="s">
        <v>25</v>
      </c>
      <c r="O49" s="90" t="s">
        <v>25</v>
      </c>
    </row>
    <row r="50">
      <c r="A50" s="203"/>
      <c r="B50" s="204">
        <v>46.0</v>
      </c>
      <c r="C50" s="93" t="s">
        <v>351</v>
      </c>
      <c r="D50" s="93" t="s">
        <v>352</v>
      </c>
      <c r="E50" s="88" t="str">
        <f t="shared" si="2"/>
        <v>9번 중 6번 참여</v>
      </c>
      <c r="F50" s="89">
        <f t="shared" si="3"/>
        <v>0.6666666667</v>
      </c>
      <c r="G50" s="90" t="s">
        <v>25</v>
      </c>
      <c r="H50" s="90" t="s">
        <v>25</v>
      </c>
      <c r="I50" s="41"/>
      <c r="J50" s="41"/>
      <c r="K50" s="90" t="s">
        <v>25</v>
      </c>
      <c r="L50" s="90" t="s">
        <v>25</v>
      </c>
      <c r="M50" s="41"/>
      <c r="N50" s="90" t="s">
        <v>25</v>
      </c>
      <c r="O50" s="90" t="s">
        <v>25</v>
      </c>
    </row>
    <row r="51">
      <c r="A51" s="21"/>
      <c r="B51" s="145">
        <v>47.0</v>
      </c>
      <c r="C51" s="201" t="s">
        <v>284</v>
      </c>
      <c r="D51" s="201" t="s">
        <v>121</v>
      </c>
      <c r="E51" s="88" t="str">
        <f t="shared" si="2"/>
        <v>9번 중 9번 참여</v>
      </c>
      <c r="F51" s="89">
        <f t="shared" si="3"/>
        <v>1</v>
      </c>
      <c r="G51" s="90" t="s">
        <v>25</v>
      </c>
      <c r="H51" s="90" t="s">
        <v>25</v>
      </c>
      <c r="I51" s="90" t="s">
        <v>25</v>
      </c>
      <c r="J51" s="90" t="s">
        <v>25</v>
      </c>
      <c r="K51" s="90" t="s">
        <v>25</v>
      </c>
      <c r="L51" s="90" t="s">
        <v>25</v>
      </c>
      <c r="M51" s="90" t="s">
        <v>25</v>
      </c>
      <c r="N51" s="90" t="s">
        <v>25</v>
      </c>
      <c r="O51" s="90" t="s">
        <v>25</v>
      </c>
    </row>
    <row r="52">
      <c r="A52" s="203"/>
      <c r="B52" s="204">
        <v>48.0</v>
      </c>
      <c r="C52" s="93" t="s">
        <v>101</v>
      </c>
      <c r="D52" s="93" t="s">
        <v>102</v>
      </c>
      <c r="E52" s="88" t="str">
        <f t="shared" si="2"/>
        <v>9번 중 9번 참여</v>
      </c>
      <c r="F52" s="89">
        <f t="shared" si="3"/>
        <v>1</v>
      </c>
      <c r="G52" s="90" t="s">
        <v>25</v>
      </c>
      <c r="H52" s="90" t="s">
        <v>25</v>
      </c>
      <c r="I52" s="90" t="s">
        <v>25</v>
      </c>
      <c r="J52" s="90" t="s">
        <v>25</v>
      </c>
      <c r="K52" s="90" t="s">
        <v>25</v>
      </c>
      <c r="L52" s="90" t="s">
        <v>25</v>
      </c>
      <c r="M52" s="90" t="s">
        <v>25</v>
      </c>
      <c r="N52" s="90" t="s">
        <v>25</v>
      </c>
      <c r="O52" s="90" t="s">
        <v>25</v>
      </c>
    </row>
    <row r="53">
      <c r="A53" s="21"/>
      <c r="B53" s="145">
        <v>49.0</v>
      </c>
      <c r="C53" s="201" t="s">
        <v>380</v>
      </c>
      <c r="D53" s="201" t="s">
        <v>381</v>
      </c>
      <c r="E53" s="88" t="str">
        <f t="shared" si="2"/>
        <v>9번 중 9번 참여</v>
      </c>
      <c r="F53" s="89">
        <f t="shared" si="3"/>
        <v>1</v>
      </c>
      <c r="G53" s="90" t="s">
        <v>25</v>
      </c>
      <c r="H53" s="90" t="s">
        <v>25</v>
      </c>
      <c r="I53" s="90" t="s">
        <v>25</v>
      </c>
      <c r="J53" s="90" t="s">
        <v>25</v>
      </c>
      <c r="K53" s="90" t="s">
        <v>25</v>
      </c>
      <c r="L53" s="90" t="s">
        <v>25</v>
      </c>
      <c r="M53" s="90" t="s">
        <v>25</v>
      </c>
      <c r="N53" s="90" t="s">
        <v>25</v>
      </c>
      <c r="O53" s="90" t="s">
        <v>25</v>
      </c>
    </row>
    <row r="54">
      <c r="A54" s="203"/>
      <c r="B54" s="204">
        <v>50.0</v>
      </c>
      <c r="C54" s="93" t="s">
        <v>357</v>
      </c>
      <c r="D54" s="93" t="s">
        <v>358</v>
      </c>
      <c r="E54" s="88" t="str">
        <f t="shared" si="2"/>
        <v>9번 중 8번 참여</v>
      </c>
      <c r="F54" s="89">
        <f t="shared" si="3"/>
        <v>0.8888888889</v>
      </c>
      <c r="G54" s="90" t="s">
        <v>25</v>
      </c>
      <c r="H54" s="90" t="s">
        <v>25</v>
      </c>
      <c r="I54" s="90" t="s">
        <v>25</v>
      </c>
      <c r="J54" s="90" t="s">
        <v>25</v>
      </c>
      <c r="K54" s="90" t="s">
        <v>25</v>
      </c>
      <c r="L54" s="90" t="s">
        <v>25</v>
      </c>
      <c r="M54" s="41"/>
      <c r="N54" s="90" t="s">
        <v>25</v>
      </c>
      <c r="O54" s="90" t="s">
        <v>25</v>
      </c>
    </row>
    <row r="55">
      <c r="A55" s="21"/>
      <c r="B55" s="145">
        <v>51.0</v>
      </c>
      <c r="C55" s="201" t="s">
        <v>359</v>
      </c>
      <c r="D55" s="201" t="s">
        <v>360</v>
      </c>
      <c r="E55" s="88" t="str">
        <f t="shared" si="2"/>
        <v>9번 중 6번 참여</v>
      </c>
      <c r="F55" s="89">
        <f t="shared" si="3"/>
        <v>0.6666666667</v>
      </c>
      <c r="G55" s="90" t="s">
        <v>25</v>
      </c>
      <c r="H55" s="41"/>
      <c r="I55" s="41"/>
      <c r="J55" s="90" t="s">
        <v>25</v>
      </c>
      <c r="K55" s="41"/>
      <c r="L55" s="90" t="s">
        <v>25</v>
      </c>
      <c r="M55" s="90" t="s">
        <v>25</v>
      </c>
      <c r="N55" s="90" t="s">
        <v>25</v>
      </c>
      <c r="O55" s="90" t="s">
        <v>25</v>
      </c>
    </row>
    <row r="56">
      <c r="A56" s="203"/>
      <c r="B56" s="204">
        <v>52.0</v>
      </c>
      <c r="C56" s="93" t="s">
        <v>111</v>
      </c>
      <c r="D56" s="93" t="s">
        <v>112</v>
      </c>
      <c r="E56" s="88" t="str">
        <f t="shared" si="2"/>
        <v>9번 중 9번 참여</v>
      </c>
      <c r="F56" s="89">
        <f t="shared" si="3"/>
        <v>1</v>
      </c>
      <c r="G56" s="90" t="s">
        <v>25</v>
      </c>
      <c r="H56" s="90" t="s">
        <v>25</v>
      </c>
      <c r="I56" s="90" t="s">
        <v>25</v>
      </c>
      <c r="J56" s="90" t="s">
        <v>25</v>
      </c>
      <c r="K56" s="90" t="s">
        <v>25</v>
      </c>
      <c r="L56" s="90" t="s">
        <v>25</v>
      </c>
      <c r="M56" s="90" t="s">
        <v>25</v>
      </c>
      <c r="N56" s="90" t="s">
        <v>25</v>
      </c>
      <c r="O56" s="90" t="s">
        <v>25</v>
      </c>
    </row>
    <row r="57">
      <c r="A57" s="21"/>
      <c r="B57" s="145">
        <v>53.0</v>
      </c>
      <c r="C57" s="201" t="s">
        <v>113</v>
      </c>
      <c r="D57" s="201" t="s">
        <v>114</v>
      </c>
      <c r="E57" s="88" t="str">
        <f t="shared" si="2"/>
        <v>9번 중 9번 참여</v>
      </c>
      <c r="F57" s="89">
        <f t="shared" si="3"/>
        <v>1</v>
      </c>
      <c r="G57" s="90" t="s">
        <v>25</v>
      </c>
      <c r="H57" s="90" t="s">
        <v>25</v>
      </c>
      <c r="I57" s="90" t="s">
        <v>25</v>
      </c>
      <c r="J57" s="90" t="s">
        <v>25</v>
      </c>
      <c r="K57" s="90" t="s">
        <v>25</v>
      </c>
      <c r="L57" s="90" t="s">
        <v>25</v>
      </c>
      <c r="M57" s="90" t="s">
        <v>25</v>
      </c>
      <c r="N57" s="90" t="s">
        <v>25</v>
      </c>
      <c r="O57" s="90" t="s">
        <v>25</v>
      </c>
    </row>
    <row r="58">
      <c r="A58" s="203"/>
      <c r="B58" s="204">
        <v>54.0</v>
      </c>
      <c r="C58" s="93" t="s">
        <v>361</v>
      </c>
      <c r="D58" s="93" t="s">
        <v>362</v>
      </c>
      <c r="E58" s="88" t="str">
        <f t="shared" si="2"/>
        <v>9번 중 6번 참여</v>
      </c>
      <c r="F58" s="89">
        <f t="shared" si="3"/>
        <v>0.6666666667</v>
      </c>
      <c r="G58" s="41"/>
      <c r="H58" s="41"/>
      <c r="I58" s="90" t="s">
        <v>25</v>
      </c>
      <c r="J58" s="90" t="s">
        <v>25</v>
      </c>
      <c r="K58" s="90" t="s">
        <v>25</v>
      </c>
      <c r="L58" s="41"/>
      <c r="M58" s="90" t="s">
        <v>25</v>
      </c>
      <c r="N58" s="90" t="s">
        <v>25</v>
      </c>
      <c r="O58" s="90" t="s">
        <v>25</v>
      </c>
    </row>
    <row r="59">
      <c r="A59" s="21"/>
      <c r="B59" s="145">
        <v>55.0</v>
      </c>
      <c r="C59" s="201" t="s">
        <v>132</v>
      </c>
      <c r="D59" s="201" t="s">
        <v>133</v>
      </c>
      <c r="E59" s="88" t="str">
        <f t="shared" si="2"/>
        <v>9번 중 9번 참여</v>
      </c>
      <c r="F59" s="89">
        <f t="shared" si="3"/>
        <v>1</v>
      </c>
      <c r="G59" s="90" t="s">
        <v>25</v>
      </c>
      <c r="H59" s="90" t="s">
        <v>25</v>
      </c>
      <c r="I59" s="90" t="s">
        <v>25</v>
      </c>
      <c r="J59" s="90" t="s">
        <v>25</v>
      </c>
      <c r="K59" s="90" t="s">
        <v>25</v>
      </c>
      <c r="L59" s="90" t="s">
        <v>25</v>
      </c>
      <c r="M59" s="90" t="s">
        <v>25</v>
      </c>
      <c r="N59" s="90" t="s">
        <v>25</v>
      </c>
      <c r="O59" s="90" t="s">
        <v>25</v>
      </c>
    </row>
    <row r="60">
      <c r="A60" s="210" t="s">
        <v>424</v>
      </c>
      <c r="B60" s="204">
        <v>56.0</v>
      </c>
      <c r="C60" s="93" t="s">
        <v>283</v>
      </c>
      <c r="D60" s="93" t="s">
        <v>119</v>
      </c>
      <c r="E60" s="88" t="str">
        <f t="shared" si="2"/>
        <v>9번 중 9번 참여</v>
      </c>
      <c r="F60" s="89">
        <f t="shared" si="3"/>
        <v>1</v>
      </c>
      <c r="G60" s="90" t="s">
        <v>25</v>
      </c>
      <c r="H60" s="90" t="s">
        <v>25</v>
      </c>
      <c r="I60" s="90" t="s">
        <v>25</v>
      </c>
      <c r="J60" s="90" t="s">
        <v>25</v>
      </c>
      <c r="K60" s="90" t="s">
        <v>25</v>
      </c>
      <c r="L60" s="90" t="s">
        <v>25</v>
      </c>
      <c r="M60" s="90" t="s">
        <v>25</v>
      </c>
      <c r="N60" s="90" t="s">
        <v>25</v>
      </c>
      <c r="O60" s="90" t="s">
        <v>25</v>
      </c>
    </row>
    <row r="61">
      <c r="A61" s="21"/>
      <c r="B61" s="145">
        <v>57.0</v>
      </c>
      <c r="C61" s="201" t="s">
        <v>363</v>
      </c>
      <c r="D61" s="201" t="s">
        <v>364</v>
      </c>
      <c r="E61" s="88" t="str">
        <f t="shared" si="2"/>
        <v>9번 중 8번 참여</v>
      </c>
      <c r="F61" s="89">
        <f t="shared" si="3"/>
        <v>0.8888888889</v>
      </c>
      <c r="G61" s="90" t="s">
        <v>25</v>
      </c>
      <c r="H61" s="41"/>
      <c r="I61" s="90" t="s">
        <v>25</v>
      </c>
      <c r="J61" s="90" t="s">
        <v>25</v>
      </c>
      <c r="K61" s="90" t="s">
        <v>25</v>
      </c>
      <c r="L61" s="90" t="s">
        <v>25</v>
      </c>
      <c r="M61" s="90" t="s">
        <v>25</v>
      </c>
      <c r="N61" s="90" t="s">
        <v>25</v>
      </c>
      <c r="O61" s="90" t="s">
        <v>25</v>
      </c>
    </row>
    <row r="62">
      <c r="A62" s="29"/>
      <c r="B62" s="145">
        <v>58.0</v>
      </c>
      <c r="C62" s="98" t="s">
        <v>28</v>
      </c>
      <c r="D62" s="98" t="s">
        <v>70</v>
      </c>
      <c r="E62" s="88" t="str">
        <f t="shared" si="2"/>
        <v>9번 중 9번 참여</v>
      </c>
      <c r="F62" s="89">
        <f t="shared" si="3"/>
        <v>1</v>
      </c>
      <c r="G62" s="90" t="s">
        <v>25</v>
      </c>
      <c r="H62" s="90" t="s">
        <v>25</v>
      </c>
      <c r="I62" s="90" t="s">
        <v>25</v>
      </c>
      <c r="J62" s="90" t="s">
        <v>25</v>
      </c>
      <c r="K62" s="90" t="s">
        <v>25</v>
      </c>
      <c r="L62" s="90" t="s">
        <v>25</v>
      </c>
      <c r="M62" s="90" t="s">
        <v>25</v>
      </c>
      <c r="N62" s="90" t="s">
        <v>25</v>
      </c>
      <c r="O62" s="90" t="s">
        <v>25</v>
      </c>
    </row>
    <row r="63">
      <c r="A63" s="21"/>
      <c r="B63" s="209">
        <v>59.0</v>
      </c>
      <c r="C63" s="153" t="s">
        <v>367</v>
      </c>
      <c r="D63" s="153" t="s">
        <v>368</v>
      </c>
      <c r="E63" s="88" t="str">
        <f t="shared" si="2"/>
        <v>9번 중 2번 참여</v>
      </c>
      <c r="F63" s="89">
        <f t="shared" si="3"/>
        <v>0.2222222222</v>
      </c>
      <c r="G63" s="41"/>
      <c r="H63" s="41"/>
      <c r="I63" s="41"/>
      <c r="J63" s="41"/>
      <c r="K63" s="90" t="s">
        <v>25</v>
      </c>
      <c r="L63" s="90" t="s">
        <v>25</v>
      </c>
      <c r="M63" s="41"/>
      <c r="N63" s="41"/>
      <c r="O63" s="41"/>
    </row>
    <row r="64">
      <c r="A64" s="203"/>
      <c r="B64" s="204">
        <v>60.0</v>
      </c>
      <c r="C64" s="93" t="s">
        <v>369</v>
      </c>
      <c r="D64" s="93" t="s">
        <v>108</v>
      </c>
      <c r="E64" s="88" t="str">
        <f t="shared" si="2"/>
        <v>9번 중 8번 참여</v>
      </c>
      <c r="F64" s="89">
        <f t="shared" si="3"/>
        <v>0.8888888889</v>
      </c>
      <c r="G64" s="90" t="s">
        <v>25</v>
      </c>
      <c r="H64" s="90" t="s">
        <v>25</v>
      </c>
      <c r="I64" s="90" t="s">
        <v>25</v>
      </c>
      <c r="J64" s="90" t="s">
        <v>25</v>
      </c>
      <c r="K64" s="90" t="s">
        <v>25</v>
      </c>
      <c r="L64" s="90" t="s">
        <v>25</v>
      </c>
      <c r="M64" s="90" t="s">
        <v>25</v>
      </c>
      <c r="N64" s="90" t="s">
        <v>25</v>
      </c>
      <c r="O64" s="41"/>
    </row>
    <row r="65">
      <c r="A65" s="21"/>
      <c r="B65" s="145">
        <v>61.0</v>
      </c>
      <c r="C65" s="201" t="s">
        <v>370</v>
      </c>
      <c r="D65" s="201" t="s">
        <v>139</v>
      </c>
      <c r="E65" s="88" t="str">
        <f t="shared" si="2"/>
        <v>9번 중 9번 참여</v>
      </c>
      <c r="F65" s="89">
        <f t="shared" si="3"/>
        <v>1</v>
      </c>
      <c r="G65" s="90" t="s">
        <v>25</v>
      </c>
      <c r="H65" s="90" t="s">
        <v>25</v>
      </c>
      <c r="I65" s="90" t="s">
        <v>25</v>
      </c>
      <c r="J65" s="90" t="s">
        <v>25</v>
      </c>
      <c r="K65" s="90" t="s">
        <v>25</v>
      </c>
      <c r="L65" s="90" t="s">
        <v>25</v>
      </c>
      <c r="M65" s="90" t="s">
        <v>25</v>
      </c>
      <c r="N65" s="90" t="s">
        <v>25</v>
      </c>
      <c r="O65" s="90" t="s">
        <v>25</v>
      </c>
    </row>
    <row r="66">
      <c r="A66" s="203"/>
      <c r="B66" s="204">
        <v>62.0</v>
      </c>
      <c r="C66" s="93" t="s">
        <v>371</v>
      </c>
      <c r="D66" s="93" t="s">
        <v>137</v>
      </c>
      <c r="E66" s="88" t="str">
        <f t="shared" si="2"/>
        <v>9번 중 9번 참여</v>
      </c>
      <c r="F66" s="89">
        <f t="shared" si="3"/>
        <v>1</v>
      </c>
      <c r="G66" s="90" t="s">
        <v>25</v>
      </c>
      <c r="H66" s="90" t="s">
        <v>25</v>
      </c>
      <c r="I66" s="90" t="s">
        <v>25</v>
      </c>
      <c r="J66" s="90" t="s">
        <v>25</v>
      </c>
      <c r="K66" s="90" t="s">
        <v>25</v>
      </c>
      <c r="L66" s="90" t="s">
        <v>25</v>
      </c>
      <c r="M66" s="90" t="s">
        <v>25</v>
      </c>
      <c r="N66" s="90" t="s">
        <v>25</v>
      </c>
      <c r="O66" s="90" t="s">
        <v>25</v>
      </c>
    </row>
    <row r="67">
      <c r="A67" s="21"/>
      <c r="B67" s="145">
        <v>63.0</v>
      </c>
      <c r="C67" s="201" t="s">
        <v>142</v>
      </c>
      <c r="D67" s="201" t="s">
        <v>143</v>
      </c>
      <c r="E67" s="88" t="str">
        <f t="shared" si="2"/>
        <v>9번 중 6번 참여</v>
      </c>
      <c r="F67" s="89">
        <f t="shared" si="3"/>
        <v>0.6666666667</v>
      </c>
      <c r="G67" s="90" t="s">
        <v>25</v>
      </c>
      <c r="H67" s="90" t="s">
        <v>25</v>
      </c>
      <c r="I67" s="90" t="s">
        <v>25</v>
      </c>
      <c r="J67" s="41"/>
      <c r="K67" s="90" t="s">
        <v>25</v>
      </c>
      <c r="L67" s="90" t="s">
        <v>25</v>
      </c>
      <c r="M67" s="41"/>
      <c r="N67" s="90" t="s">
        <v>25</v>
      </c>
      <c r="O67" s="41"/>
    </row>
    <row r="68">
      <c r="A68" s="203"/>
      <c r="B68" s="204">
        <v>64.0</v>
      </c>
      <c r="C68" s="93" t="s">
        <v>144</v>
      </c>
      <c r="D68" s="93" t="s">
        <v>145</v>
      </c>
      <c r="E68" s="88" t="str">
        <f t="shared" si="2"/>
        <v>9번 중 6번 참여</v>
      </c>
      <c r="F68" s="89">
        <f t="shared" si="3"/>
        <v>0.6666666667</v>
      </c>
      <c r="G68" s="90" t="s">
        <v>25</v>
      </c>
      <c r="H68" s="90" t="s">
        <v>25</v>
      </c>
      <c r="I68" s="90" t="s">
        <v>25</v>
      </c>
      <c r="J68" s="41"/>
      <c r="K68" s="90" t="s">
        <v>25</v>
      </c>
      <c r="L68" s="90" t="s">
        <v>25</v>
      </c>
      <c r="M68" s="41"/>
      <c r="N68" s="90" t="s">
        <v>25</v>
      </c>
      <c r="O68" s="41"/>
    </row>
    <row r="69">
      <c r="A69" s="21"/>
      <c r="B69" s="145">
        <v>65.0</v>
      </c>
      <c r="C69" s="201" t="s">
        <v>146</v>
      </c>
      <c r="D69" s="201" t="s">
        <v>147</v>
      </c>
      <c r="E69" s="88" t="str">
        <f t="shared" si="2"/>
        <v>9번 중 9번 참여</v>
      </c>
      <c r="F69" s="89">
        <f t="shared" si="3"/>
        <v>1</v>
      </c>
      <c r="G69" s="90" t="s">
        <v>25</v>
      </c>
      <c r="H69" s="90" t="s">
        <v>25</v>
      </c>
      <c r="I69" s="90" t="s">
        <v>25</v>
      </c>
      <c r="J69" s="90" t="s">
        <v>25</v>
      </c>
      <c r="K69" s="90" t="s">
        <v>25</v>
      </c>
      <c r="L69" s="90" t="s">
        <v>25</v>
      </c>
      <c r="M69" s="90" t="s">
        <v>25</v>
      </c>
      <c r="N69" s="90" t="s">
        <v>25</v>
      </c>
      <c r="O69" s="90" t="s">
        <v>25</v>
      </c>
    </row>
    <row r="70">
      <c r="A70" s="203"/>
      <c r="B70" s="204">
        <v>66.0</v>
      </c>
      <c r="C70" s="93" t="s">
        <v>148</v>
      </c>
      <c r="D70" s="93" t="s">
        <v>149</v>
      </c>
      <c r="E70" s="88" t="str">
        <f t="shared" si="2"/>
        <v>9번 중 9번 참여</v>
      </c>
      <c r="F70" s="89">
        <f t="shared" si="3"/>
        <v>1</v>
      </c>
      <c r="G70" s="90" t="s">
        <v>25</v>
      </c>
      <c r="H70" s="90" t="s">
        <v>25</v>
      </c>
      <c r="I70" s="90" t="s">
        <v>25</v>
      </c>
      <c r="J70" s="90" t="s">
        <v>25</v>
      </c>
      <c r="K70" s="90" t="s">
        <v>25</v>
      </c>
      <c r="L70" s="90" t="s">
        <v>25</v>
      </c>
      <c r="M70" s="90" t="s">
        <v>25</v>
      </c>
      <c r="N70" s="90" t="s">
        <v>25</v>
      </c>
      <c r="O70" s="90" t="s">
        <v>25</v>
      </c>
    </row>
    <row r="71">
      <c r="A71" s="21"/>
      <c r="B71" s="145">
        <v>67.0</v>
      </c>
      <c r="C71" s="201" t="s">
        <v>378</v>
      </c>
      <c r="D71" s="201" t="s">
        <v>379</v>
      </c>
      <c r="E71" s="88" t="str">
        <f t="shared" si="2"/>
        <v>9번 중 8번 참여</v>
      </c>
      <c r="F71" s="89">
        <f t="shared" si="3"/>
        <v>0.8888888889</v>
      </c>
      <c r="G71" s="90" t="s">
        <v>25</v>
      </c>
      <c r="H71" s="90" t="s">
        <v>25</v>
      </c>
      <c r="I71" s="90" t="s">
        <v>25</v>
      </c>
      <c r="J71" s="90" t="s">
        <v>25</v>
      </c>
      <c r="K71" s="90" t="s">
        <v>25</v>
      </c>
      <c r="L71" s="90" t="s">
        <v>25</v>
      </c>
      <c r="M71" s="90" t="s">
        <v>25</v>
      </c>
      <c r="N71" s="41"/>
      <c r="O71" s="90" t="s">
        <v>25</v>
      </c>
    </row>
    <row r="72">
      <c r="A72" s="29"/>
      <c r="B72" s="145">
        <v>68.0</v>
      </c>
      <c r="C72" s="101" t="s">
        <v>140</v>
      </c>
      <c r="D72" s="101" t="s">
        <v>141</v>
      </c>
      <c r="E72" s="88" t="str">
        <f t="shared" si="2"/>
        <v>9번 중 9번 참여</v>
      </c>
      <c r="F72" s="89">
        <f t="shared" si="3"/>
        <v>1</v>
      </c>
      <c r="G72" s="90" t="s">
        <v>25</v>
      </c>
      <c r="H72" s="90" t="s">
        <v>25</v>
      </c>
      <c r="I72" s="90" t="s">
        <v>25</v>
      </c>
      <c r="J72" s="90" t="s">
        <v>25</v>
      </c>
      <c r="K72" s="90" t="s">
        <v>25</v>
      </c>
      <c r="L72" s="90" t="s">
        <v>25</v>
      </c>
      <c r="M72" s="90" t="s">
        <v>25</v>
      </c>
      <c r="N72" s="90" t="s">
        <v>25</v>
      </c>
      <c r="O72" s="90" t="s">
        <v>25</v>
      </c>
    </row>
    <row r="73">
      <c r="A73" s="21"/>
      <c r="B73" s="145">
        <v>69.0</v>
      </c>
      <c r="C73" s="95" t="s">
        <v>150</v>
      </c>
      <c r="D73" s="211" t="s">
        <v>151</v>
      </c>
      <c r="E73" s="88" t="str">
        <f t="shared" si="2"/>
        <v>9번 중 9번 참여</v>
      </c>
      <c r="F73" s="89">
        <f t="shared" si="3"/>
        <v>1</v>
      </c>
      <c r="G73" s="90" t="s">
        <v>25</v>
      </c>
      <c r="H73" s="90" t="s">
        <v>25</v>
      </c>
      <c r="I73" s="90" t="s">
        <v>25</v>
      </c>
      <c r="J73" s="90" t="s">
        <v>25</v>
      </c>
      <c r="K73" s="90" t="s">
        <v>25</v>
      </c>
      <c r="L73" s="90" t="s">
        <v>25</v>
      </c>
      <c r="M73" s="90" t="s">
        <v>25</v>
      </c>
      <c r="N73" s="90" t="s">
        <v>25</v>
      </c>
      <c r="O73" s="90" t="s">
        <v>25</v>
      </c>
    </row>
    <row r="74">
      <c r="A74" s="29"/>
      <c r="B74" s="145">
        <v>70.0</v>
      </c>
      <c r="C74" s="101" t="s">
        <v>152</v>
      </c>
      <c r="D74" s="101" t="s">
        <v>153</v>
      </c>
      <c r="E74" s="88" t="str">
        <f t="shared" si="2"/>
        <v>9번 중 9번 참여</v>
      </c>
      <c r="F74" s="89">
        <f t="shared" si="3"/>
        <v>1</v>
      </c>
      <c r="G74" s="90" t="s">
        <v>25</v>
      </c>
      <c r="H74" s="90" t="s">
        <v>25</v>
      </c>
      <c r="I74" s="90" t="s">
        <v>25</v>
      </c>
      <c r="J74" s="90" t="s">
        <v>25</v>
      </c>
      <c r="K74" s="90" t="s">
        <v>25</v>
      </c>
      <c r="L74" s="90" t="s">
        <v>25</v>
      </c>
      <c r="M74" s="90" t="s">
        <v>25</v>
      </c>
      <c r="N74" s="90" t="s">
        <v>25</v>
      </c>
      <c r="O74" s="90" t="s">
        <v>25</v>
      </c>
    </row>
    <row r="75">
      <c r="A75" s="21"/>
      <c r="B75" s="145">
        <v>71.0</v>
      </c>
      <c r="C75" s="95" t="s">
        <v>386</v>
      </c>
      <c r="D75" s="101" t="s">
        <v>387</v>
      </c>
      <c r="E75" s="88" t="str">
        <f t="shared" si="2"/>
        <v>9번 중 8번 참여</v>
      </c>
      <c r="F75" s="89">
        <f t="shared" si="3"/>
        <v>0.8888888889</v>
      </c>
      <c r="G75" s="41"/>
      <c r="H75" s="90" t="s">
        <v>25</v>
      </c>
      <c r="I75" s="90" t="s">
        <v>25</v>
      </c>
      <c r="J75" s="90" t="s">
        <v>25</v>
      </c>
      <c r="K75" s="90" t="s">
        <v>25</v>
      </c>
      <c r="L75" s="90" t="s">
        <v>25</v>
      </c>
      <c r="M75" s="90" t="s">
        <v>25</v>
      </c>
      <c r="N75" s="90" t="s">
        <v>25</v>
      </c>
      <c r="O75" s="90" t="s">
        <v>25</v>
      </c>
    </row>
    <row r="76">
      <c r="A76" s="29"/>
      <c r="B76" s="145">
        <v>72.0</v>
      </c>
      <c r="C76" s="101" t="s">
        <v>156</v>
      </c>
      <c r="D76" s="101" t="s">
        <v>157</v>
      </c>
      <c r="E76" s="88" t="str">
        <f t="shared" si="2"/>
        <v>9번 중 9번 참여</v>
      </c>
      <c r="F76" s="89">
        <f t="shared" si="3"/>
        <v>1</v>
      </c>
      <c r="G76" s="90" t="s">
        <v>25</v>
      </c>
      <c r="H76" s="90" t="s">
        <v>25</v>
      </c>
      <c r="I76" s="90" t="s">
        <v>25</v>
      </c>
      <c r="J76" s="90" t="s">
        <v>25</v>
      </c>
      <c r="K76" s="90" t="s">
        <v>25</v>
      </c>
      <c r="L76" s="90" t="s">
        <v>25</v>
      </c>
      <c r="M76" s="90" t="s">
        <v>25</v>
      </c>
      <c r="N76" s="90" t="s">
        <v>25</v>
      </c>
      <c r="O76" s="90" t="s">
        <v>25</v>
      </c>
    </row>
    <row r="77">
      <c r="A77" s="21"/>
      <c r="B77" s="212">
        <v>73.0</v>
      </c>
      <c r="C77" s="213" t="s">
        <v>425</v>
      </c>
      <c r="D77" s="213" t="s">
        <v>426</v>
      </c>
      <c r="E77" s="88" t="str">
        <f t="shared" si="2"/>
        <v>9번 중 9번 참여</v>
      </c>
      <c r="F77" s="89">
        <f t="shared" si="3"/>
        <v>1</v>
      </c>
      <c r="G77" s="90" t="s">
        <v>25</v>
      </c>
      <c r="H77" s="90" t="s">
        <v>25</v>
      </c>
      <c r="I77" s="90" t="s">
        <v>25</v>
      </c>
      <c r="J77" s="90" t="s">
        <v>25</v>
      </c>
      <c r="K77" s="90" t="s">
        <v>25</v>
      </c>
      <c r="L77" s="90" t="s">
        <v>25</v>
      </c>
      <c r="M77" s="90" t="s">
        <v>25</v>
      </c>
      <c r="N77" s="90" t="s">
        <v>25</v>
      </c>
      <c r="O77" s="90" t="s">
        <v>25</v>
      </c>
    </row>
    <row r="78">
      <c r="A78" s="29"/>
      <c r="B78" s="145">
        <v>74.0</v>
      </c>
      <c r="C78" s="101" t="s">
        <v>427</v>
      </c>
      <c r="D78" s="101" t="s">
        <v>428</v>
      </c>
      <c r="E78" s="88" t="str">
        <f t="shared" si="2"/>
        <v>9번 중 7번 참여</v>
      </c>
      <c r="F78" s="89">
        <f t="shared" si="3"/>
        <v>0.7777777778</v>
      </c>
      <c r="G78" s="41"/>
      <c r="H78" s="90" t="s">
        <v>25</v>
      </c>
      <c r="I78" s="90" t="s">
        <v>25</v>
      </c>
      <c r="J78" s="90" t="s">
        <v>25</v>
      </c>
      <c r="K78" s="90" t="s">
        <v>25</v>
      </c>
      <c r="L78" s="90" t="s">
        <v>25</v>
      </c>
      <c r="M78" s="90" t="s">
        <v>25</v>
      </c>
      <c r="N78" s="41"/>
      <c r="O78" s="90" t="s">
        <v>25</v>
      </c>
    </row>
    <row r="79">
      <c r="A79" s="21"/>
      <c r="B79" s="145">
        <v>75.0</v>
      </c>
      <c r="C79" s="95" t="s">
        <v>162</v>
      </c>
      <c r="D79" s="95" t="s">
        <v>163</v>
      </c>
      <c r="E79" s="88" t="str">
        <f t="shared" si="2"/>
        <v>9번 중 9번 참여</v>
      </c>
      <c r="F79" s="89">
        <f t="shared" si="3"/>
        <v>1</v>
      </c>
      <c r="G79" s="90" t="s">
        <v>25</v>
      </c>
      <c r="H79" s="90" t="s">
        <v>25</v>
      </c>
      <c r="I79" s="90" t="s">
        <v>25</v>
      </c>
      <c r="J79" s="90" t="s">
        <v>25</v>
      </c>
      <c r="K79" s="90" t="s">
        <v>25</v>
      </c>
      <c r="L79" s="90" t="s">
        <v>25</v>
      </c>
      <c r="M79" s="90" t="s">
        <v>25</v>
      </c>
      <c r="N79" s="90" t="s">
        <v>25</v>
      </c>
      <c r="O79" s="90" t="s">
        <v>25</v>
      </c>
    </row>
    <row r="80">
      <c r="A80" s="29"/>
      <c r="B80" s="145">
        <v>76.0</v>
      </c>
      <c r="C80" s="95" t="s">
        <v>164</v>
      </c>
      <c r="D80" s="95" t="s">
        <v>165</v>
      </c>
      <c r="E80" s="88" t="str">
        <f t="shared" si="2"/>
        <v>9번 중 8번 참여</v>
      </c>
      <c r="F80" s="89">
        <f t="shared" si="3"/>
        <v>0.8888888889</v>
      </c>
      <c r="G80" s="90" t="s">
        <v>25</v>
      </c>
      <c r="H80" s="90" t="s">
        <v>25</v>
      </c>
      <c r="I80" s="90" t="s">
        <v>25</v>
      </c>
      <c r="J80" s="90" t="s">
        <v>25</v>
      </c>
      <c r="K80" s="90" t="s">
        <v>25</v>
      </c>
      <c r="L80" s="90" t="s">
        <v>25</v>
      </c>
      <c r="M80" s="90" t="s">
        <v>25</v>
      </c>
      <c r="N80" s="90" t="s">
        <v>25</v>
      </c>
      <c r="O80" s="41"/>
    </row>
    <row r="81">
      <c r="A81" s="21"/>
      <c r="B81" s="145">
        <v>77.0</v>
      </c>
      <c r="C81" s="95" t="s">
        <v>66</v>
      </c>
      <c r="D81" s="101" t="s">
        <v>67</v>
      </c>
      <c r="E81" s="88" t="str">
        <f t="shared" si="2"/>
        <v>9번 중 8번 참여</v>
      </c>
      <c r="F81" s="89">
        <f t="shared" si="3"/>
        <v>0.8888888889</v>
      </c>
      <c r="G81" s="41"/>
      <c r="H81" s="90" t="s">
        <v>25</v>
      </c>
      <c r="I81" s="90" t="s">
        <v>25</v>
      </c>
      <c r="J81" s="90" t="s">
        <v>25</v>
      </c>
      <c r="K81" s="90" t="s">
        <v>25</v>
      </c>
      <c r="L81" s="90" t="s">
        <v>25</v>
      </c>
      <c r="M81" s="90" t="s">
        <v>25</v>
      </c>
      <c r="N81" s="90" t="s">
        <v>25</v>
      </c>
      <c r="O81" s="90" t="s">
        <v>25</v>
      </c>
    </row>
    <row r="82">
      <c r="A82" s="29"/>
      <c r="B82" s="145">
        <v>78.0</v>
      </c>
      <c r="C82" s="101" t="s">
        <v>134</v>
      </c>
      <c r="D82" s="214" t="s">
        <v>429</v>
      </c>
      <c r="E82" s="88" t="str">
        <f t="shared" si="2"/>
        <v>9번 중 7번 참여</v>
      </c>
      <c r="F82" s="89">
        <f t="shared" si="3"/>
        <v>0.7777777778</v>
      </c>
      <c r="G82" s="90" t="s">
        <v>25</v>
      </c>
      <c r="H82" s="41"/>
      <c r="I82" s="41"/>
      <c r="J82" s="90" t="s">
        <v>25</v>
      </c>
      <c r="K82" s="90" t="s">
        <v>25</v>
      </c>
      <c r="L82" s="90" t="s">
        <v>25</v>
      </c>
      <c r="M82" s="90" t="s">
        <v>25</v>
      </c>
      <c r="N82" s="90" t="s">
        <v>25</v>
      </c>
      <c r="O82" s="90" t="s">
        <v>25</v>
      </c>
    </row>
    <row r="83">
      <c r="A83" s="21"/>
      <c r="B83" s="145">
        <v>79.0</v>
      </c>
      <c r="C83" s="95" t="s">
        <v>154</v>
      </c>
      <c r="D83" s="95" t="s">
        <v>155</v>
      </c>
      <c r="E83" s="88" t="str">
        <f t="shared" si="2"/>
        <v>9번 중 9번 참여</v>
      </c>
      <c r="F83" s="89">
        <f t="shared" si="3"/>
        <v>1</v>
      </c>
      <c r="G83" s="90" t="s">
        <v>25</v>
      </c>
      <c r="H83" s="90" t="s">
        <v>25</v>
      </c>
      <c r="I83" s="90" t="s">
        <v>25</v>
      </c>
      <c r="J83" s="90" t="s">
        <v>25</v>
      </c>
      <c r="K83" s="90" t="s">
        <v>25</v>
      </c>
      <c r="L83" s="90" t="s">
        <v>25</v>
      </c>
      <c r="M83" s="90" t="s">
        <v>25</v>
      </c>
      <c r="N83" s="90" t="s">
        <v>25</v>
      </c>
      <c r="O83" s="90" t="s">
        <v>25</v>
      </c>
    </row>
    <row r="84">
      <c r="A84" s="29"/>
      <c r="B84" s="204">
        <v>80.0</v>
      </c>
      <c r="C84" s="94" t="s">
        <v>430</v>
      </c>
      <c r="D84" s="94" t="s">
        <v>431</v>
      </c>
      <c r="E84" s="88" t="str">
        <f t="shared" si="2"/>
        <v>9번 중 4번 참여</v>
      </c>
      <c r="F84" s="89">
        <f t="shared" si="3"/>
        <v>0.4444444444</v>
      </c>
      <c r="G84" s="90" t="s">
        <v>25</v>
      </c>
      <c r="H84" s="90" t="s">
        <v>25</v>
      </c>
      <c r="I84" s="90" t="s">
        <v>25</v>
      </c>
      <c r="J84" s="90" t="s">
        <v>25</v>
      </c>
      <c r="K84" s="41"/>
      <c r="L84" s="41"/>
      <c r="M84" s="41"/>
      <c r="N84" s="41"/>
      <c r="O84" s="41"/>
    </row>
    <row r="85">
      <c r="A85" s="21"/>
      <c r="B85" s="215">
        <v>81.0</v>
      </c>
      <c r="C85" s="101" t="s">
        <v>170</v>
      </c>
      <c r="D85" s="101" t="s">
        <v>171</v>
      </c>
      <c r="E85" s="88" t="str">
        <f t="shared" si="2"/>
        <v>9번 중 9번 참여</v>
      </c>
      <c r="F85" s="89">
        <f t="shared" si="3"/>
        <v>1</v>
      </c>
      <c r="G85" s="90" t="s">
        <v>25</v>
      </c>
      <c r="H85" s="90" t="s">
        <v>25</v>
      </c>
      <c r="I85" s="90" t="s">
        <v>25</v>
      </c>
      <c r="J85" s="90" t="s">
        <v>25</v>
      </c>
      <c r="K85" s="90" t="s">
        <v>25</v>
      </c>
      <c r="L85" s="90" t="s">
        <v>25</v>
      </c>
      <c r="M85" s="90" t="s">
        <v>25</v>
      </c>
      <c r="N85" s="90" t="s">
        <v>25</v>
      </c>
      <c r="O85" s="90" t="s">
        <v>25</v>
      </c>
    </row>
    <row r="86">
      <c r="A86" s="29"/>
      <c r="B86" s="145">
        <v>82.0</v>
      </c>
      <c r="C86" s="101" t="s">
        <v>172</v>
      </c>
      <c r="D86" s="101" t="s">
        <v>173</v>
      </c>
      <c r="E86" s="88" t="str">
        <f t="shared" si="2"/>
        <v>9번 중 8번 참여</v>
      </c>
      <c r="F86" s="89">
        <f t="shared" si="3"/>
        <v>0.8888888889</v>
      </c>
      <c r="G86" s="90" t="s">
        <v>25</v>
      </c>
      <c r="H86" s="90" t="s">
        <v>25</v>
      </c>
      <c r="I86" s="90" t="s">
        <v>25</v>
      </c>
      <c r="J86" s="90" t="s">
        <v>25</v>
      </c>
      <c r="K86" s="90" t="s">
        <v>25</v>
      </c>
      <c r="L86" s="90" t="s">
        <v>25</v>
      </c>
      <c r="M86" s="90" t="s">
        <v>25</v>
      </c>
      <c r="N86" s="90" t="s">
        <v>25</v>
      </c>
      <c r="O86" s="90" t="s">
        <v>80</v>
      </c>
    </row>
    <row r="87">
      <c r="A87" s="21"/>
      <c r="B87" s="212">
        <v>83.0</v>
      </c>
      <c r="C87" s="216" t="s">
        <v>422</v>
      </c>
      <c r="D87" s="95" t="s">
        <v>423</v>
      </c>
      <c r="E87" s="88" t="str">
        <f t="shared" si="2"/>
        <v>9번 중 9번 참여</v>
      </c>
      <c r="F87" s="89">
        <f t="shared" si="3"/>
        <v>1</v>
      </c>
      <c r="G87" s="90" t="s">
        <v>25</v>
      </c>
      <c r="H87" s="90" t="s">
        <v>25</v>
      </c>
      <c r="I87" s="90" t="s">
        <v>25</v>
      </c>
      <c r="J87" s="90" t="s">
        <v>25</v>
      </c>
      <c r="K87" s="90" t="s">
        <v>25</v>
      </c>
      <c r="L87" s="90" t="s">
        <v>25</v>
      </c>
      <c r="M87" s="90" t="s">
        <v>25</v>
      </c>
      <c r="N87" s="90" t="s">
        <v>25</v>
      </c>
      <c r="O87" s="90" t="s">
        <v>25</v>
      </c>
    </row>
    <row r="88">
      <c r="A88" s="29"/>
      <c r="B88" s="209">
        <v>84.0</v>
      </c>
      <c r="C88" s="153" t="s">
        <v>384</v>
      </c>
      <c r="D88" s="153" t="s">
        <v>385</v>
      </c>
      <c r="E88" s="88" t="str">
        <f t="shared" si="2"/>
        <v>9번 중 2번 참여</v>
      </c>
      <c r="F88" s="89">
        <f t="shared" si="3"/>
        <v>0.2222222222</v>
      </c>
      <c r="G88" s="90" t="s">
        <v>25</v>
      </c>
      <c r="H88" s="41"/>
      <c r="I88" s="90" t="s">
        <v>25</v>
      </c>
      <c r="J88" s="41"/>
      <c r="K88" s="41"/>
      <c r="L88" s="41"/>
      <c r="M88" s="90" t="s">
        <v>80</v>
      </c>
      <c r="N88" s="41"/>
      <c r="O88" s="41"/>
    </row>
    <row r="89">
      <c r="A89" s="21"/>
      <c r="B89" s="209">
        <v>85.0</v>
      </c>
      <c r="C89" s="153" t="s">
        <v>331</v>
      </c>
      <c r="D89" s="153" t="s">
        <v>332</v>
      </c>
      <c r="E89" s="88" t="str">
        <f t="shared" si="2"/>
        <v/>
      </c>
      <c r="F89" s="89" t="str">
        <f t="shared" si="3"/>
        <v/>
      </c>
      <c r="G89" s="41"/>
      <c r="H89" s="41"/>
      <c r="I89" s="41"/>
      <c r="J89" s="41"/>
      <c r="K89" s="41"/>
      <c r="L89" s="41"/>
      <c r="M89" s="41"/>
      <c r="N89" s="41"/>
      <c r="O89" s="41"/>
    </row>
    <row r="90">
      <c r="A90" s="29"/>
      <c r="B90" s="217">
        <v>86.0</v>
      </c>
      <c r="C90" s="218" t="s">
        <v>339</v>
      </c>
      <c r="D90" s="219" t="s">
        <v>340</v>
      </c>
      <c r="E90" s="88" t="str">
        <f t="shared" si="2"/>
        <v>9번 중 5번 참여</v>
      </c>
      <c r="F90" s="89">
        <f t="shared" si="3"/>
        <v>0.5555555556</v>
      </c>
      <c r="G90" s="90" t="s">
        <v>25</v>
      </c>
      <c r="H90" s="41"/>
      <c r="I90" s="90" t="s">
        <v>25</v>
      </c>
      <c r="J90" s="90" t="s">
        <v>25</v>
      </c>
      <c r="K90" s="41"/>
      <c r="L90" s="90" t="s">
        <v>25</v>
      </c>
      <c r="M90" s="90" t="s">
        <v>25</v>
      </c>
      <c r="N90" s="41"/>
      <c r="O90" s="41"/>
    </row>
    <row r="91">
      <c r="A91" s="21"/>
      <c r="B91" s="209">
        <v>87.0</v>
      </c>
      <c r="C91" s="153" t="s">
        <v>341</v>
      </c>
      <c r="D91" s="153" t="s">
        <v>342</v>
      </c>
      <c r="E91" s="88" t="str">
        <f t="shared" si="2"/>
        <v/>
      </c>
      <c r="F91" s="89" t="str">
        <f t="shared" si="3"/>
        <v/>
      </c>
      <c r="G91" s="41"/>
      <c r="H91" s="41"/>
      <c r="I91" s="41"/>
      <c r="J91" s="41"/>
      <c r="K91" s="41"/>
      <c r="L91" s="41"/>
      <c r="M91" s="41"/>
      <c r="N91" s="41"/>
      <c r="O91" s="41"/>
    </row>
    <row r="92">
      <c r="A92" s="29"/>
      <c r="B92" s="209">
        <v>88.0</v>
      </c>
      <c r="C92" s="153" t="s">
        <v>376</v>
      </c>
      <c r="D92" s="153" t="s">
        <v>377</v>
      </c>
      <c r="E92" s="88" t="str">
        <f t="shared" si="2"/>
        <v/>
      </c>
      <c r="F92" s="89" t="str">
        <f t="shared" si="3"/>
        <v/>
      </c>
      <c r="G92" s="41"/>
      <c r="H92" s="41"/>
      <c r="I92" s="41"/>
      <c r="J92" s="41"/>
      <c r="K92" s="41"/>
      <c r="L92" s="41"/>
      <c r="M92" s="41"/>
      <c r="N92" s="41"/>
      <c r="O92" s="41"/>
    </row>
    <row r="93">
      <c r="A93" s="220"/>
      <c r="B93" s="209">
        <v>89.0</v>
      </c>
      <c r="C93" s="153" t="s">
        <v>355</v>
      </c>
      <c r="D93" s="153" t="s">
        <v>356</v>
      </c>
      <c r="E93" s="88" t="str">
        <f t="shared" si="2"/>
        <v/>
      </c>
      <c r="F93" s="89" t="str">
        <f t="shared" si="3"/>
        <v/>
      </c>
      <c r="G93" s="41"/>
      <c r="H93" s="41"/>
      <c r="I93" s="41"/>
      <c r="J93" s="41"/>
      <c r="K93" s="41"/>
      <c r="L93" s="41"/>
      <c r="M93" s="41"/>
      <c r="N93" s="41"/>
      <c r="O93" s="41"/>
    </row>
    <row r="94">
      <c r="A94" s="29"/>
      <c r="B94" s="209">
        <v>90.0</v>
      </c>
      <c r="C94" s="153" t="s">
        <v>365</v>
      </c>
      <c r="D94" s="153" t="s">
        <v>366</v>
      </c>
      <c r="E94" s="88" t="str">
        <f t="shared" si="2"/>
        <v/>
      </c>
      <c r="F94" s="89" t="str">
        <f t="shared" si="3"/>
        <v/>
      </c>
      <c r="G94" s="41"/>
      <c r="H94" s="41"/>
      <c r="I94" s="41"/>
      <c r="J94" s="41"/>
      <c r="K94" s="41"/>
      <c r="L94" s="41"/>
      <c r="M94" s="41"/>
      <c r="N94" s="41"/>
      <c r="O94" s="41"/>
    </row>
    <row r="95">
      <c r="A95" s="21"/>
      <c r="B95" s="209">
        <v>91.0</v>
      </c>
      <c r="C95" s="153" t="s">
        <v>392</v>
      </c>
      <c r="D95" s="153" t="s">
        <v>393</v>
      </c>
      <c r="E95" s="88" t="str">
        <f t="shared" si="2"/>
        <v>9번 중 1번 참여</v>
      </c>
      <c r="F95" s="89">
        <f t="shared" si="3"/>
        <v>0.1111111111</v>
      </c>
      <c r="G95" s="90" t="s">
        <v>25</v>
      </c>
      <c r="H95" s="41"/>
      <c r="I95" s="41"/>
      <c r="J95" s="41"/>
      <c r="K95" s="41"/>
      <c r="L95" s="41"/>
      <c r="M95" s="41"/>
      <c r="N95" s="41"/>
      <c r="O95" s="41"/>
    </row>
    <row r="96">
      <c r="A96" s="29"/>
      <c r="B96" s="209">
        <v>92.0</v>
      </c>
      <c r="C96" s="155" t="s">
        <v>432</v>
      </c>
      <c r="D96" s="221" t="s">
        <v>433</v>
      </c>
      <c r="E96" s="88" t="str">
        <f t="shared" si="2"/>
        <v/>
      </c>
      <c r="F96" s="89" t="str">
        <f t="shared" si="3"/>
        <v/>
      </c>
      <c r="G96" s="90" t="s">
        <v>80</v>
      </c>
      <c r="H96" s="41"/>
      <c r="I96" s="41"/>
      <c r="J96" s="41"/>
      <c r="K96" s="41"/>
      <c r="L96" s="41"/>
      <c r="M96" s="41"/>
      <c r="N96" s="41"/>
      <c r="O96" s="41"/>
    </row>
    <row r="97">
      <c r="A97" s="21"/>
      <c r="B97" s="145">
        <v>93.0</v>
      </c>
      <c r="C97" s="101" t="s">
        <v>434</v>
      </c>
      <c r="D97" s="94" t="s">
        <v>181</v>
      </c>
      <c r="E97" s="88" t="str">
        <f t="shared" si="2"/>
        <v>9번 중 2번 참여</v>
      </c>
      <c r="F97" s="89">
        <f t="shared" si="3"/>
        <v>0.2222222222</v>
      </c>
      <c r="G97" s="90" t="s">
        <v>80</v>
      </c>
      <c r="H97" s="90" t="s">
        <v>80</v>
      </c>
      <c r="I97" s="90" t="s">
        <v>80</v>
      </c>
      <c r="J97" s="90" t="s">
        <v>80</v>
      </c>
      <c r="K97" s="41"/>
      <c r="L97" s="41"/>
      <c r="M97" s="41"/>
      <c r="N97" s="90" t="s">
        <v>25</v>
      </c>
      <c r="O97" s="90" t="s">
        <v>25</v>
      </c>
    </row>
    <row r="98">
      <c r="A98" s="29"/>
      <c r="B98" s="145">
        <v>94.0</v>
      </c>
      <c r="C98" s="95"/>
      <c r="D98" s="95"/>
      <c r="E98" s="88" t="str">
        <f t="shared" si="2"/>
        <v/>
      </c>
      <c r="F98" s="89" t="str">
        <f t="shared" si="3"/>
        <v/>
      </c>
      <c r="G98" s="90" t="s">
        <v>80</v>
      </c>
      <c r="H98" s="41"/>
      <c r="I98" s="41"/>
      <c r="J98" s="41"/>
      <c r="K98" s="41"/>
      <c r="L98" s="41"/>
      <c r="M98" s="41"/>
      <c r="N98" s="41"/>
      <c r="O98" s="41"/>
    </row>
    <row r="99">
      <c r="A99" s="21"/>
      <c r="B99" s="145">
        <v>95.0</v>
      </c>
      <c r="C99" s="109"/>
      <c r="D99" s="109"/>
      <c r="E99" s="88" t="str">
        <f t="shared" si="2"/>
        <v/>
      </c>
      <c r="F99" s="89" t="str">
        <f t="shared" si="3"/>
        <v/>
      </c>
      <c r="G99" s="90" t="s">
        <v>80</v>
      </c>
      <c r="H99" s="41"/>
      <c r="I99" s="41"/>
      <c r="J99" s="41"/>
      <c r="K99" s="41"/>
      <c r="L99" s="41"/>
      <c r="M99" s="41"/>
      <c r="N99" s="41"/>
      <c r="O99" s="41"/>
    </row>
    <row r="100">
      <c r="A100" s="29"/>
      <c r="B100" s="145">
        <v>96.0</v>
      </c>
      <c r="C100" s="222"/>
      <c r="D100" s="222"/>
      <c r="E100" s="88" t="str">
        <f t="shared" si="2"/>
        <v/>
      </c>
      <c r="F100" s="89" t="str">
        <f t="shared" si="3"/>
        <v/>
      </c>
      <c r="G100" s="90" t="s">
        <v>80</v>
      </c>
      <c r="H100" s="41"/>
      <c r="I100" s="41"/>
      <c r="J100" s="41"/>
      <c r="K100" s="41"/>
      <c r="L100" s="41"/>
      <c r="M100" s="41"/>
      <c r="N100" s="41"/>
      <c r="O100" s="41"/>
    </row>
    <row r="101">
      <c r="A101" s="21"/>
      <c r="B101" s="145">
        <v>97.0</v>
      </c>
      <c r="C101" s="223"/>
      <c r="D101" s="223"/>
      <c r="E101" s="88" t="str">
        <f t="shared" si="2"/>
        <v/>
      </c>
      <c r="F101" s="89" t="str">
        <f t="shared" si="3"/>
        <v/>
      </c>
      <c r="G101" s="90" t="s">
        <v>80</v>
      </c>
      <c r="H101" s="41"/>
      <c r="I101" s="41"/>
      <c r="J101" s="41"/>
      <c r="K101" s="41"/>
      <c r="L101" s="41"/>
      <c r="M101" s="41"/>
      <c r="N101" s="41"/>
      <c r="O101" s="41"/>
    </row>
    <row r="102">
      <c r="A102" s="29"/>
      <c r="B102" s="145">
        <v>98.0</v>
      </c>
      <c r="C102" s="67"/>
      <c r="D102" s="67"/>
      <c r="E102" s="88" t="str">
        <f t="shared" si="2"/>
        <v/>
      </c>
      <c r="F102" s="89" t="str">
        <f t="shared" si="3"/>
        <v/>
      </c>
      <c r="G102" s="41"/>
      <c r="H102" s="41"/>
      <c r="I102" s="41"/>
      <c r="J102" s="41"/>
      <c r="K102" s="41"/>
      <c r="L102" s="41"/>
      <c r="M102" s="41"/>
      <c r="N102" s="41"/>
      <c r="O102" s="41"/>
    </row>
    <row r="103">
      <c r="A103" s="21"/>
      <c r="B103" s="145">
        <v>99.0</v>
      </c>
      <c r="C103" s="68"/>
      <c r="D103" s="68"/>
      <c r="E103" s="88" t="str">
        <f t="shared" si="2"/>
        <v/>
      </c>
      <c r="F103" s="89" t="str">
        <f t="shared" si="3"/>
        <v/>
      </c>
      <c r="G103" s="41"/>
      <c r="H103" s="41"/>
      <c r="I103" s="41"/>
      <c r="J103" s="41"/>
      <c r="K103" s="41"/>
      <c r="L103" s="41"/>
      <c r="M103" s="41"/>
      <c r="N103" s="41"/>
      <c r="O103" s="41"/>
    </row>
    <row r="104">
      <c r="A104" s="29"/>
      <c r="B104" s="145">
        <v>100.0</v>
      </c>
      <c r="C104" s="67"/>
      <c r="D104" s="67"/>
      <c r="E104" s="88" t="str">
        <f t="shared" si="2"/>
        <v/>
      </c>
      <c r="F104" s="89" t="str">
        <f t="shared" si="3"/>
        <v/>
      </c>
      <c r="G104" s="41"/>
      <c r="H104" s="41"/>
      <c r="I104" s="41"/>
      <c r="J104" s="41"/>
      <c r="K104" s="41"/>
      <c r="L104" s="41"/>
      <c r="M104" s="41"/>
      <c r="N104" s="41"/>
      <c r="O104" s="41"/>
    </row>
    <row r="105">
      <c r="A105" s="21"/>
      <c r="B105" s="145">
        <v>101.0</v>
      </c>
      <c r="C105" s="68"/>
      <c r="D105" s="68"/>
      <c r="E105" s="88" t="str">
        <f t="shared" si="2"/>
        <v/>
      </c>
      <c r="F105" s="89" t="str">
        <f t="shared" si="3"/>
        <v/>
      </c>
      <c r="G105" s="41"/>
      <c r="H105" s="41"/>
      <c r="I105" s="41"/>
      <c r="J105" s="41"/>
      <c r="K105" s="41"/>
      <c r="L105" s="41"/>
      <c r="M105" s="41"/>
      <c r="N105" s="41"/>
      <c r="O105" s="41"/>
    </row>
    <row r="106">
      <c r="A106" s="29"/>
      <c r="B106" s="145">
        <v>102.0</v>
      </c>
      <c r="C106" s="67"/>
      <c r="D106" s="67"/>
      <c r="E106" s="88" t="str">
        <f t="shared" si="2"/>
        <v/>
      </c>
      <c r="F106" s="89" t="str">
        <f t="shared" si="3"/>
        <v/>
      </c>
      <c r="G106" s="41"/>
      <c r="H106" s="41"/>
      <c r="I106" s="41"/>
      <c r="J106" s="41"/>
      <c r="K106" s="41"/>
      <c r="L106" s="41"/>
      <c r="M106" s="41"/>
      <c r="N106" s="41"/>
      <c r="O106" s="41"/>
    </row>
    <row r="107">
      <c r="A107" s="21"/>
      <c r="B107" s="145">
        <v>103.0</v>
      </c>
      <c r="C107" s="68"/>
      <c r="D107" s="68"/>
      <c r="E107" s="88" t="str">
        <f t="shared" si="2"/>
        <v/>
      </c>
      <c r="F107" s="89" t="str">
        <f t="shared" si="3"/>
        <v/>
      </c>
      <c r="G107" s="41"/>
      <c r="H107" s="41"/>
      <c r="I107" s="41"/>
      <c r="J107" s="41"/>
      <c r="K107" s="41"/>
      <c r="L107" s="41"/>
      <c r="M107" s="41"/>
      <c r="N107" s="41"/>
      <c r="O107" s="41"/>
    </row>
    <row r="108">
      <c r="A108" s="29"/>
      <c r="B108" s="145">
        <v>104.0</v>
      </c>
      <c r="C108" s="67"/>
      <c r="D108" s="67"/>
      <c r="E108" s="88" t="str">
        <f t="shared" si="2"/>
        <v/>
      </c>
      <c r="F108" s="89" t="str">
        <f t="shared" si="3"/>
        <v/>
      </c>
      <c r="G108" s="41"/>
      <c r="H108" s="41"/>
      <c r="I108" s="41"/>
      <c r="J108" s="41"/>
      <c r="K108" s="41"/>
      <c r="L108" s="41"/>
      <c r="M108" s="41"/>
      <c r="N108" s="41"/>
      <c r="O108" s="41"/>
    </row>
    <row r="109">
      <c r="A109" s="21"/>
      <c r="B109" s="145">
        <v>105.0</v>
      </c>
      <c r="C109" s="68"/>
      <c r="D109" s="68"/>
      <c r="E109" s="88" t="str">
        <f t="shared" si="2"/>
        <v/>
      </c>
      <c r="F109" s="89" t="str">
        <f t="shared" si="3"/>
        <v/>
      </c>
      <c r="G109" s="41"/>
      <c r="H109" s="41"/>
      <c r="I109" s="41"/>
      <c r="J109" s="41"/>
      <c r="K109" s="41"/>
      <c r="L109" s="41"/>
      <c r="M109" s="41"/>
      <c r="N109" s="41"/>
      <c r="O109" s="41"/>
    </row>
    <row r="110">
      <c r="A110" s="29"/>
      <c r="B110" s="145">
        <v>106.0</v>
      </c>
      <c r="C110" s="67"/>
      <c r="D110" s="67"/>
      <c r="E110" s="88" t="str">
        <f t="shared" si="2"/>
        <v/>
      </c>
      <c r="F110" s="89" t="str">
        <f t="shared" si="3"/>
        <v/>
      </c>
      <c r="G110" s="41"/>
      <c r="H110" s="41"/>
      <c r="I110" s="41"/>
      <c r="J110" s="41"/>
      <c r="K110" s="41"/>
      <c r="L110" s="41"/>
      <c r="M110" s="41"/>
      <c r="N110" s="41"/>
      <c r="O110" s="41"/>
    </row>
    <row r="111">
      <c r="A111" s="21"/>
      <c r="B111" s="145">
        <v>107.0</v>
      </c>
      <c r="C111" s="68"/>
      <c r="D111" s="68"/>
      <c r="E111" s="88" t="str">
        <f t="shared" si="2"/>
        <v/>
      </c>
      <c r="F111" s="89" t="str">
        <f t="shared" si="3"/>
        <v/>
      </c>
      <c r="G111" s="41"/>
      <c r="H111" s="41"/>
      <c r="I111" s="41"/>
      <c r="J111" s="41"/>
      <c r="K111" s="41"/>
      <c r="L111" s="41"/>
      <c r="M111" s="41"/>
      <c r="N111" s="41"/>
      <c r="O111" s="41"/>
    </row>
    <row r="112">
      <c r="A112" s="29"/>
      <c r="B112" s="145">
        <v>108.0</v>
      </c>
      <c r="C112" s="67"/>
      <c r="D112" s="67"/>
      <c r="E112" s="88" t="str">
        <f t="shared" si="2"/>
        <v/>
      </c>
      <c r="F112" s="89" t="str">
        <f t="shared" si="3"/>
        <v/>
      </c>
      <c r="G112" s="41"/>
      <c r="H112" s="41"/>
      <c r="I112" s="41"/>
      <c r="J112" s="41"/>
      <c r="K112" s="41"/>
      <c r="L112" s="41"/>
      <c r="M112" s="41"/>
      <c r="N112" s="41"/>
      <c r="O112" s="41"/>
    </row>
    <row r="113">
      <c r="A113" s="21"/>
      <c r="B113" s="145">
        <v>109.0</v>
      </c>
      <c r="C113" s="68"/>
      <c r="D113" s="68"/>
      <c r="E113" s="88" t="str">
        <f t="shared" si="2"/>
        <v/>
      </c>
      <c r="F113" s="89" t="str">
        <f t="shared" si="3"/>
        <v/>
      </c>
      <c r="G113" s="41"/>
      <c r="H113" s="41"/>
      <c r="I113" s="41"/>
      <c r="J113" s="41"/>
      <c r="K113" s="41"/>
      <c r="L113" s="41"/>
      <c r="M113" s="41"/>
      <c r="N113" s="41"/>
      <c r="O113" s="41"/>
    </row>
    <row r="114">
      <c r="A114" s="29"/>
      <c r="B114" s="145">
        <v>110.0</v>
      </c>
      <c r="C114" s="67"/>
      <c r="D114" s="67"/>
      <c r="E114" s="88" t="str">
        <f t="shared" si="2"/>
        <v/>
      </c>
      <c r="F114" s="89" t="str">
        <f t="shared" si="3"/>
        <v/>
      </c>
      <c r="G114" s="41"/>
      <c r="H114" s="41"/>
      <c r="I114" s="41"/>
      <c r="J114" s="41"/>
      <c r="K114" s="41"/>
      <c r="L114" s="41"/>
      <c r="M114" s="41"/>
      <c r="N114" s="41"/>
      <c r="O114" s="41"/>
    </row>
    <row r="115">
      <c r="A115" s="21"/>
      <c r="B115" s="145">
        <v>111.0</v>
      </c>
      <c r="C115" s="68"/>
      <c r="D115" s="68"/>
      <c r="E115" s="88" t="str">
        <f t="shared" si="2"/>
        <v/>
      </c>
      <c r="F115" s="89" t="str">
        <f t="shared" si="3"/>
        <v/>
      </c>
      <c r="G115" s="41"/>
      <c r="H115" s="41"/>
      <c r="I115" s="41"/>
      <c r="J115" s="41"/>
      <c r="K115" s="41"/>
      <c r="L115" s="41"/>
      <c r="M115" s="41"/>
      <c r="N115" s="41"/>
      <c r="O115" s="41"/>
    </row>
    <row r="116">
      <c r="A116" s="29"/>
      <c r="B116" s="145">
        <v>112.0</v>
      </c>
      <c r="C116" s="67"/>
      <c r="D116" s="67"/>
      <c r="E116" s="88" t="str">
        <f t="shared" si="2"/>
        <v/>
      </c>
      <c r="F116" s="89" t="str">
        <f t="shared" si="3"/>
        <v/>
      </c>
      <c r="G116" s="41"/>
      <c r="H116" s="41"/>
      <c r="I116" s="41"/>
      <c r="J116" s="41"/>
      <c r="K116" s="41"/>
      <c r="L116" s="41"/>
      <c r="M116" s="41"/>
      <c r="N116" s="41"/>
      <c r="O116" s="41"/>
    </row>
    <row r="117">
      <c r="A117" s="21"/>
      <c r="B117" s="145">
        <v>113.0</v>
      </c>
      <c r="C117" s="68"/>
      <c r="D117" s="68"/>
      <c r="E117" s="88" t="str">
        <f t="shared" si="2"/>
        <v/>
      </c>
      <c r="F117" s="89" t="str">
        <f t="shared" si="3"/>
        <v/>
      </c>
      <c r="G117" s="41"/>
      <c r="H117" s="41"/>
      <c r="I117" s="41"/>
      <c r="J117" s="41"/>
      <c r="K117" s="41"/>
      <c r="L117" s="41"/>
      <c r="M117" s="41"/>
      <c r="N117" s="41"/>
      <c r="O117" s="41"/>
    </row>
    <row r="118">
      <c r="A118" s="29"/>
      <c r="B118" s="145">
        <v>114.0</v>
      </c>
      <c r="C118" s="67"/>
      <c r="D118" s="67"/>
      <c r="E118" s="88" t="str">
        <f t="shared" si="2"/>
        <v/>
      </c>
      <c r="F118" s="89" t="str">
        <f t="shared" si="3"/>
        <v/>
      </c>
      <c r="G118" s="41"/>
      <c r="H118" s="41"/>
      <c r="I118" s="41"/>
      <c r="J118" s="41"/>
      <c r="K118" s="41"/>
      <c r="L118" s="41"/>
      <c r="M118" s="41"/>
      <c r="N118" s="41"/>
      <c r="O118" s="41"/>
    </row>
    <row r="119">
      <c r="A119" s="21"/>
      <c r="B119" s="145">
        <v>115.0</v>
      </c>
      <c r="C119" s="68"/>
      <c r="D119" s="68"/>
      <c r="E119" s="88" t="str">
        <f t="shared" si="2"/>
        <v/>
      </c>
      <c r="F119" s="89" t="str">
        <f t="shared" si="3"/>
        <v/>
      </c>
      <c r="G119" s="41"/>
      <c r="H119" s="41"/>
      <c r="I119" s="41"/>
      <c r="J119" s="41"/>
      <c r="K119" s="41"/>
      <c r="L119" s="41"/>
      <c r="M119" s="41"/>
      <c r="N119" s="41"/>
      <c r="O119" s="41"/>
    </row>
    <row r="120">
      <c r="A120" s="29"/>
      <c r="B120" s="145">
        <v>116.0</v>
      </c>
      <c r="C120" s="67"/>
      <c r="D120" s="67"/>
      <c r="E120" s="88" t="str">
        <f t="shared" si="2"/>
        <v/>
      </c>
      <c r="F120" s="89" t="str">
        <f t="shared" si="3"/>
        <v/>
      </c>
      <c r="G120" s="41"/>
      <c r="H120" s="41"/>
      <c r="I120" s="41"/>
      <c r="J120" s="41"/>
      <c r="K120" s="41"/>
      <c r="L120" s="41"/>
      <c r="M120" s="41"/>
      <c r="N120" s="41"/>
      <c r="O120" s="41"/>
    </row>
    <row r="121">
      <c r="A121" s="21"/>
      <c r="B121" s="145">
        <v>117.0</v>
      </c>
      <c r="C121" s="68"/>
      <c r="D121" s="68"/>
      <c r="E121" s="88" t="str">
        <f t="shared" si="2"/>
        <v/>
      </c>
      <c r="F121" s="89" t="str">
        <f t="shared" si="3"/>
        <v/>
      </c>
      <c r="G121" s="41"/>
      <c r="H121" s="41"/>
      <c r="I121" s="41"/>
      <c r="J121" s="41"/>
      <c r="K121" s="41"/>
      <c r="L121" s="41"/>
      <c r="M121" s="41"/>
      <c r="N121" s="41"/>
      <c r="O121" s="41"/>
    </row>
    <row r="122">
      <c r="A122" s="14"/>
      <c r="B122" s="145">
        <v>118.0</v>
      </c>
      <c r="C122" s="70"/>
      <c r="D122" s="70"/>
      <c r="E122" s="88" t="str">
        <f t="shared" si="2"/>
        <v/>
      </c>
      <c r="F122" s="89" t="str">
        <f t="shared" si="3"/>
        <v/>
      </c>
      <c r="G122" s="73"/>
      <c r="H122" s="73"/>
      <c r="I122" s="73"/>
      <c r="J122" s="73"/>
      <c r="K122" s="73"/>
      <c r="L122" s="73"/>
      <c r="M122" s="73"/>
      <c r="N122" s="73"/>
      <c r="O122" s="73"/>
    </row>
    <row r="123">
      <c r="A123" s="14"/>
      <c r="B123" s="145">
        <v>119.0</v>
      </c>
      <c r="C123" s="70"/>
      <c r="D123" s="70"/>
      <c r="E123" s="88" t="str">
        <f t="shared" si="2"/>
        <v/>
      </c>
      <c r="F123" s="89" t="str">
        <f t="shared" si="3"/>
        <v/>
      </c>
      <c r="G123" s="73"/>
      <c r="H123" s="73"/>
      <c r="I123" s="73"/>
      <c r="J123" s="73"/>
      <c r="K123" s="73"/>
      <c r="L123" s="73"/>
      <c r="M123" s="73"/>
      <c r="N123" s="73"/>
      <c r="O123" s="73"/>
    </row>
    <row r="124">
      <c r="A124" s="14"/>
      <c r="B124" s="145">
        <v>120.0</v>
      </c>
      <c r="C124" s="70"/>
      <c r="D124" s="70"/>
      <c r="E124" s="88" t="str">
        <f t="shared" si="2"/>
        <v/>
      </c>
      <c r="F124" s="89" t="str">
        <f t="shared" si="3"/>
        <v/>
      </c>
      <c r="G124" s="73"/>
      <c r="H124" s="73"/>
      <c r="I124" s="73"/>
      <c r="J124" s="73"/>
      <c r="K124" s="73"/>
      <c r="L124" s="73"/>
      <c r="M124" s="73"/>
      <c r="N124" s="73"/>
      <c r="O124" s="73"/>
    </row>
    <row r="125">
      <c r="A125" s="14"/>
      <c r="B125" s="14"/>
      <c r="C125" s="14"/>
      <c r="D125" s="14"/>
      <c r="E125" s="224"/>
      <c r="F125" s="224"/>
      <c r="G125" s="14"/>
      <c r="H125" s="14"/>
      <c r="I125" s="14"/>
      <c r="J125" s="14"/>
      <c r="K125" s="14"/>
      <c r="L125" s="14"/>
      <c r="M125" s="14"/>
      <c r="N125" s="14"/>
      <c r="O125" s="14"/>
    </row>
    <row r="126">
      <c r="A126" s="14"/>
      <c r="B126" s="14"/>
      <c r="C126" s="14"/>
      <c r="D126" s="14"/>
      <c r="E126" s="224"/>
      <c r="F126" s="224"/>
      <c r="G126" s="14"/>
      <c r="H126" s="14"/>
      <c r="I126" s="14"/>
      <c r="J126" s="14"/>
      <c r="K126" s="14"/>
      <c r="L126" s="14"/>
      <c r="M126" s="14"/>
      <c r="N126" s="14"/>
      <c r="O126" s="14"/>
    </row>
    <row r="127">
      <c r="A127" s="14"/>
      <c r="B127" s="14"/>
      <c r="C127" s="14"/>
      <c r="D127" s="14"/>
      <c r="E127" s="224"/>
      <c r="F127" s="224"/>
      <c r="G127" s="14"/>
      <c r="H127" s="14"/>
      <c r="I127" s="14"/>
      <c r="J127" s="14"/>
      <c r="K127" s="14"/>
      <c r="L127" s="14"/>
      <c r="M127" s="14"/>
      <c r="N127" s="14"/>
      <c r="O127" s="14"/>
    </row>
    <row r="128">
      <c r="A128" s="14"/>
      <c r="B128" s="14"/>
      <c r="C128" s="14"/>
      <c r="D128" s="14"/>
      <c r="E128" s="224"/>
      <c r="F128" s="224"/>
      <c r="G128" s="14"/>
      <c r="H128" s="14"/>
      <c r="I128" s="14"/>
      <c r="J128" s="14"/>
      <c r="K128" s="14"/>
      <c r="L128" s="14"/>
      <c r="M128" s="14"/>
      <c r="N128" s="14"/>
      <c r="O128" s="14"/>
    </row>
    <row r="129">
      <c r="A129" s="14"/>
      <c r="B129" s="14"/>
      <c r="C129" s="14"/>
      <c r="D129" s="14"/>
      <c r="E129" s="224"/>
      <c r="F129" s="224"/>
      <c r="G129" s="14"/>
      <c r="H129" s="14"/>
      <c r="I129" s="14"/>
      <c r="J129" s="14"/>
      <c r="K129" s="14"/>
      <c r="L129" s="14"/>
      <c r="M129" s="14"/>
      <c r="N129" s="14"/>
      <c r="O129" s="14"/>
    </row>
    <row r="130">
      <c r="A130" s="14"/>
      <c r="B130" s="14"/>
      <c r="C130" s="14"/>
      <c r="D130" s="14"/>
      <c r="E130" s="224"/>
      <c r="F130" s="224"/>
      <c r="G130" s="14"/>
      <c r="H130" s="14"/>
      <c r="I130" s="14"/>
      <c r="J130" s="14"/>
      <c r="K130" s="14"/>
      <c r="L130" s="14"/>
      <c r="M130" s="14"/>
      <c r="N130" s="14"/>
      <c r="O130" s="14"/>
    </row>
    <row r="131">
      <c r="A131" s="14"/>
      <c r="B131" s="14"/>
      <c r="C131" s="14"/>
      <c r="D131" s="14"/>
      <c r="E131" s="224"/>
      <c r="F131" s="224"/>
      <c r="G131" s="14"/>
      <c r="H131" s="14"/>
      <c r="I131" s="14"/>
      <c r="J131" s="14"/>
      <c r="K131" s="14"/>
      <c r="L131" s="14"/>
      <c r="M131" s="14"/>
      <c r="N131" s="14"/>
      <c r="O131" s="14"/>
    </row>
    <row r="132">
      <c r="A132" s="14"/>
      <c r="B132" s="14"/>
      <c r="C132" s="14"/>
      <c r="D132" s="14"/>
      <c r="E132" s="224"/>
      <c r="F132" s="224"/>
      <c r="G132" s="14"/>
      <c r="H132" s="14"/>
      <c r="I132" s="14"/>
      <c r="J132" s="14"/>
      <c r="K132" s="14"/>
      <c r="L132" s="14"/>
      <c r="M132" s="14"/>
      <c r="N132" s="14"/>
      <c r="O132" s="14"/>
    </row>
    <row r="133">
      <c r="A133" s="14"/>
      <c r="B133" s="14"/>
      <c r="C133" s="14"/>
      <c r="D133" s="14"/>
      <c r="E133" s="224"/>
      <c r="F133" s="224"/>
      <c r="G133" s="14"/>
      <c r="H133" s="14"/>
      <c r="I133" s="14"/>
      <c r="J133" s="14"/>
      <c r="K133" s="14"/>
      <c r="L133" s="14"/>
      <c r="M133" s="14"/>
      <c r="N133" s="14"/>
      <c r="O133" s="14"/>
    </row>
    <row r="134">
      <c r="A134" s="14"/>
      <c r="B134" s="14"/>
      <c r="C134" s="14"/>
      <c r="D134" s="14"/>
      <c r="E134" s="224"/>
      <c r="F134" s="224"/>
      <c r="G134" s="14"/>
      <c r="H134" s="14"/>
      <c r="I134" s="14"/>
      <c r="J134" s="14"/>
      <c r="K134" s="14"/>
      <c r="L134" s="14"/>
      <c r="M134" s="14"/>
      <c r="N134" s="14"/>
      <c r="O134" s="14"/>
    </row>
    <row r="135">
      <c r="A135" s="14"/>
      <c r="B135" s="14"/>
      <c r="C135" s="14"/>
      <c r="D135" s="14"/>
      <c r="E135" s="224"/>
      <c r="F135" s="224"/>
      <c r="G135" s="14"/>
      <c r="H135" s="14"/>
      <c r="I135" s="14"/>
      <c r="J135" s="14"/>
      <c r="K135" s="14"/>
      <c r="L135" s="14"/>
      <c r="M135" s="14"/>
      <c r="N135" s="14"/>
      <c r="O135" s="14"/>
    </row>
    <row r="136">
      <c r="A136" s="14"/>
      <c r="B136" s="14"/>
      <c r="C136" s="14"/>
      <c r="D136" s="14"/>
      <c r="E136" s="224"/>
      <c r="F136" s="224"/>
      <c r="G136" s="14"/>
      <c r="H136" s="14"/>
      <c r="I136" s="14"/>
      <c r="J136" s="14"/>
      <c r="K136" s="14"/>
      <c r="L136" s="14"/>
      <c r="M136" s="14"/>
      <c r="N136" s="14"/>
      <c r="O136" s="14"/>
    </row>
    <row r="137">
      <c r="A137" s="14"/>
      <c r="B137" s="14"/>
      <c r="C137" s="14"/>
      <c r="D137" s="14"/>
      <c r="E137" s="224"/>
      <c r="F137" s="224"/>
      <c r="G137" s="14"/>
      <c r="H137" s="14"/>
      <c r="I137" s="14"/>
      <c r="J137" s="14"/>
      <c r="K137" s="14"/>
      <c r="L137" s="14"/>
      <c r="M137" s="14"/>
      <c r="N137" s="14"/>
      <c r="O137" s="14"/>
    </row>
    <row r="138">
      <c r="A138" s="14"/>
      <c r="B138" s="14"/>
      <c r="C138" s="14"/>
      <c r="D138" s="14"/>
      <c r="E138" s="224"/>
      <c r="F138" s="224"/>
      <c r="G138" s="14"/>
      <c r="H138" s="14"/>
      <c r="I138" s="14"/>
      <c r="J138" s="14"/>
      <c r="K138" s="14"/>
      <c r="L138" s="14"/>
      <c r="M138" s="14"/>
      <c r="N138" s="14"/>
      <c r="O138" s="14"/>
    </row>
    <row r="139">
      <c r="A139" s="14"/>
      <c r="B139" s="14"/>
      <c r="C139" s="14"/>
      <c r="D139" s="14"/>
      <c r="E139" s="224"/>
      <c r="F139" s="224"/>
      <c r="G139" s="14"/>
      <c r="H139" s="14"/>
      <c r="I139" s="14"/>
      <c r="J139" s="14"/>
      <c r="K139" s="14"/>
      <c r="L139" s="14"/>
      <c r="M139" s="14"/>
      <c r="N139" s="14"/>
      <c r="O139" s="14"/>
    </row>
    <row r="140">
      <c r="A140" s="14"/>
      <c r="B140" s="14"/>
      <c r="C140" s="14"/>
      <c r="D140" s="14"/>
      <c r="E140" s="224"/>
      <c r="F140" s="224"/>
      <c r="G140" s="14"/>
      <c r="H140" s="14"/>
      <c r="I140" s="14"/>
      <c r="J140" s="14"/>
      <c r="K140" s="14"/>
      <c r="L140" s="14"/>
      <c r="M140" s="14"/>
      <c r="N140" s="14"/>
      <c r="O140" s="14"/>
    </row>
    <row r="141">
      <c r="A141" s="14"/>
      <c r="B141" s="14"/>
      <c r="C141" s="14"/>
      <c r="D141" s="14"/>
      <c r="E141" s="224"/>
      <c r="F141" s="224"/>
      <c r="G141" s="14"/>
      <c r="H141" s="14"/>
      <c r="I141" s="14"/>
      <c r="J141" s="14"/>
      <c r="K141" s="14"/>
      <c r="L141" s="14"/>
      <c r="M141" s="14"/>
      <c r="N141" s="14"/>
      <c r="O141" s="14"/>
    </row>
    <row r="142">
      <c r="A142" s="14"/>
      <c r="B142" s="14"/>
      <c r="C142" s="14"/>
      <c r="D142" s="14"/>
      <c r="E142" s="224"/>
      <c r="F142" s="224"/>
      <c r="G142" s="14"/>
      <c r="H142" s="14"/>
      <c r="I142" s="14"/>
      <c r="J142" s="14"/>
      <c r="K142" s="14"/>
      <c r="L142" s="14"/>
      <c r="M142" s="14"/>
      <c r="N142" s="14"/>
      <c r="O142" s="14"/>
    </row>
    <row r="143">
      <c r="A143" s="14"/>
      <c r="B143" s="14"/>
      <c r="C143" s="14"/>
      <c r="D143" s="14"/>
      <c r="E143" s="224"/>
      <c r="F143" s="224"/>
      <c r="G143" s="14"/>
      <c r="H143" s="14"/>
      <c r="I143" s="14"/>
      <c r="J143" s="14"/>
      <c r="K143" s="14"/>
      <c r="L143" s="14"/>
      <c r="M143" s="14"/>
      <c r="N143" s="14"/>
      <c r="O143" s="14"/>
    </row>
    <row r="144">
      <c r="A144" s="14"/>
      <c r="B144" s="14"/>
      <c r="C144" s="14"/>
      <c r="D144" s="14"/>
      <c r="E144" s="224"/>
      <c r="F144" s="224"/>
      <c r="G144" s="14"/>
      <c r="H144" s="14"/>
      <c r="I144" s="14"/>
      <c r="J144" s="14"/>
      <c r="K144" s="14"/>
      <c r="L144" s="14"/>
      <c r="M144" s="14"/>
      <c r="N144" s="14"/>
      <c r="O144" s="14"/>
    </row>
    <row r="145">
      <c r="A145" s="14"/>
      <c r="B145" s="14"/>
      <c r="C145" s="14"/>
      <c r="D145" s="14"/>
      <c r="E145" s="224"/>
      <c r="F145" s="224"/>
      <c r="G145" s="14"/>
      <c r="H145" s="14"/>
      <c r="I145" s="14"/>
      <c r="J145" s="14"/>
      <c r="K145" s="14"/>
      <c r="L145" s="14"/>
      <c r="M145" s="14"/>
      <c r="N145" s="14"/>
      <c r="O145" s="14"/>
    </row>
    <row r="146">
      <c r="A146" s="14"/>
      <c r="B146" s="14"/>
      <c r="C146" s="14"/>
      <c r="D146" s="14"/>
      <c r="E146" s="224"/>
      <c r="F146" s="224"/>
      <c r="G146" s="14"/>
      <c r="H146" s="14"/>
      <c r="I146" s="14"/>
      <c r="J146" s="14"/>
      <c r="K146" s="14"/>
      <c r="L146" s="14"/>
      <c r="M146" s="14"/>
      <c r="N146" s="14"/>
      <c r="O146" s="14"/>
    </row>
    <row r="147">
      <c r="A147" s="14"/>
      <c r="B147" s="14"/>
      <c r="C147" s="14"/>
      <c r="D147" s="14"/>
      <c r="E147" s="224"/>
      <c r="F147" s="224"/>
      <c r="G147" s="14"/>
      <c r="H147" s="14"/>
      <c r="I147" s="14"/>
      <c r="J147" s="14"/>
      <c r="K147" s="14"/>
      <c r="L147" s="14"/>
      <c r="M147" s="14"/>
      <c r="N147" s="14"/>
      <c r="O147" s="14"/>
    </row>
    <row r="148">
      <c r="A148" s="14"/>
      <c r="B148" s="14"/>
      <c r="C148" s="14"/>
      <c r="D148" s="14"/>
      <c r="E148" s="224"/>
      <c r="F148" s="224"/>
      <c r="G148" s="14"/>
      <c r="H148" s="14"/>
      <c r="I148" s="14"/>
      <c r="J148" s="14"/>
      <c r="K148" s="14"/>
      <c r="L148" s="14"/>
      <c r="M148" s="14"/>
      <c r="N148" s="14"/>
      <c r="O148" s="14"/>
    </row>
    <row r="149">
      <c r="A149" s="14"/>
      <c r="B149" s="14"/>
      <c r="C149" s="14"/>
      <c r="D149" s="14"/>
      <c r="E149" s="224"/>
      <c r="F149" s="224"/>
      <c r="G149" s="14"/>
      <c r="H149" s="14"/>
      <c r="I149" s="14"/>
      <c r="J149" s="14"/>
      <c r="K149" s="14"/>
      <c r="L149" s="14"/>
      <c r="M149" s="14"/>
      <c r="N149" s="14"/>
      <c r="O149" s="14"/>
    </row>
    <row r="150">
      <c r="A150" s="14"/>
      <c r="B150" s="14"/>
      <c r="C150" s="14"/>
      <c r="D150" s="14"/>
      <c r="E150" s="224"/>
      <c r="F150" s="224"/>
      <c r="G150" s="14"/>
      <c r="H150" s="14"/>
      <c r="I150" s="14"/>
      <c r="J150" s="14"/>
      <c r="K150" s="14"/>
      <c r="L150" s="14"/>
      <c r="M150" s="14"/>
      <c r="N150" s="14"/>
      <c r="O150" s="14"/>
    </row>
    <row r="151">
      <c r="A151" s="14"/>
      <c r="B151" s="14"/>
      <c r="C151" s="14"/>
      <c r="D151" s="14"/>
      <c r="E151" s="224"/>
      <c r="F151" s="224"/>
      <c r="G151" s="14"/>
      <c r="H151" s="14"/>
      <c r="I151" s="14"/>
      <c r="J151" s="14"/>
      <c r="K151" s="14"/>
      <c r="L151" s="14"/>
      <c r="M151" s="14"/>
      <c r="N151" s="14"/>
      <c r="O151" s="14"/>
    </row>
    <row r="152">
      <c r="A152" s="14"/>
      <c r="B152" s="14"/>
      <c r="C152" s="14"/>
      <c r="D152" s="14"/>
      <c r="E152" s="224"/>
      <c r="F152" s="224"/>
      <c r="G152" s="14"/>
      <c r="H152" s="14"/>
      <c r="I152" s="14"/>
      <c r="J152" s="14"/>
      <c r="K152" s="14"/>
      <c r="L152" s="14"/>
      <c r="M152" s="14"/>
      <c r="N152" s="14"/>
      <c r="O152" s="14"/>
    </row>
    <row r="153">
      <c r="A153" s="14"/>
      <c r="B153" s="14"/>
      <c r="C153" s="14"/>
      <c r="D153" s="14"/>
      <c r="E153" s="224"/>
      <c r="F153" s="224"/>
      <c r="G153" s="14"/>
      <c r="H153" s="14"/>
      <c r="I153" s="14"/>
      <c r="J153" s="14"/>
      <c r="K153" s="14"/>
      <c r="L153" s="14"/>
      <c r="M153" s="14"/>
      <c r="N153" s="14"/>
      <c r="O153" s="14"/>
    </row>
    <row r="154">
      <c r="A154" s="14"/>
      <c r="B154" s="14"/>
      <c r="C154" s="14"/>
      <c r="D154" s="14"/>
      <c r="E154" s="224"/>
      <c r="F154" s="224"/>
      <c r="G154" s="14"/>
      <c r="H154" s="14"/>
      <c r="I154" s="14"/>
      <c r="J154" s="14"/>
      <c r="K154" s="14"/>
      <c r="L154" s="14"/>
      <c r="M154" s="14"/>
      <c r="N154" s="14"/>
      <c r="O154" s="14"/>
    </row>
    <row r="155">
      <c r="A155" s="14"/>
      <c r="B155" s="14"/>
      <c r="C155" s="14"/>
      <c r="D155" s="14"/>
      <c r="E155" s="224"/>
      <c r="F155" s="224"/>
      <c r="G155" s="14"/>
      <c r="H155" s="14"/>
      <c r="I155" s="14"/>
      <c r="J155" s="14"/>
      <c r="K155" s="14"/>
      <c r="L155" s="14"/>
      <c r="M155" s="14"/>
      <c r="N155" s="14"/>
      <c r="O155" s="14"/>
    </row>
    <row r="156">
      <c r="A156" s="14"/>
      <c r="B156" s="14"/>
      <c r="C156" s="14"/>
      <c r="D156" s="14"/>
      <c r="E156" s="224"/>
      <c r="F156" s="224"/>
      <c r="G156" s="14"/>
      <c r="H156" s="14"/>
      <c r="I156" s="14"/>
      <c r="J156" s="14"/>
      <c r="K156" s="14"/>
      <c r="L156" s="14"/>
      <c r="M156" s="14"/>
      <c r="N156" s="14"/>
      <c r="O156" s="14"/>
    </row>
    <row r="157">
      <c r="A157" s="14"/>
      <c r="B157" s="14"/>
      <c r="C157" s="14"/>
      <c r="D157" s="14"/>
      <c r="E157" s="224"/>
      <c r="F157" s="224"/>
      <c r="G157" s="14"/>
      <c r="H157" s="14"/>
      <c r="I157" s="14"/>
      <c r="J157" s="14"/>
      <c r="K157" s="14"/>
      <c r="L157" s="14"/>
      <c r="M157" s="14"/>
      <c r="N157" s="14"/>
      <c r="O157" s="14"/>
    </row>
    <row r="158">
      <c r="A158" s="14"/>
      <c r="B158" s="14"/>
      <c r="C158" s="14"/>
      <c r="D158" s="14"/>
      <c r="E158" s="224"/>
      <c r="F158" s="224"/>
      <c r="G158" s="14"/>
      <c r="H158" s="14"/>
      <c r="I158" s="14"/>
      <c r="J158" s="14"/>
      <c r="K158" s="14"/>
      <c r="L158" s="14"/>
      <c r="M158" s="14"/>
      <c r="N158" s="14"/>
      <c r="O158" s="14"/>
    </row>
    <row r="159">
      <c r="A159" s="14"/>
      <c r="B159" s="14"/>
      <c r="C159" s="14"/>
      <c r="D159" s="14"/>
      <c r="E159" s="224"/>
      <c r="F159" s="224"/>
      <c r="G159" s="14"/>
      <c r="H159" s="14"/>
      <c r="I159" s="14"/>
      <c r="J159" s="14"/>
      <c r="K159" s="14"/>
      <c r="L159" s="14"/>
      <c r="M159" s="14"/>
      <c r="N159" s="14"/>
      <c r="O159" s="14"/>
    </row>
    <row r="160">
      <c r="A160" s="14"/>
      <c r="B160" s="14"/>
      <c r="C160" s="14"/>
      <c r="D160" s="14"/>
      <c r="E160" s="224"/>
      <c r="F160" s="224"/>
      <c r="G160" s="14"/>
      <c r="H160" s="14"/>
      <c r="I160" s="14"/>
      <c r="J160" s="14"/>
      <c r="K160" s="14"/>
      <c r="L160" s="14"/>
      <c r="M160" s="14"/>
      <c r="N160" s="14"/>
      <c r="O160" s="14"/>
    </row>
    <row r="161">
      <c r="A161" s="14"/>
      <c r="B161" s="14"/>
      <c r="C161" s="14"/>
      <c r="D161" s="14"/>
      <c r="E161" s="224"/>
      <c r="F161" s="224"/>
      <c r="G161" s="14"/>
      <c r="H161" s="14"/>
      <c r="I161" s="14"/>
      <c r="J161" s="14"/>
      <c r="K161" s="14"/>
      <c r="L161" s="14"/>
      <c r="M161" s="14"/>
      <c r="N161" s="14"/>
      <c r="O161" s="14"/>
    </row>
    <row r="162">
      <c r="A162" s="14"/>
      <c r="B162" s="14"/>
      <c r="C162" s="14"/>
      <c r="D162" s="14"/>
      <c r="E162" s="224"/>
      <c r="F162" s="224"/>
      <c r="G162" s="14"/>
      <c r="H162" s="14"/>
      <c r="I162" s="14"/>
      <c r="J162" s="14"/>
      <c r="K162" s="14"/>
      <c r="L162" s="14"/>
      <c r="M162" s="14"/>
      <c r="N162" s="14"/>
      <c r="O162" s="14"/>
    </row>
    <row r="163">
      <c r="A163" s="14"/>
      <c r="B163" s="14"/>
      <c r="C163" s="14"/>
      <c r="D163" s="14"/>
      <c r="E163" s="224"/>
      <c r="F163" s="224"/>
      <c r="G163" s="14"/>
      <c r="H163" s="14"/>
      <c r="I163" s="14"/>
      <c r="J163" s="14"/>
      <c r="K163" s="14"/>
      <c r="L163" s="14"/>
      <c r="M163" s="14"/>
      <c r="N163" s="14"/>
      <c r="O163" s="14"/>
    </row>
    <row r="164">
      <c r="A164" s="14"/>
      <c r="B164" s="14"/>
      <c r="C164" s="14"/>
      <c r="D164" s="14"/>
      <c r="E164" s="224"/>
      <c r="F164" s="224"/>
      <c r="G164" s="14"/>
      <c r="H164" s="14"/>
      <c r="I164" s="14"/>
      <c r="J164" s="14"/>
      <c r="K164" s="14"/>
      <c r="L164" s="14"/>
      <c r="M164" s="14"/>
      <c r="N164" s="14"/>
      <c r="O164" s="14"/>
    </row>
    <row r="165">
      <c r="A165" s="14"/>
      <c r="B165" s="14"/>
      <c r="C165" s="14"/>
      <c r="D165" s="14"/>
      <c r="E165" s="224"/>
      <c r="F165" s="224"/>
      <c r="G165" s="14"/>
      <c r="H165" s="14"/>
      <c r="I165" s="14"/>
      <c r="J165" s="14"/>
      <c r="K165" s="14"/>
      <c r="L165" s="14"/>
      <c r="M165" s="14"/>
      <c r="N165" s="14"/>
      <c r="O165" s="14"/>
    </row>
    <row r="166">
      <c r="A166" s="14"/>
      <c r="B166" s="14"/>
      <c r="C166" s="14"/>
      <c r="D166" s="14"/>
      <c r="E166" s="224"/>
      <c r="F166" s="224"/>
      <c r="G166" s="14"/>
      <c r="H166" s="14"/>
      <c r="I166" s="14"/>
      <c r="J166" s="14"/>
      <c r="K166" s="14"/>
      <c r="L166" s="14"/>
      <c r="M166" s="14"/>
      <c r="N166" s="14"/>
      <c r="O166" s="14"/>
    </row>
    <row r="167">
      <c r="A167" s="14"/>
      <c r="B167" s="14"/>
      <c r="C167" s="14"/>
      <c r="D167" s="14"/>
      <c r="E167" s="224"/>
      <c r="F167" s="224"/>
      <c r="G167" s="14"/>
      <c r="H167" s="14"/>
      <c r="I167" s="14"/>
      <c r="J167" s="14"/>
      <c r="K167" s="14"/>
      <c r="L167" s="14"/>
      <c r="M167" s="14"/>
      <c r="N167" s="14"/>
      <c r="O167" s="14"/>
    </row>
    <row r="168">
      <c r="A168" s="14"/>
      <c r="B168" s="14"/>
      <c r="C168" s="14"/>
      <c r="D168" s="14"/>
      <c r="E168" s="224"/>
      <c r="F168" s="224"/>
      <c r="G168" s="14"/>
      <c r="H168" s="14"/>
      <c r="I168" s="14"/>
      <c r="J168" s="14"/>
      <c r="K168" s="14"/>
      <c r="L168" s="14"/>
      <c r="M168" s="14"/>
      <c r="N168" s="14"/>
      <c r="O168" s="14"/>
    </row>
    <row r="169">
      <c r="A169" s="14"/>
      <c r="B169" s="14"/>
      <c r="C169" s="14"/>
      <c r="D169" s="14"/>
      <c r="E169" s="224"/>
      <c r="F169" s="224"/>
      <c r="G169" s="14"/>
      <c r="H169" s="14"/>
      <c r="I169" s="14"/>
      <c r="J169" s="14"/>
      <c r="K169" s="14"/>
      <c r="L169" s="14"/>
      <c r="M169" s="14"/>
      <c r="N169" s="14"/>
      <c r="O169" s="14"/>
    </row>
    <row r="170">
      <c r="A170" s="14"/>
      <c r="B170" s="14"/>
      <c r="C170" s="14"/>
      <c r="D170" s="14"/>
      <c r="E170" s="224"/>
      <c r="F170" s="224"/>
      <c r="G170" s="14"/>
      <c r="H170" s="14"/>
      <c r="I170" s="14"/>
      <c r="J170" s="14"/>
      <c r="K170" s="14"/>
      <c r="L170" s="14"/>
      <c r="M170" s="14"/>
      <c r="N170" s="14"/>
      <c r="O170" s="14"/>
    </row>
    <row r="171">
      <c r="A171" s="14"/>
      <c r="B171" s="14"/>
      <c r="C171" s="14"/>
      <c r="D171" s="14"/>
      <c r="E171" s="224"/>
      <c r="F171" s="224"/>
      <c r="G171" s="14"/>
      <c r="H171" s="14"/>
      <c r="I171" s="14"/>
      <c r="J171" s="14"/>
      <c r="K171" s="14"/>
      <c r="L171" s="14"/>
      <c r="M171" s="14"/>
      <c r="N171" s="14"/>
      <c r="O171" s="14"/>
    </row>
    <row r="172">
      <c r="A172" s="14"/>
      <c r="B172" s="14"/>
      <c r="C172" s="14"/>
      <c r="D172" s="14"/>
      <c r="E172" s="224"/>
      <c r="F172" s="224"/>
      <c r="G172" s="14"/>
      <c r="H172" s="14"/>
      <c r="I172" s="14"/>
      <c r="J172" s="14"/>
      <c r="K172" s="14"/>
      <c r="L172" s="14"/>
      <c r="M172" s="14"/>
      <c r="N172" s="14"/>
      <c r="O172" s="14"/>
    </row>
    <row r="173">
      <c r="A173" s="14"/>
      <c r="B173" s="14"/>
      <c r="C173" s="14"/>
      <c r="D173" s="14"/>
      <c r="E173" s="224"/>
      <c r="F173" s="224"/>
      <c r="G173" s="14"/>
      <c r="H173" s="14"/>
      <c r="I173" s="14"/>
      <c r="J173" s="14"/>
      <c r="K173" s="14"/>
      <c r="L173" s="14"/>
      <c r="M173" s="14"/>
      <c r="N173" s="14"/>
      <c r="O173" s="14"/>
    </row>
    <row r="174">
      <c r="A174" s="14"/>
      <c r="B174" s="14"/>
      <c r="C174" s="14"/>
      <c r="D174" s="14"/>
      <c r="E174" s="224"/>
      <c r="F174" s="224"/>
      <c r="G174" s="14"/>
      <c r="H174" s="14"/>
      <c r="I174" s="14"/>
      <c r="J174" s="14"/>
      <c r="K174" s="14"/>
      <c r="L174" s="14"/>
      <c r="M174" s="14"/>
      <c r="N174" s="14"/>
      <c r="O174" s="14"/>
    </row>
    <row r="175">
      <c r="A175" s="14"/>
      <c r="B175" s="14"/>
      <c r="C175" s="14"/>
      <c r="D175" s="14"/>
      <c r="E175" s="224"/>
      <c r="F175" s="224"/>
      <c r="G175" s="14"/>
      <c r="H175" s="14"/>
      <c r="I175" s="14"/>
      <c r="J175" s="14"/>
      <c r="K175" s="14"/>
      <c r="L175" s="14"/>
      <c r="M175" s="14"/>
      <c r="N175" s="14"/>
      <c r="O175" s="14"/>
    </row>
    <row r="176">
      <c r="A176" s="14"/>
      <c r="B176" s="14"/>
      <c r="C176" s="14"/>
      <c r="D176" s="14"/>
      <c r="E176" s="224"/>
      <c r="F176" s="224"/>
      <c r="G176" s="14"/>
      <c r="H176" s="14"/>
      <c r="I176" s="14"/>
      <c r="J176" s="14"/>
      <c r="K176" s="14"/>
      <c r="L176" s="14"/>
      <c r="M176" s="14"/>
      <c r="N176" s="14"/>
      <c r="O176" s="14"/>
    </row>
    <row r="177">
      <c r="A177" s="14"/>
      <c r="B177" s="14"/>
      <c r="C177" s="14"/>
      <c r="D177" s="14"/>
      <c r="E177" s="224"/>
      <c r="F177" s="224"/>
      <c r="G177" s="14"/>
      <c r="H177" s="14"/>
      <c r="I177" s="14"/>
      <c r="J177" s="14"/>
      <c r="K177" s="14"/>
      <c r="L177" s="14"/>
      <c r="M177" s="14"/>
      <c r="N177" s="14"/>
      <c r="O177" s="14"/>
    </row>
    <row r="178">
      <c r="A178" s="14"/>
      <c r="B178" s="14"/>
      <c r="C178" s="14"/>
      <c r="D178" s="14"/>
      <c r="E178" s="224"/>
      <c r="F178" s="224"/>
      <c r="G178" s="14"/>
      <c r="H178" s="14"/>
      <c r="I178" s="14"/>
      <c r="J178" s="14"/>
      <c r="K178" s="14"/>
      <c r="L178" s="14"/>
      <c r="M178" s="14"/>
      <c r="N178" s="14"/>
      <c r="O178" s="14"/>
    </row>
    <row r="179">
      <c r="A179" s="14"/>
      <c r="B179" s="14"/>
      <c r="C179" s="14"/>
      <c r="D179" s="14"/>
      <c r="E179" s="224"/>
      <c r="F179" s="224"/>
      <c r="G179" s="14"/>
      <c r="H179" s="14"/>
      <c r="I179" s="14"/>
      <c r="J179" s="14"/>
      <c r="K179" s="14"/>
      <c r="L179" s="14"/>
      <c r="M179" s="14"/>
      <c r="N179" s="14"/>
      <c r="O179" s="14"/>
    </row>
    <row r="180">
      <c r="A180" s="14"/>
      <c r="B180" s="14"/>
      <c r="C180" s="14"/>
      <c r="D180" s="14"/>
      <c r="E180" s="224"/>
      <c r="F180" s="224"/>
      <c r="G180" s="14"/>
      <c r="H180" s="14"/>
      <c r="I180" s="14"/>
      <c r="J180" s="14"/>
      <c r="K180" s="14"/>
      <c r="L180" s="14"/>
      <c r="M180" s="14"/>
      <c r="N180" s="14"/>
      <c r="O180" s="14"/>
    </row>
    <row r="181">
      <c r="A181" s="14"/>
      <c r="B181" s="14"/>
      <c r="C181" s="14"/>
      <c r="D181" s="14"/>
      <c r="E181" s="224"/>
      <c r="F181" s="224"/>
      <c r="G181" s="14"/>
      <c r="H181" s="14"/>
      <c r="I181" s="14"/>
      <c r="J181" s="14"/>
      <c r="K181" s="14"/>
      <c r="L181" s="14"/>
      <c r="M181" s="14"/>
      <c r="N181" s="14"/>
      <c r="O181" s="14"/>
    </row>
    <row r="182">
      <c r="A182" s="14"/>
      <c r="B182" s="14"/>
      <c r="C182" s="14"/>
      <c r="D182" s="14"/>
      <c r="E182" s="224"/>
      <c r="F182" s="224"/>
      <c r="G182" s="14"/>
      <c r="H182" s="14"/>
      <c r="I182" s="14"/>
      <c r="J182" s="14"/>
      <c r="K182" s="14"/>
      <c r="L182" s="14"/>
      <c r="M182" s="14"/>
      <c r="N182" s="14"/>
      <c r="O182" s="14"/>
    </row>
    <row r="183">
      <c r="A183" s="14"/>
      <c r="B183" s="14"/>
      <c r="C183" s="14"/>
      <c r="D183" s="14"/>
      <c r="E183" s="224"/>
      <c r="F183" s="224"/>
      <c r="G183" s="14"/>
      <c r="H183" s="14"/>
      <c r="I183" s="14"/>
      <c r="J183" s="14"/>
      <c r="K183" s="14"/>
      <c r="L183" s="14"/>
      <c r="M183" s="14"/>
      <c r="N183" s="14"/>
      <c r="O183" s="14"/>
    </row>
    <row r="184">
      <c r="A184" s="14"/>
      <c r="B184" s="14"/>
      <c r="C184" s="14"/>
      <c r="D184" s="14"/>
      <c r="E184" s="224"/>
      <c r="F184" s="224"/>
      <c r="G184" s="14"/>
      <c r="H184" s="14"/>
      <c r="I184" s="14"/>
      <c r="J184" s="14"/>
      <c r="K184" s="14"/>
      <c r="L184" s="14"/>
      <c r="M184" s="14"/>
      <c r="N184" s="14"/>
      <c r="O184" s="14"/>
    </row>
    <row r="185">
      <c r="A185" s="14"/>
      <c r="B185" s="14"/>
      <c r="C185" s="14"/>
      <c r="D185" s="14"/>
      <c r="E185" s="224"/>
      <c r="F185" s="224"/>
      <c r="G185" s="14"/>
      <c r="H185" s="14"/>
      <c r="I185" s="14"/>
      <c r="J185" s="14"/>
      <c r="K185" s="14"/>
      <c r="L185" s="14"/>
      <c r="M185" s="14"/>
      <c r="N185" s="14"/>
      <c r="O185" s="14"/>
    </row>
    <row r="186">
      <c r="A186" s="14"/>
      <c r="B186" s="14"/>
      <c r="C186" s="14"/>
      <c r="D186" s="14"/>
      <c r="E186" s="224"/>
      <c r="F186" s="224"/>
      <c r="G186" s="14"/>
      <c r="H186" s="14"/>
      <c r="I186" s="14"/>
      <c r="J186" s="14"/>
      <c r="K186" s="14"/>
      <c r="L186" s="14"/>
      <c r="M186" s="14"/>
      <c r="N186" s="14"/>
      <c r="O186" s="14"/>
    </row>
    <row r="187">
      <c r="A187" s="14"/>
      <c r="B187" s="14"/>
      <c r="C187" s="14"/>
      <c r="D187" s="14"/>
      <c r="E187" s="224"/>
      <c r="F187" s="224"/>
      <c r="G187" s="14"/>
      <c r="H187" s="14"/>
      <c r="I187" s="14"/>
      <c r="J187" s="14"/>
      <c r="K187" s="14"/>
      <c r="L187" s="14"/>
      <c r="M187" s="14"/>
      <c r="N187" s="14"/>
      <c r="O187" s="14"/>
    </row>
    <row r="188">
      <c r="A188" s="14"/>
      <c r="B188" s="14"/>
      <c r="C188" s="14"/>
      <c r="D188" s="14"/>
      <c r="E188" s="224"/>
      <c r="F188" s="224"/>
      <c r="G188" s="14"/>
      <c r="H188" s="14"/>
      <c r="I188" s="14"/>
      <c r="J188" s="14"/>
      <c r="K188" s="14"/>
      <c r="L188" s="14"/>
      <c r="M188" s="14"/>
      <c r="N188" s="14"/>
      <c r="O188" s="14"/>
    </row>
    <row r="189">
      <c r="A189" s="14"/>
      <c r="B189" s="14"/>
      <c r="C189" s="14"/>
      <c r="D189" s="14"/>
      <c r="E189" s="224"/>
      <c r="F189" s="224"/>
      <c r="G189" s="14"/>
      <c r="H189" s="14"/>
      <c r="I189" s="14"/>
      <c r="J189" s="14"/>
      <c r="K189" s="14"/>
      <c r="L189" s="14"/>
      <c r="M189" s="14"/>
      <c r="N189" s="14"/>
      <c r="O189" s="14"/>
    </row>
    <row r="190">
      <c r="A190" s="14"/>
      <c r="B190" s="14"/>
      <c r="C190" s="14"/>
      <c r="D190" s="14"/>
      <c r="E190" s="224"/>
      <c r="F190" s="224"/>
      <c r="G190" s="14"/>
      <c r="H190" s="14"/>
      <c r="I190" s="14"/>
      <c r="J190" s="14"/>
      <c r="K190" s="14"/>
      <c r="L190" s="14"/>
      <c r="M190" s="14"/>
      <c r="N190" s="14"/>
      <c r="O190" s="14"/>
    </row>
    <row r="191">
      <c r="A191" s="14"/>
      <c r="B191" s="14"/>
      <c r="C191" s="14"/>
      <c r="D191" s="14"/>
      <c r="E191" s="224"/>
      <c r="F191" s="224"/>
      <c r="G191" s="14"/>
      <c r="H191" s="14"/>
      <c r="I191" s="14"/>
      <c r="J191" s="14"/>
      <c r="K191" s="14"/>
      <c r="L191" s="14"/>
      <c r="M191" s="14"/>
      <c r="N191" s="14"/>
      <c r="O191" s="14"/>
    </row>
    <row r="192">
      <c r="A192" s="14"/>
      <c r="B192" s="14"/>
      <c r="C192" s="14"/>
      <c r="D192" s="14"/>
      <c r="E192" s="224"/>
      <c r="F192" s="224"/>
      <c r="G192" s="14"/>
      <c r="H192" s="14"/>
      <c r="I192" s="14"/>
      <c r="J192" s="14"/>
      <c r="K192" s="14"/>
      <c r="L192" s="14"/>
      <c r="M192" s="14"/>
      <c r="N192" s="14"/>
      <c r="O192" s="14"/>
    </row>
    <row r="193">
      <c r="A193" s="14"/>
      <c r="B193" s="14"/>
      <c r="C193" s="14"/>
      <c r="D193" s="14"/>
      <c r="E193" s="224"/>
      <c r="F193" s="224"/>
      <c r="G193" s="14"/>
      <c r="H193" s="14"/>
      <c r="I193" s="14"/>
      <c r="J193" s="14"/>
      <c r="K193" s="14"/>
      <c r="L193" s="14"/>
      <c r="M193" s="14"/>
      <c r="N193" s="14"/>
      <c r="O193" s="14"/>
    </row>
    <row r="194">
      <c r="A194" s="14"/>
      <c r="B194" s="14"/>
      <c r="C194" s="14"/>
      <c r="D194" s="14"/>
      <c r="E194" s="224"/>
      <c r="F194" s="224"/>
      <c r="G194" s="14"/>
      <c r="H194" s="14"/>
      <c r="I194" s="14"/>
      <c r="J194" s="14"/>
      <c r="K194" s="14"/>
      <c r="L194" s="14"/>
      <c r="M194" s="14"/>
      <c r="N194" s="14"/>
      <c r="O194" s="14"/>
    </row>
    <row r="195">
      <c r="A195" s="14"/>
      <c r="B195" s="14"/>
      <c r="C195" s="14"/>
      <c r="D195" s="14"/>
      <c r="E195" s="224"/>
      <c r="F195" s="224"/>
      <c r="G195" s="14"/>
      <c r="H195" s="14"/>
      <c r="I195" s="14"/>
      <c r="J195" s="14"/>
      <c r="K195" s="14"/>
      <c r="L195" s="14"/>
      <c r="M195" s="14"/>
      <c r="N195" s="14"/>
      <c r="O195" s="14"/>
    </row>
    <row r="196">
      <c r="A196" s="14"/>
      <c r="B196" s="14"/>
      <c r="C196" s="14"/>
      <c r="D196" s="14"/>
      <c r="E196" s="224"/>
      <c r="F196" s="224"/>
      <c r="G196" s="14"/>
      <c r="H196" s="14"/>
      <c r="I196" s="14"/>
      <c r="J196" s="14"/>
      <c r="K196" s="14"/>
      <c r="L196" s="14"/>
      <c r="M196" s="14"/>
      <c r="N196" s="14"/>
      <c r="O196" s="14"/>
    </row>
    <row r="197">
      <c r="A197" s="14"/>
      <c r="B197" s="14"/>
      <c r="C197" s="14"/>
      <c r="D197" s="14"/>
      <c r="E197" s="224"/>
      <c r="F197" s="224"/>
      <c r="G197" s="14"/>
      <c r="H197" s="14"/>
      <c r="I197" s="14"/>
      <c r="J197" s="14"/>
      <c r="K197" s="14"/>
      <c r="L197" s="14"/>
      <c r="M197" s="14"/>
      <c r="N197" s="14"/>
      <c r="O197" s="14"/>
    </row>
    <row r="198">
      <c r="A198" s="14"/>
      <c r="B198" s="14"/>
      <c r="C198" s="14"/>
      <c r="D198" s="14"/>
      <c r="E198" s="224"/>
      <c r="F198" s="224"/>
      <c r="G198" s="14"/>
      <c r="H198" s="14"/>
      <c r="I198" s="14"/>
      <c r="J198" s="14"/>
      <c r="K198" s="14"/>
      <c r="L198" s="14"/>
      <c r="M198" s="14"/>
      <c r="N198" s="14"/>
      <c r="O198" s="14"/>
    </row>
    <row r="199">
      <c r="A199" s="14"/>
      <c r="B199" s="14"/>
      <c r="C199" s="14"/>
      <c r="D199" s="14"/>
      <c r="E199" s="224"/>
      <c r="F199" s="224"/>
      <c r="G199" s="14"/>
      <c r="H199" s="14"/>
      <c r="I199" s="14"/>
      <c r="J199" s="14"/>
      <c r="K199" s="14"/>
      <c r="L199" s="14"/>
      <c r="M199" s="14"/>
      <c r="N199" s="14"/>
      <c r="O199" s="14"/>
    </row>
    <row r="200">
      <c r="A200" s="14"/>
      <c r="B200" s="14"/>
      <c r="C200" s="14"/>
      <c r="D200" s="14"/>
      <c r="E200" s="224"/>
      <c r="F200" s="224"/>
      <c r="G200" s="14"/>
      <c r="H200" s="14"/>
      <c r="I200" s="14"/>
      <c r="J200" s="14"/>
      <c r="K200" s="14"/>
      <c r="L200" s="14"/>
      <c r="M200" s="14"/>
      <c r="N200" s="14"/>
      <c r="O200" s="14"/>
    </row>
    <row r="201">
      <c r="A201" s="14"/>
      <c r="B201" s="14"/>
      <c r="C201" s="14"/>
      <c r="D201" s="14"/>
      <c r="E201" s="224"/>
      <c r="F201" s="224"/>
      <c r="G201" s="14"/>
      <c r="H201" s="14"/>
      <c r="I201" s="14"/>
      <c r="J201" s="14"/>
      <c r="K201" s="14"/>
      <c r="L201" s="14"/>
      <c r="M201" s="14"/>
      <c r="N201" s="14"/>
      <c r="O201" s="14"/>
    </row>
    <row r="202">
      <c r="A202" s="14"/>
      <c r="B202" s="14"/>
      <c r="C202" s="14"/>
      <c r="D202" s="14"/>
      <c r="E202" s="224"/>
      <c r="F202" s="224"/>
      <c r="G202" s="14"/>
      <c r="H202" s="14"/>
      <c r="I202" s="14"/>
      <c r="J202" s="14"/>
      <c r="K202" s="14"/>
      <c r="L202" s="14"/>
      <c r="M202" s="14"/>
      <c r="N202" s="14"/>
      <c r="O202" s="14"/>
    </row>
    <row r="203">
      <c r="A203" s="14"/>
      <c r="B203" s="14"/>
      <c r="C203" s="14"/>
      <c r="D203" s="14"/>
      <c r="E203" s="224"/>
      <c r="F203" s="224"/>
      <c r="G203" s="14"/>
      <c r="H203" s="14"/>
      <c r="I203" s="14"/>
      <c r="J203" s="14"/>
      <c r="K203" s="14"/>
      <c r="L203" s="14"/>
      <c r="M203" s="14"/>
      <c r="N203" s="14"/>
      <c r="O203" s="14"/>
    </row>
    <row r="204">
      <c r="A204" s="14"/>
      <c r="B204" s="14"/>
      <c r="C204" s="14"/>
      <c r="D204" s="14"/>
      <c r="E204" s="224"/>
      <c r="F204" s="224"/>
      <c r="G204" s="14"/>
      <c r="H204" s="14"/>
      <c r="I204" s="14"/>
      <c r="J204" s="14"/>
      <c r="K204" s="14"/>
      <c r="L204" s="14"/>
      <c r="M204" s="14"/>
      <c r="N204" s="14"/>
      <c r="O204" s="14"/>
    </row>
    <row r="205">
      <c r="A205" s="14"/>
      <c r="B205" s="14"/>
      <c r="C205" s="14"/>
      <c r="D205" s="14"/>
      <c r="E205" s="224"/>
      <c r="F205" s="224"/>
      <c r="G205" s="14"/>
      <c r="H205" s="14"/>
      <c r="I205" s="14"/>
      <c r="J205" s="14"/>
      <c r="K205" s="14"/>
      <c r="L205" s="14"/>
      <c r="M205" s="14"/>
      <c r="N205" s="14"/>
      <c r="O205" s="14"/>
    </row>
    <row r="206">
      <c r="A206" s="14"/>
      <c r="B206" s="14"/>
      <c r="C206" s="14"/>
      <c r="D206" s="14"/>
      <c r="E206" s="224"/>
      <c r="F206" s="224"/>
      <c r="G206" s="14"/>
      <c r="H206" s="14"/>
      <c r="I206" s="14"/>
      <c r="J206" s="14"/>
      <c r="K206" s="14"/>
      <c r="L206" s="14"/>
      <c r="M206" s="14"/>
      <c r="N206" s="14"/>
      <c r="O206" s="14"/>
    </row>
    <row r="207">
      <c r="A207" s="14"/>
      <c r="B207" s="14"/>
      <c r="C207" s="14"/>
      <c r="D207" s="14"/>
      <c r="E207" s="224"/>
      <c r="F207" s="224"/>
      <c r="G207" s="14"/>
      <c r="H207" s="14"/>
      <c r="I207" s="14"/>
      <c r="J207" s="14"/>
      <c r="K207" s="14"/>
      <c r="L207" s="14"/>
      <c r="M207" s="14"/>
      <c r="N207" s="14"/>
      <c r="O207" s="14"/>
    </row>
    <row r="208">
      <c r="A208" s="14"/>
      <c r="B208" s="14"/>
      <c r="C208" s="14"/>
      <c r="D208" s="14"/>
      <c r="E208" s="224"/>
      <c r="F208" s="224"/>
      <c r="G208" s="14"/>
      <c r="H208" s="14"/>
      <c r="I208" s="14"/>
      <c r="J208" s="14"/>
      <c r="K208" s="14"/>
      <c r="L208" s="14"/>
      <c r="M208" s="14"/>
      <c r="N208" s="14"/>
      <c r="O208" s="14"/>
    </row>
    <row r="209">
      <c r="A209" s="14"/>
      <c r="B209" s="14"/>
      <c r="C209" s="14"/>
      <c r="D209" s="14"/>
      <c r="E209" s="224"/>
      <c r="F209" s="224"/>
      <c r="G209" s="14"/>
      <c r="H209" s="14"/>
      <c r="I209" s="14"/>
      <c r="J209" s="14"/>
      <c r="K209" s="14"/>
      <c r="L209" s="14"/>
      <c r="M209" s="14"/>
      <c r="N209" s="14"/>
      <c r="O209" s="14"/>
    </row>
    <row r="210">
      <c r="A210" s="14"/>
      <c r="B210" s="14"/>
      <c r="C210" s="14"/>
      <c r="D210" s="14"/>
      <c r="E210" s="224"/>
      <c r="F210" s="224"/>
      <c r="G210" s="14"/>
      <c r="H210" s="14"/>
      <c r="I210" s="14"/>
      <c r="J210" s="14"/>
      <c r="K210" s="14"/>
      <c r="L210" s="14"/>
      <c r="M210" s="14"/>
      <c r="N210" s="14"/>
      <c r="O210" s="14"/>
    </row>
    <row r="211">
      <c r="A211" s="14"/>
      <c r="B211" s="14"/>
      <c r="C211" s="14"/>
      <c r="D211" s="14"/>
      <c r="E211" s="224"/>
      <c r="F211" s="224"/>
      <c r="G211" s="14"/>
      <c r="H211" s="14"/>
      <c r="I211" s="14"/>
      <c r="J211" s="14"/>
      <c r="K211" s="14"/>
      <c r="L211" s="14"/>
      <c r="M211" s="14"/>
      <c r="N211" s="14"/>
      <c r="O211" s="14"/>
    </row>
    <row r="212">
      <c r="A212" s="14"/>
      <c r="B212" s="14"/>
      <c r="C212" s="14"/>
      <c r="D212" s="14"/>
      <c r="E212" s="224"/>
      <c r="F212" s="224"/>
      <c r="G212" s="14"/>
      <c r="H212" s="14"/>
      <c r="I212" s="14"/>
      <c r="J212" s="14"/>
      <c r="K212" s="14"/>
      <c r="L212" s="14"/>
      <c r="M212" s="14"/>
      <c r="N212" s="14"/>
      <c r="O212" s="14"/>
    </row>
    <row r="213">
      <c r="A213" s="14"/>
      <c r="B213" s="14"/>
      <c r="C213" s="14"/>
      <c r="D213" s="14"/>
      <c r="E213" s="224"/>
      <c r="F213" s="224"/>
      <c r="G213" s="14"/>
      <c r="H213" s="14"/>
      <c r="I213" s="14"/>
      <c r="J213" s="14"/>
      <c r="K213" s="14"/>
      <c r="L213" s="14"/>
      <c r="M213" s="14"/>
      <c r="N213" s="14"/>
      <c r="O213" s="14"/>
    </row>
    <row r="214">
      <c r="A214" s="14"/>
      <c r="B214" s="14"/>
      <c r="C214" s="14"/>
      <c r="D214" s="14"/>
      <c r="E214" s="224"/>
      <c r="F214" s="224"/>
      <c r="G214" s="14"/>
      <c r="H214" s="14"/>
      <c r="I214" s="14"/>
      <c r="J214" s="14"/>
      <c r="K214" s="14"/>
      <c r="L214" s="14"/>
      <c r="M214" s="14"/>
      <c r="N214" s="14"/>
      <c r="O214" s="14"/>
    </row>
    <row r="215">
      <c r="A215" s="14"/>
      <c r="B215" s="14"/>
      <c r="C215" s="14"/>
      <c r="D215" s="14"/>
      <c r="E215" s="224"/>
      <c r="F215" s="224"/>
      <c r="G215" s="14"/>
      <c r="H215" s="14"/>
      <c r="I215" s="14"/>
      <c r="J215" s="14"/>
      <c r="K215" s="14"/>
      <c r="L215" s="14"/>
      <c r="M215" s="14"/>
      <c r="N215" s="14"/>
      <c r="O215" s="14"/>
    </row>
    <row r="216">
      <c r="A216" s="14"/>
      <c r="B216" s="14"/>
      <c r="C216" s="14"/>
      <c r="D216" s="14"/>
      <c r="E216" s="224"/>
      <c r="F216" s="224"/>
      <c r="G216" s="14"/>
      <c r="H216" s="14"/>
      <c r="I216" s="14"/>
      <c r="J216" s="14"/>
      <c r="K216" s="14"/>
      <c r="L216" s="14"/>
      <c r="M216" s="14"/>
      <c r="N216" s="14"/>
      <c r="O216" s="14"/>
    </row>
    <row r="217">
      <c r="A217" s="14"/>
      <c r="B217" s="14"/>
      <c r="C217" s="14"/>
      <c r="D217" s="14"/>
      <c r="E217" s="224"/>
      <c r="F217" s="224"/>
      <c r="G217" s="14"/>
      <c r="H217" s="14"/>
      <c r="I217" s="14"/>
      <c r="J217" s="14"/>
      <c r="K217" s="14"/>
      <c r="L217" s="14"/>
      <c r="M217" s="14"/>
      <c r="N217" s="14"/>
      <c r="O217" s="14"/>
    </row>
    <row r="218">
      <c r="A218" s="14"/>
      <c r="B218" s="14"/>
      <c r="C218" s="14"/>
      <c r="D218" s="14"/>
      <c r="E218" s="224"/>
      <c r="F218" s="224"/>
      <c r="G218" s="14"/>
      <c r="H218" s="14"/>
      <c r="I218" s="14"/>
      <c r="J218" s="14"/>
      <c r="K218" s="14"/>
      <c r="L218" s="14"/>
      <c r="M218" s="14"/>
      <c r="N218" s="14"/>
      <c r="O218" s="14"/>
    </row>
    <row r="219">
      <c r="A219" s="14"/>
      <c r="B219" s="14"/>
      <c r="C219" s="14"/>
      <c r="D219" s="14"/>
      <c r="E219" s="224"/>
      <c r="F219" s="224"/>
      <c r="G219" s="14"/>
      <c r="H219" s="14"/>
      <c r="I219" s="14"/>
      <c r="J219" s="14"/>
      <c r="K219" s="14"/>
      <c r="L219" s="14"/>
      <c r="M219" s="14"/>
      <c r="N219" s="14"/>
      <c r="O219" s="14"/>
    </row>
    <row r="220">
      <c r="A220" s="14"/>
      <c r="B220" s="14"/>
      <c r="C220" s="14"/>
      <c r="D220" s="14"/>
      <c r="E220" s="224"/>
      <c r="F220" s="224"/>
      <c r="G220" s="14"/>
      <c r="H220" s="14"/>
      <c r="I220" s="14"/>
      <c r="J220" s="14"/>
      <c r="K220" s="14"/>
      <c r="L220" s="14"/>
      <c r="M220" s="14"/>
      <c r="N220" s="14"/>
      <c r="O220" s="14"/>
    </row>
    <row r="221">
      <c r="A221" s="14"/>
      <c r="B221" s="14"/>
      <c r="C221" s="14"/>
      <c r="D221" s="14"/>
      <c r="E221" s="224"/>
      <c r="F221" s="224"/>
      <c r="G221" s="14"/>
      <c r="H221" s="14"/>
      <c r="I221" s="14"/>
      <c r="J221" s="14"/>
      <c r="K221" s="14"/>
      <c r="L221" s="14"/>
      <c r="M221" s="14"/>
      <c r="N221" s="14"/>
      <c r="O221" s="14"/>
    </row>
    <row r="222">
      <c r="A222" s="14"/>
      <c r="B222" s="14"/>
      <c r="C222" s="14"/>
      <c r="D222" s="14"/>
      <c r="E222" s="224"/>
      <c r="F222" s="224"/>
      <c r="G222" s="14"/>
      <c r="H222" s="14"/>
      <c r="I222" s="14"/>
      <c r="J222" s="14"/>
      <c r="K222" s="14"/>
      <c r="L222" s="14"/>
      <c r="M222" s="14"/>
      <c r="N222" s="14"/>
      <c r="O222" s="14"/>
    </row>
    <row r="223">
      <c r="A223" s="14"/>
      <c r="B223" s="14"/>
      <c r="C223" s="14"/>
      <c r="D223" s="14"/>
      <c r="E223" s="224"/>
      <c r="F223" s="224"/>
      <c r="G223" s="14"/>
      <c r="H223" s="14"/>
      <c r="I223" s="14"/>
      <c r="J223" s="14"/>
      <c r="K223" s="14"/>
      <c r="L223" s="14"/>
      <c r="M223" s="14"/>
      <c r="N223" s="14"/>
      <c r="O223" s="14"/>
    </row>
    <row r="224">
      <c r="E224" s="225"/>
      <c r="F224" s="225"/>
    </row>
    <row r="225">
      <c r="E225" s="225"/>
      <c r="F225" s="225"/>
    </row>
    <row r="226">
      <c r="E226" s="225"/>
      <c r="F226" s="225"/>
    </row>
    <row r="227">
      <c r="E227" s="225"/>
      <c r="F227" s="225"/>
    </row>
    <row r="228">
      <c r="E228" s="225"/>
      <c r="F228" s="225"/>
    </row>
    <row r="229">
      <c r="E229" s="225"/>
      <c r="F229" s="225"/>
    </row>
    <row r="230">
      <c r="E230" s="225"/>
      <c r="F230" s="225"/>
    </row>
    <row r="231">
      <c r="E231" s="225"/>
      <c r="F231" s="225"/>
    </row>
    <row r="232">
      <c r="E232" s="225"/>
      <c r="F232" s="225"/>
    </row>
    <row r="233">
      <c r="E233" s="225"/>
      <c r="F233" s="225"/>
    </row>
    <row r="234">
      <c r="E234" s="225"/>
      <c r="F234" s="225"/>
    </row>
    <row r="235">
      <c r="E235" s="225"/>
      <c r="F235" s="225"/>
    </row>
    <row r="236">
      <c r="E236" s="225"/>
      <c r="F236" s="225"/>
    </row>
    <row r="237">
      <c r="E237" s="225"/>
      <c r="F237" s="225"/>
    </row>
    <row r="238">
      <c r="E238" s="225"/>
      <c r="F238" s="225"/>
    </row>
    <row r="239">
      <c r="E239" s="225"/>
      <c r="F239" s="225"/>
    </row>
    <row r="240">
      <c r="E240" s="225"/>
      <c r="F240" s="225"/>
    </row>
    <row r="241">
      <c r="E241" s="225"/>
      <c r="F241" s="225"/>
    </row>
    <row r="242">
      <c r="E242" s="225"/>
      <c r="F242" s="225"/>
    </row>
    <row r="243">
      <c r="E243" s="225"/>
      <c r="F243" s="225"/>
    </row>
    <row r="244">
      <c r="E244" s="225"/>
      <c r="F244" s="225"/>
    </row>
    <row r="245">
      <c r="E245" s="225"/>
      <c r="F245" s="225"/>
    </row>
    <row r="246">
      <c r="E246" s="225"/>
      <c r="F246" s="225"/>
    </row>
    <row r="247">
      <c r="E247" s="225"/>
      <c r="F247" s="225"/>
    </row>
    <row r="248">
      <c r="E248" s="225"/>
      <c r="F248" s="225"/>
    </row>
    <row r="249">
      <c r="E249" s="225"/>
      <c r="F249" s="225"/>
    </row>
    <row r="250">
      <c r="E250" s="225"/>
      <c r="F250" s="225"/>
    </row>
    <row r="251">
      <c r="E251" s="225"/>
      <c r="F251" s="225"/>
    </row>
    <row r="252">
      <c r="E252" s="225"/>
      <c r="F252" s="225"/>
    </row>
    <row r="253">
      <c r="E253" s="225"/>
      <c r="F253" s="225"/>
    </row>
    <row r="254">
      <c r="E254" s="225"/>
      <c r="F254" s="225"/>
    </row>
    <row r="255">
      <c r="E255" s="225"/>
      <c r="F255" s="225"/>
    </row>
    <row r="256">
      <c r="E256" s="225"/>
      <c r="F256" s="225"/>
    </row>
    <row r="257">
      <c r="E257" s="225"/>
      <c r="F257" s="225"/>
    </row>
    <row r="258">
      <c r="E258" s="225"/>
      <c r="F258" s="225"/>
    </row>
    <row r="259">
      <c r="E259" s="225"/>
      <c r="F259" s="225"/>
    </row>
    <row r="260">
      <c r="E260" s="225"/>
      <c r="F260" s="225"/>
    </row>
    <row r="261">
      <c r="E261" s="225"/>
      <c r="F261" s="225"/>
    </row>
    <row r="262">
      <c r="E262" s="225"/>
      <c r="F262" s="225"/>
    </row>
    <row r="263">
      <c r="E263" s="225"/>
      <c r="F263" s="225"/>
    </row>
    <row r="264">
      <c r="E264" s="225"/>
      <c r="F264" s="225"/>
    </row>
    <row r="265">
      <c r="E265" s="225"/>
      <c r="F265" s="225"/>
    </row>
    <row r="266">
      <c r="E266" s="225"/>
      <c r="F266" s="225"/>
    </row>
    <row r="267">
      <c r="E267" s="225"/>
      <c r="F267" s="225"/>
    </row>
    <row r="268">
      <c r="E268" s="225"/>
      <c r="F268" s="225"/>
    </row>
    <row r="269">
      <c r="E269" s="225"/>
      <c r="F269" s="225"/>
    </row>
    <row r="270">
      <c r="E270" s="225"/>
      <c r="F270" s="225"/>
    </row>
    <row r="271">
      <c r="E271" s="225"/>
      <c r="F271" s="225"/>
    </row>
    <row r="272">
      <c r="E272" s="225"/>
      <c r="F272" s="225"/>
    </row>
    <row r="273">
      <c r="E273" s="225"/>
      <c r="F273" s="225"/>
    </row>
    <row r="274">
      <c r="E274" s="225"/>
      <c r="F274" s="225"/>
    </row>
    <row r="275">
      <c r="E275" s="225"/>
      <c r="F275" s="225"/>
    </row>
    <row r="276">
      <c r="E276" s="225"/>
      <c r="F276" s="225"/>
    </row>
    <row r="277">
      <c r="E277" s="225"/>
      <c r="F277" s="225"/>
    </row>
    <row r="278">
      <c r="E278" s="225"/>
      <c r="F278" s="225"/>
    </row>
    <row r="279">
      <c r="E279" s="225"/>
      <c r="F279" s="225"/>
    </row>
    <row r="280">
      <c r="E280" s="225"/>
      <c r="F280" s="225"/>
    </row>
    <row r="281">
      <c r="E281" s="225"/>
      <c r="F281" s="225"/>
    </row>
    <row r="282">
      <c r="E282" s="225"/>
      <c r="F282" s="225"/>
    </row>
    <row r="283">
      <c r="E283" s="225"/>
      <c r="F283" s="225"/>
    </row>
    <row r="284">
      <c r="E284" s="225"/>
      <c r="F284" s="225"/>
    </row>
    <row r="285">
      <c r="E285" s="225"/>
      <c r="F285" s="225"/>
    </row>
    <row r="286">
      <c r="E286" s="225"/>
      <c r="F286" s="225"/>
    </row>
    <row r="287">
      <c r="E287" s="225"/>
      <c r="F287" s="225"/>
    </row>
    <row r="288">
      <c r="E288" s="225"/>
      <c r="F288" s="225"/>
    </row>
    <row r="289">
      <c r="E289" s="225"/>
      <c r="F289" s="225"/>
    </row>
    <row r="290">
      <c r="E290" s="225"/>
      <c r="F290" s="225"/>
    </row>
    <row r="291">
      <c r="E291" s="225"/>
      <c r="F291" s="225"/>
    </row>
    <row r="292">
      <c r="E292" s="225"/>
      <c r="F292" s="225"/>
    </row>
    <row r="293">
      <c r="E293" s="225"/>
      <c r="F293" s="225"/>
    </row>
    <row r="294">
      <c r="E294" s="225"/>
      <c r="F294" s="225"/>
    </row>
    <row r="295">
      <c r="E295" s="225"/>
      <c r="F295" s="225"/>
    </row>
    <row r="296">
      <c r="E296" s="225"/>
      <c r="F296" s="225"/>
    </row>
    <row r="297">
      <c r="E297" s="225"/>
      <c r="F297" s="225"/>
    </row>
    <row r="298">
      <c r="E298" s="225"/>
      <c r="F298" s="225"/>
    </row>
    <row r="299">
      <c r="E299" s="225"/>
      <c r="F299" s="225"/>
    </row>
    <row r="300">
      <c r="E300" s="225"/>
      <c r="F300" s="225"/>
    </row>
    <row r="301">
      <c r="E301" s="225"/>
      <c r="F301" s="225"/>
    </row>
    <row r="302">
      <c r="E302" s="225"/>
      <c r="F302" s="225"/>
    </row>
    <row r="303">
      <c r="E303" s="225"/>
      <c r="F303" s="225"/>
    </row>
    <row r="304">
      <c r="E304" s="225"/>
      <c r="F304" s="225"/>
    </row>
    <row r="305">
      <c r="E305" s="225"/>
      <c r="F305" s="225"/>
    </row>
    <row r="306">
      <c r="E306" s="225"/>
      <c r="F306" s="225"/>
    </row>
    <row r="307">
      <c r="E307" s="225"/>
      <c r="F307" s="225"/>
    </row>
    <row r="308">
      <c r="E308" s="225"/>
      <c r="F308" s="225"/>
    </row>
    <row r="309">
      <c r="E309" s="225"/>
      <c r="F309" s="225"/>
    </row>
    <row r="310">
      <c r="E310" s="225"/>
      <c r="F310" s="225"/>
    </row>
    <row r="311">
      <c r="E311" s="225"/>
      <c r="F311" s="225"/>
    </row>
    <row r="312">
      <c r="E312" s="225"/>
      <c r="F312" s="225"/>
    </row>
    <row r="313">
      <c r="E313" s="225"/>
      <c r="F313" s="225"/>
    </row>
    <row r="314">
      <c r="E314" s="225"/>
      <c r="F314" s="225"/>
    </row>
    <row r="315">
      <c r="E315" s="225"/>
      <c r="F315" s="225"/>
    </row>
    <row r="316">
      <c r="E316" s="225"/>
      <c r="F316" s="225"/>
    </row>
    <row r="317">
      <c r="E317" s="225"/>
      <c r="F317" s="225"/>
    </row>
    <row r="318">
      <c r="E318" s="225"/>
      <c r="F318" s="225"/>
    </row>
    <row r="319">
      <c r="E319" s="225"/>
      <c r="F319" s="225"/>
    </row>
    <row r="320">
      <c r="E320" s="225"/>
      <c r="F320" s="225"/>
    </row>
    <row r="321">
      <c r="E321" s="225"/>
      <c r="F321" s="225"/>
    </row>
    <row r="322">
      <c r="E322" s="225"/>
      <c r="F322" s="225"/>
    </row>
    <row r="323">
      <c r="E323" s="225"/>
      <c r="F323" s="225"/>
    </row>
    <row r="324">
      <c r="E324" s="225"/>
      <c r="F324" s="225"/>
    </row>
    <row r="325">
      <c r="E325" s="225"/>
      <c r="F325" s="225"/>
    </row>
    <row r="326">
      <c r="E326" s="225"/>
      <c r="F326" s="225"/>
    </row>
    <row r="327">
      <c r="E327" s="225"/>
      <c r="F327" s="225"/>
    </row>
    <row r="328">
      <c r="E328" s="225"/>
      <c r="F328" s="225"/>
    </row>
    <row r="329">
      <c r="E329" s="225"/>
      <c r="F329" s="225"/>
    </row>
    <row r="330">
      <c r="E330" s="225"/>
      <c r="F330" s="225"/>
    </row>
    <row r="331">
      <c r="E331" s="225"/>
      <c r="F331" s="225"/>
    </row>
    <row r="332">
      <c r="E332" s="225"/>
      <c r="F332" s="225"/>
    </row>
    <row r="333">
      <c r="E333" s="225"/>
      <c r="F333" s="225"/>
    </row>
    <row r="334">
      <c r="E334" s="225"/>
      <c r="F334" s="225"/>
    </row>
    <row r="335">
      <c r="E335" s="225"/>
      <c r="F335" s="225"/>
    </row>
    <row r="336">
      <c r="E336" s="225"/>
      <c r="F336" s="225"/>
    </row>
    <row r="337">
      <c r="E337" s="225"/>
      <c r="F337" s="225"/>
    </row>
    <row r="338">
      <c r="E338" s="225"/>
      <c r="F338" s="225"/>
    </row>
    <row r="339">
      <c r="E339" s="225"/>
      <c r="F339" s="225"/>
    </row>
    <row r="340">
      <c r="E340" s="225"/>
      <c r="F340" s="225"/>
    </row>
    <row r="341">
      <c r="E341" s="225"/>
      <c r="F341" s="225"/>
    </row>
    <row r="342">
      <c r="E342" s="225"/>
      <c r="F342" s="225"/>
    </row>
    <row r="343">
      <c r="E343" s="225"/>
      <c r="F343" s="225"/>
    </row>
    <row r="344">
      <c r="E344" s="225"/>
      <c r="F344" s="225"/>
    </row>
    <row r="345">
      <c r="E345" s="225"/>
      <c r="F345" s="225"/>
    </row>
    <row r="346">
      <c r="E346" s="225"/>
      <c r="F346" s="225"/>
    </row>
    <row r="347">
      <c r="E347" s="225"/>
      <c r="F347" s="225"/>
    </row>
    <row r="348">
      <c r="E348" s="225"/>
      <c r="F348" s="225"/>
    </row>
    <row r="349">
      <c r="E349" s="225"/>
      <c r="F349" s="225"/>
    </row>
    <row r="350">
      <c r="E350" s="225"/>
      <c r="F350" s="225"/>
    </row>
    <row r="351">
      <c r="E351" s="225"/>
      <c r="F351" s="225"/>
    </row>
    <row r="352">
      <c r="E352" s="225"/>
      <c r="F352" s="225"/>
    </row>
    <row r="353">
      <c r="E353" s="225"/>
      <c r="F353" s="225"/>
    </row>
    <row r="354">
      <c r="E354" s="225"/>
      <c r="F354" s="225"/>
    </row>
    <row r="355">
      <c r="E355" s="225"/>
      <c r="F355" s="225"/>
    </row>
    <row r="356">
      <c r="E356" s="225"/>
      <c r="F356" s="225"/>
    </row>
    <row r="357">
      <c r="E357" s="225"/>
      <c r="F357" s="225"/>
    </row>
    <row r="358">
      <c r="E358" s="225"/>
      <c r="F358" s="225"/>
    </row>
    <row r="359">
      <c r="E359" s="225"/>
      <c r="F359" s="225"/>
    </row>
    <row r="360">
      <c r="E360" s="225"/>
      <c r="F360" s="225"/>
    </row>
    <row r="361">
      <c r="E361" s="225"/>
      <c r="F361" s="225"/>
    </row>
    <row r="362">
      <c r="E362" s="225"/>
      <c r="F362" s="225"/>
    </row>
    <row r="363">
      <c r="E363" s="225"/>
      <c r="F363" s="225"/>
    </row>
    <row r="364">
      <c r="E364" s="225"/>
      <c r="F364" s="225"/>
    </row>
    <row r="365">
      <c r="E365" s="225"/>
      <c r="F365" s="225"/>
    </row>
    <row r="366">
      <c r="E366" s="225"/>
      <c r="F366" s="225"/>
    </row>
    <row r="367">
      <c r="E367" s="225"/>
      <c r="F367" s="225"/>
    </row>
    <row r="368">
      <c r="E368" s="225"/>
      <c r="F368" s="225"/>
    </row>
    <row r="369">
      <c r="E369" s="225"/>
      <c r="F369" s="225"/>
    </row>
    <row r="370">
      <c r="E370" s="225"/>
      <c r="F370" s="225"/>
    </row>
    <row r="371">
      <c r="E371" s="225"/>
      <c r="F371" s="225"/>
    </row>
    <row r="372">
      <c r="E372" s="225"/>
      <c r="F372" s="225"/>
    </row>
    <row r="373">
      <c r="E373" s="225"/>
      <c r="F373" s="225"/>
    </row>
    <row r="374">
      <c r="E374" s="225"/>
      <c r="F374" s="225"/>
    </row>
    <row r="375">
      <c r="E375" s="225"/>
      <c r="F375" s="225"/>
    </row>
    <row r="376">
      <c r="E376" s="225"/>
      <c r="F376" s="225"/>
    </row>
    <row r="377">
      <c r="E377" s="225"/>
      <c r="F377" s="225"/>
    </row>
    <row r="378">
      <c r="E378" s="225"/>
      <c r="F378" s="225"/>
    </row>
    <row r="379">
      <c r="E379" s="225"/>
      <c r="F379" s="225"/>
    </row>
    <row r="380">
      <c r="E380" s="225"/>
      <c r="F380" s="225"/>
    </row>
    <row r="381">
      <c r="E381" s="225"/>
      <c r="F381" s="225"/>
    </row>
    <row r="382">
      <c r="E382" s="225"/>
      <c r="F382" s="225"/>
    </row>
    <row r="383">
      <c r="E383" s="225"/>
      <c r="F383" s="225"/>
    </row>
    <row r="384">
      <c r="E384" s="225"/>
      <c r="F384" s="225"/>
    </row>
    <row r="385">
      <c r="E385" s="225"/>
      <c r="F385" s="225"/>
    </row>
    <row r="386">
      <c r="E386" s="225"/>
      <c r="F386" s="225"/>
    </row>
    <row r="387">
      <c r="E387" s="225"/>
      <c r="F387" s="225"/>
    </row>
    <row r="388">
      <c r="E388" s="225"/>
      <c r="F388" s="225"/>
    </row>
    <row r="389">
      <c r="E389" s="225"/>
      <c r="F389" s="225"/>
    </row>
    <row r="390">
      <c r="E390" s="225"/>
      <c r="F390" s="225"/>
    </row>
    <row r="391">
      <c r="E391" s="225"/>
      <c r="F391" s="225"/>
    </row>
    <row r="392">
      <c r="E392" s="225"/>
      <c r="F392" s="225"/>
    </row>
    <row r="393">
      <c r="E393" s="225"/>
      <c r="F393" s="225"/>
    </row>
    <row r="394">
      <c r="E394" s="225"/>
      <c r="F394" s="225"/>
    </row>
    <row r="395">
      <c r="E395" s="225"/>
      <c r="F395" s="225"/>
    </row>
    <row r="396">
      <c r="E396" s="225"/>
      <c r="F396" s="225"/>
    </row>
    <row r="397">
      <c r="E397" s="225"/>
      <c r="F397" s="225"/>
    </row>
    <row r="398">
      <c r="E398" s="225"/>
      <c r="F398" s="225"/>
    </row>
    <row r="399">
      <c r="E399" s="225"/>
      <c r="F399" s="225"/>
    </row>
    <row r="400">
      <c r="E400" s="225"/>
      <c r="F400" s="225"/>
    </row>
    <row r="401">
      <c r="E401" s="225"/>
      <c r="F401" s="225"/>
    </row>
    <row r="402">
      <c r="E402" s="225"/>
      <c r="F402" s="225"/>
    </row>
    <row r="403">
      <c r="E403" s="225"/>
      <c r="F403" s="225"/>
    </row>
    <row r="404">
      <c r="E404" s="225"/>
      <c r="F404" s="225"/>
    </row>
    <row r="405">
      <c r="E405" s="225"/>
      <c r="F405" s="225"/>
    </row>
    <row r="406">
      <c r="E406" s="225"/>
      <c r="F406" s="225"/>
    </row>
    <row r="407">
      <c r="E407" s="225"/>
      <c r="F407" s="225"/>
    </row>
    <row r="408">
      <c r="E408" s="225"/>
      <c r="F408" s="225"/>
    </row>
    <row r="409">
      <c r="E409" s="225"/>
      <c r="F409" s="225"/>
    </row>
    <row r="410">
      <c r="E410" s="225"/>
      <c r="F410" s="225"/>
    </row>
    <row r="411">
      <c r="E411" s="225"/>
      <c r="F411" s="225"/>
    </row>
    <row r="412">
      <c r="E412" s="225"/>
      <c r="F412" s="225"/>
    </row>
    <row r="413">
      <c r="E413" s="225"/>
      <c r="F413" s="225"/>
    </row>
    <row r="414">
      <c r="E414" s="225"/>
      <c r="F414" s="225"/>
    </row>
    <row r="415">
      <c r="E415" s="225"/>
      <c r="F415" s="225"/>
    </row>
    <row r="416">
      <c r="E416" s="225"/>
      <c r="F416" s="225"/>
    </row>
    <row r="417">
      <c r="E417" s="225"/>
      <c r="F417" s="225"/>
    </row>
    <row r="418">
      <c r="E418" s="225"/>
      <c r="F418" s="225"/>
    </row>
    <row r="419">
      <c r="E419" s="225"/>
      <c r="F419" s="225"/>
    </row>
    <row r="420">
      <c r="E420" s="225"/>
      <c r="F420" s="225"/>
    </row>
    <row r="421">
      <c r="E421" s="225"/>
      <c r="F421" s="225"/>
    </row>
    <row r="422">
      <c r="E422" s="225"/>
      <c r="F422" s="225"/>
    </row>
    <row r="423">
      <c r="E423" s="225"/>
      <c r="F423" s="225"/>
    </row>
    <row r="424">
      <c r="E424" s="225"/>
      <c r="F424" s="225"/>
    </row>
    <row r="425">
      <c r="E425" s="225"/>
      <c r="F425" s="225"/>
    </row>
    <row r="426">
      <c r="E426" s="225"/>
      <c r="F426" s="225"/>
    </row>
    <row r="427">
      <c r="E427" s="225"/>
      <c r="F427" s="225"/>
    </row>
    <row r="428">
      <c r="E428" s="225"/>
      <c r="F428" s="225"/>
    </row>
    <row r="429">
      <c r="E429" s="225"/>
      <c r="F429" s="225"/>
    </row>
    <row r="430">
      <c r="E430" s="225"/>
      <c r="F430" s="225"/>
    </row>
    <row r="431">
      <c r="E431" s="225"/>
      <c r="F431" s="225"/>
    </row>
    <row r="432">
      <c r="E432" s="225"/>
      <c r="F432" s="225"/>
    </row>
    <row r="433">
      <c r="E433" s="225"/>
      <c r="F433" s="225"/>
    </row>
    <row r="434">
      <c r="E434" s="225"/>
      <c r="F434" s="225"/>
    </row>
    <row r="435">
      <c r="E435" s="225"/>
      <c r="F435" s="225"/>
    </row>
    <row r="436">
      <c r="E436" s="225"/>
      <c r="F436" s="225"/>
    </row>
    <row r="437">
      <c r="E437" s="225"/>
      <c r="F437" s="225"/>
    </row>
    <row r="438">
      <c r="E438" s="225"/>
      <c r="F438" s="225"/>
    </row>
    <row r="439">
      <c r="E439" s="225"/>
      <c r="F439" s="225"/>
    </row>
    <row r="440">
      <c r="E440" s="225"/>
      <c r="F440" s="225"/>
    </row>
    <row r="441">
      <c r="E441" s="225"/>
      <c r="F441" s="225"/>
    </row>
    <row r="442">
      <c r="E442" s="225"/>
      <c r="F442" s="225"/>
    </row>
    <row r="443">
      <c r="E443" s="225"/>
      <c r="F443" s="225"/>
    </row>
    <row r="444">
      <c r="E444" s="225"/>
      <c r="F444" s="225"/>
    </row>
    <row r="445">
      <c r="E445" s="225"/>
      <c r="F445" s="225"/>
    </row>
    <row r="446">
      <c r="E446" s="225"/>
      <c r="F446" s="225"/>
    </row>
    <row r="447">
      <c r="E447" s="225"/>
      <c r="F447" s="225"/>
    </row>
    <row r="448">
      <c r="E448" s="225"/>
      <c r="F448" s="225"/>
    </row>
    <row r="449">
      <c r="E449" s="225"/>
      <c r="F449" s="225"/>
    </row>
    <row r="450">
      <c r="E450" s="225"/>
      <c r="F450" s="225"/>
    </row>
    <row r="451">
      <c r="E451" s="225"/>
      <c r="F451" s="225"/>
    </row>
    <row r="452">
      <c r="E452" s="225"/>
      <c r="F452" s="225"/>
    </row>
    <row r="453">
      <c r="E453" s="225"/>
      <c r="F453" s="225"/>
    </row>
    <row r="454">
      <c r="E454" s="225"/>
      <c r="F454" s="225"/>
    </row>
    <row r="455">
      <c r="E455" s="225"/>
      <c r="F455" s="225"/>
    </row>
    <row r="456">
      <c r="E456" s="225"/>
      <c r="F456" s="225"/>
    </row>
    <row r="457">
      <c r="E457" s="225"/>
      <c r="F457" s="225"/>
    </row>
    <row r="458">
      <c r="E458" s="225"/>
      <c r="F458" s="225"/>
    </row>
    <row r="459">
      <c r="E459" s="225"/>
      <c r="F459" s="225"/>
    </row>
    <row r="460">
      <c r="E460" s="225"/>
      <c r="F460" s="225"/>
    </row>
    <row r="461">
      <c r="E461" s="225"/>
      <c r="F461" s="225"/>
    </row>
    <row r="462">
      <c r="E462" s="225"/>
      <c r="F462" s="225"/>
    </row>
    <row r="463">
      <c r="E463" s="225"/>
      <c r="F463" s="225"/>
    </row>
    <row r="464">
      <c r="E464" s="225"/>
      <c r="F464" s="225"/>
    </row>
    <row r="465">
      <c r="E465" s="225"/>
      <c r="F465" s="225"/>
    </row>
    <row r="466">
      <c r="E466" s="225"/>
      <c r="F466" s="225"/>
    </row>
    <row r="467">
      <c r="E467" s="225"/>
      <c r="F467" s="225"/>
    </row>
    <row r="468">
      <c r="E468" s="225"/>
      <c r="F468" s="225"/>
    </row>
    <row r="469">
      <c r="E469" s="225"/>
      <c r="F469" s="225"/>
    </row>
    <row r="470">
      <c r="E470" s="225"/>
      <c r="F470" s="225"/>
    </row>
    <row r="471">
      <c r="E471" s="225"/>
      <c r="F471" s="225"/>
    </row>
    <row r="472">
      <c r="E472" s="225"/>
      <c r="F472" s="225"/>
    </row>
    <row r="473">
      <c r="E473" s="225"/>
      <c r="F473" s="225"/>
    </row>
    <row r="474">
      <c r="E474" s="225"/>
      <c r="F474" s="225"/>
    </row>
    <row r="475">
      <c r="E475" s="225"/>
      <c r="F475" s="225"/>
    </row>
    <row r="476">
      <c r="E476" s="225"/>
      <c r="F476" s="225"/>
    </row>
    <row r="477">
      <c r="E477" s="225"/>
      <c r="F477" s="225"/>
    </row>
    <row r="478">
      <c r="E478" s="225"/>
      <c r="F478" s="225"/>
    </row>
    <row r="479">
      <c r="E479" s="225"/>
      <c r="F479" s="225"/>
    </row>
    <row r="480">
      <c r="E480" s="225"/>
      <c r="F480" s="225"/>
    </row>
    <row r="481">
      <c r="E481" s="225"/>
      <c r="F481" s="225"/>
    </row>
    <row r="482">
      <c r="E482" s="225"/>
      <c r="F482" s="225"/>
    </row>
    <row r="483">
      <c r="E483" s="225"/>
      <c r="F483" s="225"/>
    </row>
    <row r="484">
      <c r="E484" s="225"/>
      <c r="F484" s="225"/>
    </row>
    <row r="485">
      <c r="E485" s="225"/>
      <c r="F485" s="225"/>
    </row>
    <row r="486">
      <c r="E486" s="225"/>
      <c r="F486" s="225"/>
    </row>
    <row r="487">
      <c r="E487" s="225"/>
      <c r="F487" s="225"/>
    </row>
    <row r="488">
      <c r="E488" s="225"/>
      <c r="F488" s="225"/>
    </row>
    <row r="489">
      <c r="E489" s="225"/>
      <c r="F489" s="225"/>
    </row>
    <row r="490">
      <c r="E490" s="225"/>
      <c r="F490" s="225"/>
    </row>
    <row r="491">
      <c r="E491" s="225"/>
      <c r="F491" s="225"/>
    </row>
    <row r="492">
      <c r="E492" s="225"/>
      <c r="F492" s="225"/>
    </row>
    <row r="493">
      <c r="E493" s="225"/>
      <c r="F493" s="225"/>
    </row>
    <row r="494">
      <c r="E494" s="225"/>
      <c r="F494" s="225"/>
    </row>
    <row r="495">
      <c r="E495" s="225"/>
      <c r="F495" s="225"/>
    </row>
    <row r="496">
      <c r="E496" s="225"/>
      <c r="F496" s="225"/>
    </row>
    <row r="497">
      <c r="E497" s="225"/>
      <c r="F497" s="225"/>
    </row>
    <row r="498">
      <c r="E498" s="225"/>
      <c r="F498" s="225"/>
    </row>
    <row r="499">
      <c r="E499" s="225"/>
      <c r="F499" s="225"/>
    </row>
    <row r="500">
      <c r="E500" s="225"/>
      <c r="F500" s="225"/>
    </row>
    <row r="501">
      <c r="E501" s="225"/>
      <c r="F501" s="225"/>
    </row>
    <row r="502">
      <c r="E502" s="225"/>
      <c r="F502" s="225"/>
    </row>
    <row r="503">
      <c r="E503" s="225"/>
      <c r="F503" s="225"/>
    </row>
    <row r="504">
      <c r="E504" s="225"/>
      <c r="F504" s="225"/>
    </row>
    <row r="505">
      <c r="E505" s="225"/>
      <c r="F505" s="225"/>
    </row>
    <row r="506">
      <c r="E506" s="225"/>
      <c r="F506" s="225"/>
    </row>
    <row r="507">
      <c r="E507" s="225"/>
      <c r="F507" s="225"/>
    </row>
    <row r="508">
      <c r="E508" s="225"/>
      <c r="F508" s="225"/>
    </row>
    <row r="509">
      <c r="E509" s="225"/>
      <c r="F509" s="225"/>
    </row>
    <row r="510">
      <c r="E510" s="225"/>
      <c r="F510" s="225"/>
    </row>
    <row r="511">
      <c r="E511" s="225"/>
      <c r="F511" s="225"/>
    </row>
    <row r="512">
      <c r="E512" s="225"/>
      <c r="F512" s="225"/>
    </row>
    <row r="513">
      <c r="E513" s="225"/>
      <c r="F513" s="225"/>
    </row>
    <row r="514">
      <c r="E514" s="225"/>
      <c r="F514" s="225"/>
    </row>
    <row r="515">
      <c r="E515" s="225"/>
      <c r="F515" s="225"/>
    </row>
    <row r="516">
      <c r="E516" s="225"/>
      <c r="F516" s="225"/>
    </row>
    <row r="517">
      <c r="E517" s="225"/>
      <c r="F517" s="225"/>
    </row>
    <row r="518">
      <c r="E518" s="225"/>
      <c r="F518" s="225"/>
    </row>
    <row r="519">
      <c r="E519" s="225"/>
      <c r="F519" s="225"/>
    </row>
    <row r="520">
      <c r="E520" s="225"/>
      <c r="F520" s="225"/>
    </row>
    <row r="521">
      <c r="E521" s="225"/>
      <c r="F521" s="225"/>
    </row>
    <row r="522">
      <c r="E522" s="225"/>
      <c r="F522" s="225"/>
    </row>
    <row r="523">
      <c r="E523" s="225"/>
      <c r="F523" s="225"/>
    </row>
    <row r="524">
      <c r="E524" s="225"/>
      <c r="F524" s="225"/>
    </row>
    <row r="525">
      <c r="E525" s="225"/>
      <c r="F525" s="225"/>
    </row>
    <row r="526">
      <c r="E526" s="225"/>
      <c r="F526" s="225"/>
    </row>
    <row r="527">
      <c r="E527" s="225"/>
      <c r="F527" s="225"/>
    </row>
    <row r="528">
      <c r="E528" s="225"/>
      <c r="F528" s="225"/>
    </row>
    <row r="529">
      <c r="E529" s="225"/>
      <c r="F529" s="225"/>
    </row>
    <row r="530">
      <c r="E530" s="225"/>
      <c r="F530" s="225"/>
    </row>
    <row r="531">
      <c r="E531" s="225"/>
      <c r="F531" s="225"/>
    </row>
    <row r="532">
      <c r="E532" s="225"/>
      <c r="F532" s="225"/>
    </row>
    <row r="533">
      <c r="E533" s="225"/>
      <c r="F533" s="225"/>
    </row>
    <row r="534">
      <c r="E534" s="225"/>
      <c r="F534" s="225"/>
    </row>
    <row r="535">
      <c r="E535" s="225"/>
      <c r="F535" s="225"/>
    </row>
    <row r="536">
      <c r="E536" s="225"/>
      <c r="F536" s="225"/>
    </row>
    <row r="537">
      <c r="E537" s="225"/>
      <c r="F537" s="225"/>
    </row>
    <row r="538">
      <c r="E538" s="225"/>
      <c r="F538" s="225"/>
    </row>
    <row r="539">
      <c r="E539" s="225"/>
      <c r="F539" s="225"/>
    </row>
    <row r="540">
      <c r="E540" s="225"/>
      <c r="F540" s="225"/>
    </row>
    <row r="541">
      <c r="E541" s="225"/>
      <c r="F541" s="225"/>
    </row>
    <row r="542">
      <c r="E542" s="225"/>
      <c r="F542" s="225"/>
    </row>
    <row r="543">
      <c r="E543" s="225"/>
      <c r="F543" s="225"/>
    </row>
    <row r="544">
      <c r="E544" s="225"/>
      <c r="F544" s="225"/>
    </row>
    <row r="545">
      <c r="E545" s="225"/>
      <c r="F545" s="225"/>
    </row>
    <row r="546">
      <c r="E546" s="225"/>
      <c r="F546" s="225"/>
    </row>
    <row r="547">
      <c r="E547" s="225"/>
      <c r="F547" s="225"/>
    </row>
    <row r="548">
      <c r="E548" s="225"/>
      <c r="F548" s="225"/>
    </row>
    <row r="549">
      <c r="E549" s="225"/>
      <c r="F549" s="225"/>
    </row>
    <row r="550">
      <c r="E550" s="225"/>
      <c r="F550" s="225"/>
    </row>
    <row r="551">
      <c r="E551" s="225"/>
      <c r="F551" s="225"/>
    </row>
    <row r="552">
      <c r="E552" s="225"/>
      <c r="F552" s="225"/>
    </row>
    <row r="553">
      <c r="E553" s="225"/>
      <c r="F553" s="225"/>
    </row>
    <row r="554">
      <c r="E554" s="225"/>
      <c r="F554" s="225"/>
    </row>
    <row r="555">
      <c r="E555" s="225"/>
      <c r="F555" s="225"/>
    </row>
    <row r="556">
      <c r="E556" s="225"/>
      <c r="F556" s="225"/>
    </row>
    <row r="557">
      <c r="E557" s="225"/>
      <c r="F557" s="225"/>
    </row>
    <row r="558">
      <c r="E558" s="225"/>
      <c r="F558" s="225"/>
    </row>
    <row r="559">
      <c r="E559" s="225"/>
      <c r="F559" s="225"/>
    </row>
    <row r="560">
      <c r="E560" s="225"/>
      <c r="F560" s="225"/>
    </row>
    <row r="561">
      <c r="E561" s="225"/>
      <c r="F561" s="225"/>
    </row>
    <row r="562">
      <c r="E562" s="225"/>
      <c r="F562" s="225"/>
    </row>
    <row r="563">
      <c r="E563" s="225"/>
      <c r="F563" s="225"/>
    </row>
    <row r="564">
      <c r="E564" s="225"/>
      <c r="F564" s="225"/>
    </row>
    <row r="565">
      <c r="E565" s="225"/>
      <c r="F565" s="225"/>
    </row>
    <row r="566">
      <c r="E566" s="225"/>
      <c r="F566" s="225"/>
    </row>
    <row r="567">
      <c r="E567" s="225"/>
      <c r="F567" s="225"/>
    </row>
    <row r="568">
      <c r="E568" s="225"/>
      <c r="F568" s="225"/>
    </row>
    <row r="569">
      <c r="E569" s="225"/>
      <c r="F569" s="225"/>
    </row>
    <row r="570">
      <c r="E570" s="225"/>
      <c r="F570" s="225"/>
    </row>
    <row r="571">
      <c r="E571" s="225"/>
      <c r="F571" s="225"/>
    </row>
    <row r="572">
      <c r="E572" s="225"/>
      <c r="F572" s="225"/>
    </row>
    <row r="573">
      <c r="E573" s="225"/>
      <c r="F573" s="225"/>
    </row>
    <row r="574">
      <c r="E574" s="225"/>
      <c r="F574" s="225"/>
    </row>
    <row r="575">
      <c r="E575" s="225"/>
      <c r="F575" s="225"/>
    </row>
    <row r="576">
      <c r="E576" s="225"/>
      <c r="F576" s="225"/>
    </row>
    <row r="577">
      <c r="E577" s="225"/>
      <c r="F577" s="225"/>
    </row>
    <row r="578">
      <c r="E578" s="225"/>
      <c r="F578" s="225"/>
    </row>
    <row r="579">
      <c r="E579" s="225"/>
      <c r="F579" s="225"/>
    </row>
    <row r="580">
      <c r="E580" s="225"/>
      <c r="F580" s="225"/>
    </row>
    <row r="581">
      <c r="E581" s="225"/>
      <c r="F581" s="225"/>
    </row>
    <row r="582">
      <c r="E582" s="225"/>
      <c r="F582" s="225"/>
    </row>
    <row r="583">
      <c r="E583" s="225"/>
      <c r="F583" s="225"/>
    </row>
    <row r="584">
      <c r="E584" s="225"/>
      <c r="F584" s="225"/>
    </row>
    <row r="585">
      <c r="E585" s="225"/>
      <c r="F585" s="225"/>
    </row>
    <row r="586">
      <c r="E586" s="225"/>
      <c r="F586" s="225"/>
    </row>
    <row r="587">
      <c r="E587" s="225"/>
      <c r="F587" s="225"/>
    </row>
    <row r="588">
      <c r="E588" s="225"/>
      <c r="F588" s="225"/>
    </row>
    <row r="589">
      <c r="E589" s="225"/>
      <c r="F589" s="225"/>
    </row>
    <row r="590">
      <c r="E590" s="225"/>
      <c r="F590" s="225"/>
    </row>
    <row r="591">
      <c r="E591" s="225"/>
      <c r="F591" s="225"/>
    </row>
    <row r="592">
      <c r="E592" s="225"/>
      <c r="F592" s="225"/>
    </row>
    <row r="593">
      <c r="E593" s="225"/>
      <c r="F593" s="225"/>
    </row>
    <row r="594">
      <c r="E594" s="225"/>
      <c r="F594" s="225"/>
    </row>
    <row r="595">
      <c r="E595" s="225"/>
      <c r="F595" s="225"/>
    </row>
    <row r="596">
      <c r="E596" s="225"/>
      <c r="F596" s="225"/>
    </row>
    <row r="597">
      <c r="E597" s="225"/>
      <c r="F597" s="225"/>
    </row>
    <row r="598">
      <c r="E598" s="225"/>
      <c r="F598" s="225"/>
    </row>
    <row r="599">
      <c r="E599" s="225"/>
      <c r="F599" s="225"/>
    </row>
    <row r="600">
      <c r="E600" s="225"/>
      <c r="F600" s="225"/>
    </row>
    <row r="601">
      <c r="E601" s="225"/>
      <c r="F601" s="225"/>
    </row>
    <row r="602">
      <c r="E602" s="225"/>
      <c r="F602" s="225"/>
    </row>
    <row r="603">
      <c r="E603" s="225"/>
      <c r="F603" s="225"/>
    </row>
    <row r="604">
      <c r="E604" s="225"/>
      <c r="F604" s="225"/>
    </row>
    <row r="605">
      <c r="E605" s="225"/>
      <c r="F605" s="225"/>
    </row>
    <row r="606">
      <c r="E606" s="225"/>
      <c r="F606" s="225"/>
    </row>
    <row r="607">
      <c r="E607" s="225"/>
      <c r="F607" s="225"/>
    </row>
    <row r="608">
      <c r="E608" s="225"/>
      <c r="F608" s="225"/>
    </row>
    <row r="609">
      <c r="E609" s="225"/>
      <c r="F609" s="225"/>
    </row>
    <row r="610">
      <c r="E610" s="225"/>
      <c r="F610" s="225"/>
    </row>
    <row r="611">
      <c r="E611" s="225"/>
      <c r="F611" s="225"/>
    </row>
    <row r="612">
      <c r="E612" s="225"/>
      <c r="F612" s="225"/>
    </row>
    <row r="613">
      <c r="E613" s="225"/>
      <c r="F613" s="225"/>
    </row>
    <row r="614">
      <c r="E614" s="225"/>
      <c r="F614" s="225"/>
    </row>
    <row r="615">
      <c r="E615" s="225"/>
      <c r="F615" s="225"/>
    </row>
    <row r="616">
      <c r="E616" s="225"/>
      <c r="F616" s="225"/>
    </row>
    <row r="617">
      <c r="E617" s="225"/>
      <c r="F617" s="225"/>
    </row>
    <row r="618">
      <c r="E618" s="225"/>
      <c r="F618" s="225"/>
    </row>
    <row r="619">
      <c r="E619" s="225"/>
      <c r="F619" s="225"/>
    </row>
    <row r="620">
      <c r="E620" s="225"/>
      <c r="F620" s="225"/>
    </row>
    <row r="621">
      <c r="E621" s="225"/>
      <c r="F621" s="225"/>
    </row>
    <row r="622">
      <c r="E622" s="225"/>
      <c r="F622" s="225"/>
    </row>
    <row r="623">
      <c r="E623" s="225"/>
      <c r="F623" s="225"/>
    </row>
    <row r="624">
      <c r="E624" s="225"/>
      <c r="F624" s="225"/>
    </row>
    <row r="625">
      <c r="E625" s="225"/>
      <c r="F625" s="225"/>
    </row>
    <row r="626">
      <c r="E626" s="225"/>
      <c r="F626" s="225"/>
    </row>
    <row r="627">
      <c r="E627" s="225"/>
      <c r="F627" s="225"/>
    </row>
    <row r="628">
      <c r="E628" s="225"/>
      <c r="F628" s="225"/>
    </row>
    <row r="629">
      <c r="E629" s="225"/>
      <c r="F629" s="225"/>
    </row>
    <row r="630">
      <c r="E630" s="225"/>
      <c r="F630" s="225"/>
    </row>
    <row r="631">
      <c r="E631" s="225"/>
      <c r="F631" s="225"/>
    </row>
    <row r="632">
      <c r="E632" s="225"/>
      <c r="F632" s="225"/>
    </row>
    <row r="633">
      <c r="E633" s="225"/>
      <c r="F633" s="225"/>
    </row>
    <row r="634">
      <c r="E634" s="225"/>
      <c r="F634" s="225"/>
    </row>
    <row r="635">
      <c r="E635" s="225"/>
      <c r="F635" s="225"/>
    </row>
    <row r="636">
      <c r="E636" s="225"/>
      <c r="F636" s="225"/>
    </row>
    <row r="637">
      <c r="E637" s="225"/>
      <c r="F637" s="225"/>
    </row>
    <row r="638">
      <c r="E638" s="225"/>
      <c r="F638" s="225"/>
    </row>
    <row r="639">
      <c r="E639" s="225"/>
      <c r="F639" s="225"/>
    </row>
    <row r="640">
      <c r="E640" s="225"/>
      <c r="F640" s="225"/>
    </row>
    <row r="641">
      <c r="E641" s="225"/>
      <c r="F641" s="225"/>
    </row>
    <row r="642">
      <c r="E642" s="225"/>
      <c r="F642" s="225"/>
    </row>
    <row r="643">
      <c r="E643" s="225"/>
      <c r="F643" s="225"/>
    </row>
    <row r="644">
      <c r="E644" s="225"/>
      <c r="F644" s="225"/>
    </row>
    <row r="645">
      <c r="E645" s="225"/>
      <c r="F645" s="225"/>
    </row>
    <row r="646">
      <c r="E646" s="225"/>
      <c r="F646" s="225"/>
    </row>
    <row r="647">
      <c r="E647" s="225"/>
      <c r="F647" s="225"/>
    </row>
    <row r="648">
      <c r="E648" s="225"/>
      <c r="F648" s="225"/>
    </row>
    <row r="649">
      <c r="E649" s="225"/>
      <c r="F649" s="225"/>
    </row>
    <row r="650">
      <c r="E650" s="225"/>
      <c r="F650" s="225"/>
    </row>
    <row r="651">
      <c r="E651" s="225"/>
      <c r="F651" s="225"/>
    </row>
    <row r="652">
      <c r="E652" s="225"/>
      <c r="F652" s="225"/>
    </row>
    <row r="653">
      <c r="E653" s="225"/>
      <c r="F653" s="225"/>
    </row>
    <row r="654">
      <c r="E654" s="225"/>
      <c r="F654" s="225"/>
    </row>
    <row r="655">
      <c r="E655" s="225"/>
      <c r="F655" s="225"/>
    </row>
    <row r="656">
      <c r="E656" s="225"/>
      <c r="F656" s="225"/>
    </row>
    <row r="657">
      <c r="E657" s="225"/>
      <c r="F657" s="225"/>
    </row>
    <row r="658">
      <c r="E658" s="225"/>
      <c r="F658" s="225"/>
    </row>
    <row r="659">
      <c r="E659" s="225"/>
      <c r="F659" s="225"/>
    </row>
    <row r="660">
      <c r="E660" s="225"/>
      <c r="F660" s="225"/>
    </row>
    <row r="661">
      <c r="E661" s="225"/>
      <c r="F661" s="225"/>
    </row>
    <row r="662">
      <c r="E662" s="225"/>
      <c r="F662" s="225"/>
    </row>
    <row r="663">
      <c r="E663" s="225"/>
      <c r="F663" s="225"/>
    </row>
    <row r="664">
      <c r="E664" s="225"/>
      <c r="F664" s="225"/>
    </row>
    <row r="665">
      <c r="E665" s="225"/>
      <c r="F665" s="225"/>
    </row>
    <row r="666">
      <c r="E666" s="225"/>
      <c r="F666" s="225"/>
    </row>
    <row r="667">
      <c r="E667" s="225"/>
      <c r="F667" s="225"/>
    </row>
    <row r="668">
      <c r="E668" s="225"/>
      <c r="F668" s="225"/>
    </row>
    <row r="669">
      <c r="E669" s="225"/>
      <c r="F669" s="225"/>
    </row>
    <row r="670">
      <c r="E670" s="225"/>
      <c r="F670" s="225"/>
    </row>
    <row r="671">
      <c r="E671" s="225"/>
      <c r="F671" s="225"/>
    </row>
    <row r="672">
      <c r="E672" s="225"/>
      <c r="F672" s="225"/>
    </row>
    <row r="673">
      <c r="E673" s="225"/>
      <c r="F673" s="225"/>
    </row>
    <row r="674">
      <c r="E674" s="225"/>
      <c r="F674" s="225"/>
    </row>
    <row r="675">
      <c r="E675" s="225"/>
      <c r="F675" s="225"/>
    </row>
    <row r="676">
      <c r="E676" s="225"/>
      <c r="F676" s="225"/>
    </row>
    <row r="677">
      <c r="E677" s="225"/>
      <c r="F677" s="225"/>
    </row>
    <row r="678">
      <c r="E678" s="225"/>
      <c r="F678" s="225"/>
    </row>
    <row r="679">
      <c r="E679" s="225"/>
      <c r="F679" s="225"/>
    </row>
    <row r="680">
      <c r="E680" s="225"/>
      <c r="F680" s="225"/>
    </row>
    <row r="681">
      <c r="E681" s="225"/>
      <c r="F681" s="225"/>
    </row>
    <row r="682">
      <c r="E682" s="225"/>
      <c r="F682" s="225"/>
    </row>
    <row r="683">
      <c r="E683" s="225"/>
      <c r="F683" s="225"/>
    </row>
    <row r="684">
      <c r="E684" s="225"/>
      <c r="F684" s="225"/>
    </row>
    <row r="685">
      <c r="E685" s="225"/>
      <c r="F685" s="225"/>
    </row>
    <row r="686">
      <c r="E686" s="225"/>
      <c r="F686" s="225"/>
    </row>
    <row r="687">
      <c r="E687" s="225"/>
      <c r="F687" s="225"/>
    </row>
    <row r="688">
      <c r="E688" s="225"/>
      <c r="F688" s="225"/>
    </row>
    <row r="689">
      <c r="E689" s="225"/>
      <c r="F689" s="225"/>
    </row>
    <row r="690">
      <c r="E690" s="225"/>
      <c r="F690" s="225"/>
    </row>
    <row r="691">
      <c r="E691" s="225"/>
      <c r="F691" s="225"/>
    </row>
    <row r="692">
      <c r="E692" s="225"/>
      <c r="F692" s="225"/>
    </row>
    <row r="693">
      <c r="E693" s="225"/>
      <c r="F693" s="225"/>
    </row>
    <row r="694">
      <c r="E694" s="225"/>
      <c r="F694" s="225"/>
    </row>
    <row r="695">
      <c r="E695" s="225"/>
      <c r="F695" s="225"/>
    </row>
    <row r="696">
      <c r="E696" s="225"/>
      <c r="F696" s="225"/>
    </row>
    <row r="697">
      <c r="E697" s="225"/>
      <c r="F697" s="225"/>
    </row>
    <row r="698">
      <c r="E698" s="225"/>
      <c r="F698" s="225"/>
    </row>
    <row r="699">
      <c r="E699" s="225"/>
      <c r="F699" s="225"/>
    </row>
    <row r="700">
      <c r="E700" s="225"/>
      <c r="F700" s="225"/>
    </row>
    <row r="701">
      <c r="E701" s="225"/>
      <c r="F701" s="225"/>
    </row>
    <row r="702">
      <c r="E702" s="225"/>
      <c r="F702" s="225"/>
    </row>
    <row r="703">
      <c r="E703" s="225"/>
      <c r="F703" s="225"/>
    </row>
    <row r="704">
      <c r="E704" s="225"/>
      <c r="F704" s="225"/>
    </row>
    <row r="705">
      <c r="E705" s="225"/>
      <c r="F705" s="225"/>
    </row>
    <row r="706">
      <c r="E706" s="225"/>
      <c r="F706" s="225"/>
    </row>
    <row r="707">
      <c r="E707" s="225"/>
      <c r="F707" s="225"/>
    </row>
    <row r="708">
      <c r="E708" s="225"/>
      <c r="F708" s="225"/>
    </row>
    <row r="709">
      <c r="E709" s="225"/>
      <c r="F709" s="225"/>
    </row>
    <row r="710">
      <c r="E710" s="225"/>
      <c r="F710" s="225"/>
    </row>
    <row r="711">
      <c r="E711" s="225"/>
      <c r="F711" s="225"/>
    </row>
    <row r="712">
      <c r="E712" s="225"/>
      <c r="F712" s="225"/>
    </row>
    <row r="713">
      <c r="E713" s="225"/>
      <c r="F713" s="225"/>
    </row>
    <row r="714">
      <c r="E714" s="225"/>
      <c r="F714" s="225"/>
    </row>
    <row r="715">
      <c r="E715" s="225"/>
      <c r="F715" s="225"/>
    </row>
    <row r="716">
      <c r="E716" s="225"/>
      <c r="F716" s="225"/>
    </row>
    <row r="717">
      <c r="E717" s="225"/>
      <c r="F717" s="225"/>
    </row>
    <row r="718">
      <c r="E718" s="225"/>
      <c r="F718" s="225"/>
    </row>
    <row r="719">
      <c r="E719" s="225"/>
      <c r="F719" s="225"/>
    </row>
    <row r="720">
      <c r="E720" s="225"/>
      <c r="F720" s="225"/>
    </row>
    <row r="721">
      <c r="E721" s="225"/>
      <c r="F721" s="225"/>
    </row>
    <row r="722">
      <c r="E722" s="225"/>
      <c r="F722" s="225"/>
    </row>
    <row r="723">
      <c r="E723" s="225"/>
      <c r="F723" s="225"/>
    </row>
    <row r="724">
      <c r="E724" s="225"/>
      <c r="F724" s="225"/>
    </row>
    <row r="725">
      <c r="E725" s="225"/>
      <c r="F725" s="225"/>
    </row>
    <row r="726">
      <c r="E726" s="225"/>
      <c r="F726" s="225"/>
    </row>
    <row r="727">
      <c r="E727" s="225"/>
      <c r="F727" s="225"/>
    </row>
    <row r="728">
      <c r="E728" s="225"/>
      <c r="F728" s="225"/>
    </row>
    <row r="729">
      <c r="E729" s="225"/>
      <c r="F729" s="225"/>
    </row>
    <row r="730">
      <c r="E730" s="225"/>
      <c r="F730" s="225"/>
    </row>
    <row r="731">
      <c r="E731" s="225"/>
      <c r="F731" s="225"/>
    </row>
    <row r="732">
      <c r="E732" s="225"/>
      <c r="F732" s="225"/>
    </row>
    <row r="733">
      <c r="E733" s="225"/>
      <c r="F733" s="225"/>
    </row>
    <row r="734">
      <c r="E734" s="225"/>
      <c r="F734" s="225"/>
    </row>
    <row r="735">
      <c r="E735" s="225"/>
      <c r="F735" s="225"/>
    </row>
    <row r="736">
      <c r="E736" s="225"/>
      <c r="F736" s="225"/>
    </row>
    <row r="737">
      <c r="E737" s="225"/>
      <c r="F737" s="225"/>
    </row>
    <row r="738">
      <c r="E738" s="225"/>
      <c r="F738" s="225"/>
    </row>
    <row r="739">
      <c r="E739" s="225"/>
      <c r="F739" s="225"/>
    </row>
    <row r="740">
      <c r="E740" s="225"/>
      <c r="F740" s="225"/>
    </row>
    <row r="741">
      <c r="E741" s="225"/>
      <c r="F741" s="225"/>
    </row>
    <row r="742">
      <c r="E742" s="225"/>
      <c r="F742" s="225"/>
    </row>
    <row r="743">
      <c r="E743" s="225"/>
      <c r="F743" s="225"/>
    </row>
    <row r="744">
      <c r="E744" s="225"/>
      <c r="F744" s="225"/>
    </row>
    <row r="745">
      <c r="E745" s="225"/>
      <c r="F745" s="225"/>
    </row>
    <row r="746">
      <c r="E746" s="225"/>
      <c r="F746" s="225"/>
    </row>
    <row r="747">
      <c r="E747" s="225"/>
      <c r="F747" s="225"/>
    </row>
    <row r="748">
      <c r="E748" s="225"/>
      <c r="F748" s="225"/>
    </row>
    <row r="749">
      <c r="E749" s="225"/>
      <c r="F749" s="225"/>
    </row>
    <row r="750">
      <c r="E750" s="225"/>
      <c r="F750" s="225"/>
    </row>
    <row r="751">
      <c r="E751" s="225"/>
      <c r="F751" s="225"/>
    </row>
    <row r="752">
      <c r="E752" s="225"/>
      <c r="F752" s="225"/>
    </row>
    <row r="753">
      <c r="E753" s="225"/>
      <c r="F753" s="225"/>
    </row>
    <row r="754">
      <c r="E754" s="225"/>
      <c r="F754" s="225"/>
    </row>
    <row r="755">
      <c r="E755" s="225"/>
      <c r="F755" s="225"/>
    </row>
    <row r="756">
      <c r="E756" s="225"/>
      <c r="F756" s="225"/>
    </row>
    <row r="757">
      <c r="E757" s="225"/>
      <c r="F757" s="225"/>
    </row>
    <row r="758">
      <c r="E758" s="225"/>
      <c r="F758" s="225"/>
    </row>
    <row r="759">
      <c r="E759" s="225"/>
      <c r="F759" s="225"/>
    </row>
    <row r="760">
      <c r="E760" s="225"/>
      <c r="F760" s="225"/>
    </row>
    <row r="761">
      <c r="E761" s="225"/>
      <c r="F761" s="225"/>
    </row>
    <row r="762">
      <c r="E762" s="225"/>
      <c r="F762" s="225"/>
    </row>
    <row r="763">
      <c r="E763" s="225"/>
      <c r="F763" s="225"/>
    </row>
    <row r="764">
      <c r="E764" s="225"/>
      <c r="F764" s="225"/>
    </row>
    <row r="765">
      <c r="E765" s="225"/>
      <c r="F765" s="225"/>
    </row>
    <row r="766">
      <c r="E766" s="225"/>
      <c r="F766" s="225"/>
    </row>
    <row r="767">
      <c r="E767" s="225"/>
      <c r="F767" s="225"/>
    </row>
    <row r="768">
      <c r="E768" s="225"/>
      <c r="F768" s="225"/>
    </row>
    <row r="769">
      <c r="E769" s="225"/>
      <c r="F769" s="225"/>
    </row>
    <row r="770">
      <c r="E770" s="225"/>
      <c r="F770" s="225"/>
    </row>
    <row r="771">
      <c r="E771" s="225"/>
      <c r="F771" s="225"/>
    </row>
    <row r="772">
      <c r="E772" s="225"/>
      <c r="F772" s="225"/>
    </row>
    <row r="773">
      <c r="E773" s="225"/>
      <c r="F773" s="225"/>
    </row>
    <row r="774">
      <c r="E774" s="225"/>
      <c r="F774" s="225"/>
    </row>
    <row r="775">
      <c r="E775" s="225"/>
      <c r="F775" s="225"/>
    </row>
    <row r="776">
      <c r="E776" s="225"/>
      <c r="F776" s="225"/>
    </row>
    <row r="777">
      <c r="E777" s="225"/>
      <c r="F777" s="225"/>
    </row>
    <row r="778">
      <c r="E778" s="225"/>
      <c r="F778" s="225"/>
    </row>
    <row r="779">
      <c r="E779" s="225"/>
      <c r="F779" s="225"/>
    </row>
    <row r="780">
      <c r="E780" s="225"/>
      <c r="F780" s="225"/>
    </row>
    <row r="781">
      <c r="E781" s="225"/>
      <c r="F781" s="225"/>
    </row>
    <row r="782">
      <c r="E782" s="225"/>
      <c r="F782" s="225"/>
    </row>
    <row r="783">
      <c r="E783" s="225"/>
      <c r="F783" s="225"/>
    </row>
    <row r="784">
      <c r="E784" s="225"/>
      <c r="F784" s="225"/>
    </row>
    <row r="785">
      <c r="E785" s="225"/>
      <c r="F785" s="225"/>
    </row>
    <row r="786">
      <c r="E786" s="225"/>
      <c r="F786" s="225"/>
    </row>
    <row r="787">
      <c r="E787" s="225"/>
      <c r="F787" s="225"/>
    </row>
    <row r="788">
      <c r="E788" s="225"/>
      <c r="F788" s="225"/>
    </row>
    <row r="789">
      <c r="E789" s="225"/>
      <c r="F789" s="225"/>
    </row>
    <row r="790">
      <c r="E790" s="225"/>
      <c r="F790" s="225"/>
    </row>
    <row r="791">
      <c r="E791" s="225"/>
      <c r="F791" s="225"/>
    </row>
    <row r="792">
      <c r="E792" s="225"/>
      <c r="F792" s="225"/>
    </row>
    <row r="793">
      <c r="E793" s="225"/>
      <c r="F793" s="225"/>
    </row>
    <row r="794">
      <c r="E794" s="225"/>
      <c r="F794" s="225"/>
    </row>
    <row r="795">
      <c r="E795" s="225"/>
      <c r="F795" s="225"/>
    </row>
    <row r="796">
      <c r="E796" s="225"/>
      <c r="F796" s="225"/>
    </row>
    <row r="797">
      <c r="E797" s="225"/>
      <c r="F797" s="225"/>
    </row>
    <row r="798">
      <c r="E798" s="225"/>
      <c r="F798" s="225"/>
    </row>
    <row r="799">
      <c r="E799" s="225"/>
      <c r="F799" s="225"/>
    </row>
    <row r="800">
      <c r="E800" s="225"/>
      <c r="F800" s="225"/>
    </row>
    <row r="801">
      <c r="E801" s="225"/>
      <c r="F801" s="225"/>
    </row>
    <row r="802">
      <c r="E802" s="225"/>
      <c r="F802" s="225"/>
    </row>
    <row r="803">
      <c r="E803" s="225"/>
      <c r="F803" s="225"/>
    </row>
    <row r="804">
      <c r="E804" s="225"/>
      <c r="F804" s="225"/>
    </row>
    <row r="805">
      <c r="E805" s="225"/>
      <c r="F805" s="225"/>
    </row>
    <row r="806">
      <c r="E806" s="225"/>
      <c r="F806" s="225"/>
    </row>
    <row r="807">
      <c r="E807" s="225"/>
      <c r="F807" s="225"/>
    </row>
    <row r="808">
      <c r="E808" s="225"/>
      <c r="F808" s="225"/>
    </row>
    <row r="809">
      <c r="E809" s="225"/>
      <c r="F809" s="225"/>
    </row>
    <row r="810">
      <c r="E810" s="225"/>
      <c r="F810" s="225"/>
    </row>
    <row r="811">
      <c r="E811" s="225"/>
      <c r="F811" s="225"/>
    </row>
    <row r="812">
      <c r="E812" s="225"/>
      <c r="F812" s="225"/>
    </row>
    <row r="813">
      <c r="E813" s="225"/>
      <c r="F813" s="225"/>
    </row>
    <row r="814">
      <c r="E814" s="225"/>
      <c r="F814" s="225"/>
    </row>
    <row r="815">
      <c r="E815" s="225"/>
      <c r="F815" s="225"/>
    </row>
    <row r="816">
      <c r="E816" s="225"/>
      <c r="F816" s="225"/>
    </row>
    <row r="817">
      <c r="E817" s="225"/>
      <c r="F817" s="225"/>
    </row>
    <row r="818">
      <c r="E818" s="225"/>
      <c r="F818" s="225"/>
    </row>
    <row r="819">
      <c r="E819" s="225"/>
      <c r="F819" s="225"/>
    </row>
    <row r="820">
      <c r="E820" s="225"/>
      <c r="F820" s="225"/>
    </row>
    <row r="821">
      <c r="E821" s="225"/>
      <c r="F821" s="225"/>
    </row>
    <row r="822">
      <c r="E822" s="225"/>
      <c r="F822" s="225"/>
    </row>
    <row r="823">
      <c r="E823" s="225"/>
      <c r="F823" s="225"/>
    </row>
    <row r="824">
      <c r="E824" s="225"/>
      <c r="F824" s="225"/>
    </row>
    <row r="825">
      <c r="E825" s="225"/>
      <c r="F825" s="225"/>
    </row>
    <row r="826">
      <c r="E826" s="225"/>
      <c r="F826" s="225"/>
    </row>
    <row r="827">
      <c r="E827" s="225"/>
      <c r="F827" s="225"/>
    </row>
    <row r="828">
      <c r="E828" s="225"/>
      <c r="F828" s="225"/>
    </row>
    <row r="829">
      <c r="E829" s="225"/>
      <c r="F829" s="225"/>
    </row>
    <row r="830">
      <c r="E830" s="225"/>
      <c r="F830" s="225"/>
    </row>
    <row r="831">
      <c r="E831" s="225"/>
      <c r="F831" s="225"/>
    </row>
    <row r="832">
      <c r="E832" s="225"/>
      <c r="F832" s="225"/>
    </row>
    <row r="833">
      <c r="E833" s="225"/>
      <c r="F833" s="225"/>
    </row>
    <row r="834">
      <c r="E834" s="225"/>
      <c r="F834" s="225"/>
    </row>
    <row r="835">
      <c r="E835" s="225"/>
      <c r="F835" s="225"/>
    </row>
    <row r="836">
      <c r="E836" s="225"/>
      <c r="F836" s="225"/>
    </row>
    <row r="837">
      <c r="E837" s="225"/>
      <c r="F837" s="225"/>
    </row>
    <row r="838">
      <c r="E838" s="225"/>
      <c r="F838" s="225"/>
    </row>
    <row r="839">
      <c r="E839" s="225"/>
      <c r="F839" s="225"/>
    </row>
    <row r="840">
      <c r="E840" s="225"/>
      <c r="F840" s="225"/>
    </row>
    <row r="841">
      <c r="E841" s="225"/>
      <c r="F841" s="225"/>
    </row>
    <row r="842">
      <c r="E842" s="225"/>
      <c r="F842" s="225"/>
    </row>
    <row r="843">
      <c r="E843" s="225"/>
      <c r="F843" s="225"/>
    </row>
    <row r="844">
      <c r="E844" s="225"/>
      <c r="F844" s="225"/>
    </row>
    <row r="845">
      <c r="E845" s="225"/>
      <c r="F845" s="225"/>
    </row>
    <row r="846">
      <c r="E846" s="225"/>
      <c r="F846" s="225"/>
    </row>
    <row r="847">
      <c r="E847" s="225"/>
      <c r="F847" s="225"/>
    </row>
    <row r="848">
      <c r="E848" s="225"/>
      <c r="F848" s="225"/>
    </row>
    <row r="849">
      <c r="E849" s="225"/>
      <c r="F849" s="225"/>
    </row>
    <row r="850">
      <c r="E850" s="225"/>
      <c r="F850" s="225"/>
    </row>
    <row r="851">
      <c r="E851" s="225"/>
      <c r="F851" s="225"/>
    </row>
    <row r="852">
      <c r="E852" s="225"/>
      <c r="F852" s="225"/>
    </row>
    <row r="853">
      <c r="E853" s="225"/>
      <c r="F853" s="225"/>
    </row>
    <row r="854">
      <c r="E854" s="225"/>
      <c r="F854" s="225"/>
    </row>
    <row r="855">
      <c r="E855" s="225"/>
      <c r="F855" s="225"/>
    </row>
    <row r="856">
      <c r="E856" s="225"/>
      <c r="F856" s="225"/>
    </row>
    <row r="857">
      <c r="E857" s="225"/>
      <c r="F857" s="225"/>
    </row>
    <row r="858">
      <c r="E858" s="225"/>
      <c r="F858" s="225"/>
    </row>
    <row r="859">
      <c r="E859" s="225"/>
      <c r="F859" s="225"/>
    </row>
    <row r="860">
      <c r="E860" s="225"/>
      <c r="F860" s="225"/>
    </row>
    <row r="861">
      <c r="E861" s="225"/>
      <c r="F861" s="225"/>
    </row>
    <row r="862">
      <c r="E862" s="225"/>
      <c r="F862" s="225"/>
    </row>
    <row r="863">
      <c r="E863" s="225"/>
      <c r="F863" s="225"/>
    </row>
    <row r="864">
      <c r="E864" s="225"/>
      <c r="F864" s="225"/>
    </row>
    <row r="865">
      <c r="E865" s="225"/>
      <c r="F865" s="225"/>
    </row>
    <row r="866">
      <c r="E866" s="225"/>
      <c r="F866" s="225"/>
    </row>
    <row r="867">
      <c r="E867" s="225"/>
      <c r="F867" s="225"/>
    </row>
    <row r="868">
      <c r="E868" s="225"/>
      <c r="F868" s="225"/>
    </row>
    <row r="869">
      <c r="E869" s="225"/>
      <c r="F869" s="225"/>
    </row>
    <row r="870">
      <c r="E870" s="225"/>
      <c r="F870" s="225"/>
    </row>
    <row r="871">
      <c r="E871" s="225"/>
      <c r="F871" s="225"/>
    </row>
    <row r="872">
      <c r="E872" s="225"/>
      <c r="F872" s="225"/>
    </row>
    <row r="873">
      <c r="E873" s="225"/>
      <c r="F873" s="225"/>
    </row>
    <row r="874">
      <c r="E874" s="225"/>
      <c r="F874" s="225"/>
    </row>
    <row r="875">
      <c r="E875" s="225"/>
      <c r="F875" s="225"/>
    </row>
    <row r="876">
      <c r="E876" s="225"/>
      <c r="F876" s="225"/>
    </row>
    <row r="877">
      <c r="E877" s="225"/>
      <c r="F877" s="225"/>
    </row>
    <row r="878">
      <c r="E878" s="225"/>
      <c r="F878" s="225"/>
    </row>
    <row r="879">
      <c r="E879" s="225"/>
      <c r="F879" s="225"/>
    </row>
    <row r="880">
      <c r="E880" s="225"/>
      <c r="F880" s="225"/>
    </row>
    <row r="881">
      <c r="E881" s="225"/>
      <c r="F881" s="225"/>
    </row>
    <row r="882">
      <c r="E882" s="225"/>
      <c r="F882" s="225"/>
    </row>
    <row r="883">
      <c r="E883" s="225"/>
      <c r="F883" s="225"/>
    </row>
    <row r="884">
      <c r="E884" s="225"/>
      <c r="F884" s="225"/>
    </row>
    <row r="885">
      <c r="E885" s="225"/>
      <c r="F885" s="225"/>
    </row>
    <row r="886">
      <c r="E886" s="225"/>
      <c r="F886" s="225"/>
    </row>
    <row r="887">
      <c r="E887" s="225"/>
      <c r="F887" s="225"/>
    </row>
    <row r="888">
      <c r="E888" s="225"/>
      <c r="F888" s="225"/>
    </row>
    <row r="889">
      <c r="E889" s="225"/>
      <c r="F889" s="225"/>
    </row>
    <row r="890">
      <c r="E890" s="225"/>
      <c r="F890" s="225"/>
    </row>
    <row r="891">
      <c r="E891" s="225"/>
      <c r="F891" s="225"/>
    </row>
    <row r="892">
      <c r="E892" s="225"/>
      <c r="F892" s="225"/>
    </row>
    <row r="893">
      <c r="E893" s="225"/>
      <c r="F893" s="225"/>
    </row>
    <row r="894">
      <c r="E894" s="225"/>
      <c r="F894" s="225"/>
    </row>
    <row r="895">
      <c r="E895" s="225"/>
      <c r="F895" s="225"/>
    </row>
    <row r="896">
      <c r="E896" s="225"/>
      <c r="F896" s="225"/>
    </row>
    <row r="897">
      <c r="E897" s="225"/>
      <c r="F897" s="225"/>
    </row>
    <row r="898">
      <c r="E898" s="225"/>
      <c r="F898" s="225"/>
    </row>
    <row r="899">
      <c r="E899" s="225"/>
      <c r="F899" s="225"/>
    </row>
    <row r="900">
      <c r="E900" s="225"/>
      <c r="F900" s="225"/>
    </row>
    <row r="901">
      <c r="E901" s="225"/>
      <c r="F901" s="225"/>
    </row>
    <row r="902">
      <c r="E902" s="225"/>
      <c r="F902" s="225"/>
    </row>
    <row r="903">
      <c r="E903" s="225"/>
      <c r="F903" s="225"/>
    </row>
    <row r="904">
      <c r="E904" s="225"/>
      <c r="F904" s="225"/>
    </row>
    <row r="905">
      <c r="E905" s="225"/>
      <c r="F905" s="225"/>
    </row>
    <row r="906">
      <c r="E906" s="225"/>
      <c r="F906" s="225"/>
    </row>
    <row r="907">
      <c r="E907" s="225"/>
      <c r="F907" s="225"/>
    </row>
    <row r="908">
      <c r="E908" s="225"/>
      <c r="F908" s="225"/>
    </row>
    <row r="909">
      <c r="E909" s="225"/>
      <c r="F909" s="225"/>
    </row>
    <row r="910">
      <c r="E910" s="225"/>
      <c r="F910" s="225"/>
    </row>
    <row r="911">
      <c r="E911" s="225"/>
      <c r="F911" s="225"/>
    </row>
    <row r="912">
      <c r="E912" s="225"/>
      <c r="F912" s="225"/>
    </row>
    <row r="913">
      <c r="E913" s="225"/>
      <c r="F913" s="225"/>
    </row>
    <row r="914">
      <c r="E914" s="225"/>
      <c r="F914" s="225"/>
    </row>
    <row r="915">
      <c r="E915" s="225"/>
      <c r="F915" s="225"/>
    </row>
    <row r="916">
      <c r="E916" s="225"/>
      <c r="F916" s="225"/>
    </row>
    <row r="917">
      <c r="E917" s="225"/>
      <c r="F917" s="225"/>
    </row>
    <row r="918">
      <c r="E918" s="225"/>
      <c r="F918" s="225"/>
    </row>
    <row r="919">
      <c r="E919" s="225"/>
      <c r="F919" s="225"/>
    </row>
    <row r="920">
      <c r="E920" s="225"/>
      <c r="F920" s="225"/>
    </row>
    <row r="921">
      <c r="E921" s="225"/>
      <c r="F921" s="225"/>
    </row>
    <row r="922">
      <c r="E922" s="225"/>
      <c r="F922" s="225"/>
    </row>
    <row r="923">
      <c r="E923" s="225"/>
      <c r="F923" s="225"/>
    </row>
    <row r="924">
      <c r="E924" s="225"/>
      <c r="F924" s="225"/>
    </row>
    <row r="925">
      <c r="E925" s="225"/>
      <c r="F925" s="225"/>
    </row>
    <row r="926">
      <c r="E926" s="225"/>
      <c r="F926" s="225"/>
    </row>
    <row r="927">
      <c r="E927" s="225"/>
      <c r="F927" s="225"/>
    </row>
    <row r="928">
      <c r="E928" s="225"/>
      <c r="F928" s="225"/>
    </row>
    <row r="929">
      <c r="E929" s="225"/>
      <c r="F929" s="225"/>
    </row>
    <row r="930">
      <c r="E930" s="225"/>
      <c r="F930" s="225"/>
    </row>
    <row r="931">
      <c r="E931" s="225"/>
      <c r="F931" s="225"/>
    </row>
    <row r="932">
      <c r="E932" s="225"/>
      <c r="F932" s="225"/>
    </row>
    <row r="933">
      <c r="E933" s="225"/>
      <c r="F933" s="225"/>
    </row>
    <row r="934">
      <c r="E934" s="225"/>
      <c r="F934" s="225"/>
    </row>
    <row r="935">
      <c r="E935" s="225"/>
      <c r="F935" s="225"/>
    </row>
    <row r="936">
      <c r="E936" s="225"/>
      <c r="F936" s="225"/>
    </row>
    <row r="937">
      <c r="E937" s="225"/>
      <c r="F937" s="225"/>
    </row>
    <row r="938">
      <c r="E938" s="225"/>
      <c r="F938" s="225"/>
    </row>
    <row r="939">
      <c r="E939" s="225"/>
      <c r="F939" s="225"/>
    </row>
    <row r="940">
      <c r="E940" s="225"/>
      <c r="F940" s="225"/>
    </row>
    <row r="941">
      <c r="E941" s="225"/>
      <c r="F941" s="225"/>
    </row>
    <row r="942">
      <c r="E942" s="225"/>
      <c r="F942" s="225"/>
    </row>
    <row r="943">
      <c r="E943" s="225"/>
      <c r="F943" s="225"/>
    </row>
    <row r="944">
      <c r="E944" s="225"/>
      <c r="F944" s="225"/>
    </row>
    <row r="945">
      <c r="E945" s="225"/>
      <c r="F945" s="225"/>
    </row>
    <row r="946">
      <c r="E946" s="225"/>
      <c r="F946" s="225"/>
    </row>
    <row r="947">
      <c r="E947" s="225"/>
      <c r="F947" s="225"/>
    </row>
    <row r="948">
      <c r="E948" s="225"/>
      <c r="F948" s="225"/>
    </row>
    <row r="949">
      <c r="E949" s="225"/>
      <c r="F949" s="225"/>
    </row>
    <row r="950">
      <c r="E950" s="225"/>
      <c r="F950" s="225"/>
    </row>
    <row r="951">
      <c r="E951" s="225"/>
      <c r="F951" s="225"/>
    </row>
    <row r="952">
      <c r="E952" s="225"/>
      <c r="F952" s="225"/>
    </row>
    <row r="953">
      <c r="E953" s="225"/>
      <c r="F953" s="225"/>
    </row>
    <row r="954">
      <c r="E954" s="225"/>
      <c r="F954" s="225"/>
    </row>
    <row r="955">
      <c r="E955" s="225"/>
      <c r="F955" s="225"/>
    </row>
    <row r="956">
      <c r="E956" s="225"/>
      <c r="F956" s="225"/>
    </row>
    <row r="957">
      <c r="E957" s="225"/>
      <c r="F957" s="225"/>
    </row>
    <row r="958">
      <c r="E958" s="225"/>
      <c r="F958" s="225"/>
    </row>
    <row r="959">
      <c r="E959" s="225"/>
      <c r="F959" s="225"/>
    </row>
    <row r="960">
      <c r="E960" s="225"/>
      <c r="F960" s="225"/>
    </row>
    <row r="961">
      <c r="E961" s="225"/>
      <c r="F961" s="225"/>
    </row>
    <row r="962">
      <c r="E962" s="225"/>
      <c r="F962" s="225"/>
    </row>
    <row r="963">
      <c r="E963" s="225"/>
      <c r="F963" s="225"/>
    </row>
    <row r="964">
      <c r="E964" s="225"/>
      <c r="F964" s="225"/>
    </row>
    <row r="965">
      <c r="E965" s="225"/>
      <c r="F965" s="225"/>
    </row>
    <row r="966">
      <c r="E966" s="225"/>
      <c r="F966" s="225"/>
    </row>
    <row r="967">
      <c r="E967" s="225"/>
      <c r="F967" s="225"/>
    </row>
    <row r="968">
      <c r="E968" s="225"/>
      <c r="F968" s="225"/>
    </row>
    <row r="969">
      <c r="E969" s="225"/>
      <c r="F969" s="225"/>
    </row>
    <row r="970">
      <c r="E970" s="225"/>
      <c r="F970" s="225"/>
    </row>
    <row r="971">
      <c r="E971" s="225"/>
      <c r="F971" s="225"/>
    </row>
    <row r="972">
      <c r="E972" s="225"/>
      <c r="F972" s="225"/>
    </row>
    <row r="973">
      <c r="E973" s="225"/>
      <c r="F973" s="225"/>
    </row>
    <row r="974">
      <c r="E974" s="225"/>
      <c r="F974" s="225"/>
    </row>
    <row r="975">
      <c r="E975" s="225"/>
      <c r="F975" s="225"/>
    </row>
    <row r="976">
      <c r="E976" s="225"/>
      <c r="F976" s="225"/>
    </row>
    <row r="977">
      <c r="E977" s="225"/>
      <c r="F977" s="225"/>
    </row>
    <row r="978">
      <c r="E978" s="225"/>
      <c r="F978" s="225"/>
    </row>
    <row r="979">
      <c r="E979" s="225"/>
      <c r="F979" s="225"/>
    </row>
    <row r="980">
      <c r="E980" s="225"/>
      <c r="F980" s="225"/>
    </row>
    <row r="981">
      <c r="E981" s="225"/>
      <c r="F981" s="225"/>
    </row>
    <row r="982">
      <c r="E982" s="225"/>
      <c r="F982" s="225"/>
    </row>
    <row r="983">
      <c r="E983" s="225"/>
      <c r="F983" s="225"/>
    </row>
    <row r="984">
      <c r="E984" s="225"/>
      <c r="F984" s="225"/>
    </row>
    <row r="985">
      <c r="E985" s="225"/>
      <c r="F985" s="225"/>
    </row>
    <row r="986">
      <c r="E986" s="225"/>
      <c r="F986" s="225"/>
    </row>
    <row r="987">
      <c r="E987" s="225"/>
      <c r="F987" s="225"/>
    </row>
    <row r="988">
      <c r="E988" s="225"/>
      <c r="F988" s="225"/>
    </row>
    <row r="989">
      <c r="E989" s="225"/>
      <c r="F989" s="225"/>
    </row>
    <row r="990">
      <c r="E990" s="225"/>
      <c r="F990" s="225"/>
    </row>
    <row r="991">
      <c r="E991" s="225"/>
      <c r="F991" s="225"/>
    </row>
    <row r="992">
      <c r="E992" s="225"/>
      <c r="F992" s="225"/>
    </row>
    <row r="993">
      <c r="E993" s="225"/>
      <c r="F993" s="225"/>
    </row>
    <row r="994">
      <c r="E994" s="225"/>
      <c r="F994" s="225"/>
    </row>
    <row r="995">
      <c r="E995" s="225"/>
      <c r="F995" s="225"/>
    </row>
    <row r="996">
      <c r="E996" s="225"/>
      <c r="F996" s="225"/>
    </row>
    <row r="997">
      <c r="E997" s="225"/>
      <c r="F997" s="225"/>
    </row>
    <row r="998">
      <c r="E998" s="225"/>
      <c r="F998" s="225"/>
    </row>
    <row r="999">
      <c r="E999" s="225"/>
      <c r="F999" s="225"/>
    </row>
    <row r="1000">
      <c r="E1000" s="225"/>
      <c r="F1000" s="225"/>
    </row>
  </sheetData>
  <mergeCells count="2">
    <mergeCell ref="B1:D2"/>
    <mergeCell ref="E1:F2"/>
  </mergeCells>
  <dataValidations>
    <dataValidation type="list" allowBlank="1" showErrorMessage="1" sqref="G4:O124">
      <formula1>"선택,완료"</formula1>
    </dataValidation>
  </dataValidations>
  <hyperlinks>
    <hyperlink r:id="rId1" ref="D5"/>
    <hyperlink r:id="rId2" ref="D25"/>
    <hyperlink r:id="rId3" ref="D31"/>
    <hyperlink r:id="rId4" ref="D37"/>
    <hyperlink r:id="rId5" ref="D73"/>
    <hyperlink r:id="rId6" ref="D96"/>
  </hyperlinks>
  <drawing r:id="rId7"/>
  <tableParts count="1">
    <tablePart r:id="rId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9.0" topLeftCell="A50" activePane="bottomLeft" state="frozen"/>
      <selection activeCell="B51" sqref="B51" pane="bottomLeft"/>
    </sheetView>
  </sheetViews>
  <sheetFormatPr customHeight="1" defaultColWidth="12.63" defaultRowHeight="15.75"/>
  <cols>
    <col customWidth="1" min="1" max="1" width="3.88"/>
    <col customWidth="1" min="2" max="2" width="7.88"/>
    <col customWidth="1" min="3" max="3" width="18.63"/>
    <col customWidth="1" min="4" max="4" width="21.13"/>
    <col customWidth="1" min="5" max="5" width="16.38"/>
  </cols>
  <sheetData>
    <row r="1">
      <c r="A1" s="226" t="s">
        <v>435</v>
      </c>
      <c r="B1" s="75" t="s">
        <v>0</v>
      </c>
      <c r="E1" s="3" t="s">
        <v>1</v>
      </c>
      <c r="G1" s="143" t="s">
        <v>436</v>
      </c>
      <c r="H1" s="143" t="s">
        <v>437</v>
      </c>
      <c r="I1" s="143" t="s">
        <v>438</v>
      </c>
      <c r="J1" s="143" t="s">
        <v>439</v>
      </c>
      <c r="K1" s="143" t="s">
        <v>440</v>
      </c>
      <c r="L1" s="143" t="s">
        <v>441</v>
      </c>
      <c r="M1" s="143" t="s">
        <v>442</v>
      </c>
      <c r="N1" s="227" t="s">
        <v>443</v>
      </c>
      <c r="O1" s="143" t="s">
        <v>444</v>
      </c>
      <c r="P1" s="143"/>
      <c r="Q1" s="228"/>
      <c r="R1" s="143"/>
      <c r="S1" s="143"/>
    </row>
    <row r="2">
      <c r="A2" s="1"/>
      <c r="G2" s="78" t="s">
        <v>445</v>
      </c>
      <c r="H2" s="78" t="s">
        <v>446</v>
      </c>
      <c r="I2" s="78" t="s">
        <v>447</v>
      </c>
      <c r="J2" s="78" t="s">
        <v>448</v>
      </c>
      <c r="K2" s="78" t="s">
        <v>449</v>
      </c>
      <c r="L2" s="78" t="s">
        <v>450</v>
      </c>
      <c r="M2" s="78" t="s">
        <v>451</v>
      </c>
      <c r="N2" s="78" t="s">
        <v>452</v>
      </c>
      <c r="O2" s="78" t="s">
        <v>453</v>
      </c>
      <c r="P2" s="76"/>
      <c r="Q2" s="229"/>
      <c r="R2" s="76"/>
      <c r="S2" s="76"/>
    </row>
    <row r="3">
      <c r="A3" s="1"/>
      <c r="B3" s="1"/>
      <c r="C3" s="1"/>
      <c r="D3" s="1"/>
      <c r="E3" s="9"/>
      <c r="F3" s="9"/>
      <c r="G3" s="11" t="str">
        <f t="shared" ref="G3:O3" si="1">COUNTIF(G5:G199, "완료") &amp; "명 완료"
</f>
        <v>80명 완료</v>
      </c>
      <c r="H3" s="11" t="str">
        <f t="shared" si="1"/>
        <v>87명 완료</v>
      </c>
      <c r="I3" s="11" t="str">
        <f t="shared" si="1"/>
        <v>83명 완료</v>
      </c>
      <c r="J3" s="11" t="str">
        <f t="shared" si="1"/>
        <v>76명 완료</v>
      </c>
      <c r="K3" s="11" t="str">
        <f t="shared" si="1"/>
        <v>74명 완료</v>
      </c>
      <c r="L3" s="11" t="str">
        <f t="shared" si="1"/>
        <v>84명 완료</v>
      </c>
      <c r="M3" s="11" t="str">
        <f t="shared" si="1"/>
        <v>80명 완료</v>
      </c>
      <c r="N3" s="11" t="str">
        <f t="shared" si="1"/>
        <v>77명 완료</v>
      </c>
      <c r="O3" s="11" t="str">
        <f t="shared" si="1"/>
        <v>75명 완료</v>
      </c>
      <c r="P3" s="138"/>
      <c r="Q3" s="230"/>
      <c r="R3" s="138"/>
      <c r="S3" s="138"/>
    </row>
    <row r="4">
      <c r="A4" s="231"/>
      <c r="B4" s="81" t="s">
        <v>20</v>
      </c>
      <c r="C4" s="82" t="s">
        <v>21</v>
      </c>
      <c r="D4" s="82" t="s">
        <v>22</v>
      </c>
      <c r="E4" s="83" t="s">
        <v>23</v>
      </c>
      <c r="F4" s="83" t="s">
        <v>24</v>
      </c>
      <c r="G4" s="84" t="s">
        <v>25</v>
      </c>
      <c r="H4" s="84" t="s">
        <v>25</v>
      </c>
      <c r="I4" s="84" t="s">
        <v>25</v>
      </c>
      <c r="J4" s="84" t="s">
        <v>25</v>
      </c>
      <c r="K4" s="84" t="s">
        <v>25</v>
      </c>
      <c r="L4" s="84" t="s">
        <v>25</v>
      </c>
      <c r="M4" s="84" t="s">
        <v>25</v>
      </c>
      <c r="N4" s="84" t="s">
        <v>25</v>
      </c>
      <c r="O4" s="84" t="s">
        <v>25</v>
      </c>
      <c r="P4" s="85"/>
      <c r="Q4" s="232"/>
      <c r="R4" s="85"/>
      <c r="S4" s="85"/>
    </row>
    <row r="5">
      <c r="A5" s="21"/>
      <c r="B5" s="22">
        <v>1.0</v>
      </c>
      <c r="C5" s="201" t="s">
        <v>26</v>
      </c>
      <c r="D5" s="202" t="s">
        <v>27</v>
      </c>
      <c r="E5" s="88" t="str">
        <f t="shared" ref="E5:E44" si="2">IF(COUNTIF(G5:O5, "완료")=0, "", COUNTIF($G$4:$O$4, "완료") &amp; "번 중 " &amp; COUNTIF(G5:O5, "완료") &amp; "번 참여")
</f>
        <v>9번 중 9번 참여</v>
      </c>
      <c r="F5" s="89">
        <f t="shared" ref="F5:F123" si="3">IF(COUNTIF($G$4:$CT$4, "완료")=0, "", IF(COUNTIF(G5:O5, "완료")=0, "", COUNTIF(G5:O5, "완료") / COUNTIF($G$4:$O$4, "완료")))
</f>
        <v>1</v>
      </c>
      <c r="G5" s="90" t="s">
        <v>25</v>
      </c>
      <c r="H5" s="90" t="s">
        <v>25</v>
      </c>
      <c r="I5" s="90" t="s">
        <v>25</v>
      </c>
      <c r="J5" s="90" t="s">
        <v>25</v>
      </c>
      <c r="K5" s="90" t="s">
        <v>25</v>
      </c>
      <c r="L5" s="90" t="s">
        <v>25</v>
      </c>
      <c r="M5" s="90" t="s">
        <v>25</v>
      </c>
      <c r="N5" s="90" t="s">
        <v>25</v>
      </c>
      <c r="O5" s="90" t="s">
        <v>25</v>
      </c>
      <c r="P5" s="91"/>
      <c r="Q5" s="233"/>
      <c r="R5" s="91"/>
      <c r="S5" s="91"/>
    </row>
    <row r="6">
      <c r="A6" s="29"/>
      <c r="B6" s="30">
        <v>2.0</v>
      </c>
      <c r="C6" s="93" t="s">
        <v>324</v>
      </c>
      <c r="D6" s="93" t="s">
        <v>325</v>
      </c>
      <c r="E6" s="88" t="str">
        <f t="shared" si="2"/>
        <v>9번 중 7번 참여</v>
      </c>
      <c r="F6" s="89">
        <f t="shared" si="3"/>
        <v>0.7777777778</v>
      </c>
      <c r="G6" s="90" t="s">
        <v>25</v>
      </c>
      <c r="H6" s="41"/>
      <c r="I6" s="90" t="s">
        <v>25</v>
      </c>
      <c r="J6" s="90" t="s">
        <v>25</v>
      </c>
      <c r="K6" s="90" t="s">
        <v>25</v>
      </c>
      <c r="L6" s="90" t="s">
        <v>25</v>
      </c>
      <c r="M6" s="90" t="s">
        <v>25</v>
      </c>
      <c r="N6" s="41"/>
      <c r="O6" s="90" t="s">
        <v>25</v>
      </c>
      <c r="P6" s="91"/>
      <c r="Q6" s="233"/>
      <c r="R6" s="91"/>
      <c r="S6" s="91"/>
    </row>
    <row r="7">
      <c r="A7" s="21"/>
      <c r="B7" s="22">
        <v>3.0</v>
      </c>
      <c r="C7" s="201" t="s">
        <v>28</v>
      </c>
      <c r="D7" s="201" t="s">
        <v>29</v>
      </c>
      <c r="E7" s="88" t="str">
        <f t="shared" si="2"/>
        <v>9번 중 9번 참여</v>
      </c>
      <c r="F7" s="89">
        <f t="shared" si="3"/>
        <v>1</v>
      </c>
      <c r="G7" s="90" t="s">
        <v>25</v>
      </c>
      <c r="H7" s="90" t="s">
        <v>25</v>
      </c>
      <c r="I7" s="90" t="s">
        <v>25</v>
      </c>
      <c r="J7" s="90" t="s">
        <v>25</v>
      </c>
      <c r="K7" s="90" t="s">
        <v>25</v>
      </c>
      <c r="L7" s="90" t="s">
        <v>25</v>
      </c>
      <c r="M7" s="90" t="s">
        <v>25</v>
      </c>
      <c r="N7" s="90" t="s">
        <v>25</v>
      </c>
      <c r="O7" s="90" t="s">
        <v>25</v>
      </c>
      <c r="P7" s="91"/>
      <c r="Q7" s="233"/>
      <c r="R7" s="91"/>
      <c r="S7" s="91"/>
    </row>
    <row r="8">
      <c r="A8" s="29"/>
      <c r="B8" s="30">
        <v>4.0</v>
      </c>
      <c r="C8" s="93" t="s">
        <v>30</v>
      </c>
      <c r="D8" s="93" t="s">
        <v>31</v>
      </c>
      <c r="E8" s="88" t="str">
        <f t="shared" si="2"/>
        <v>9번 중 7번 참여</v>
      </c>
      <c r="F8" s="89">
        <f t="shared" si="3"/>
        <v>0.7777777778</v>
      </c>
      <c r="G8" s="90" t="s">
        <v>25</v>
      </c>
      <c r="H8" s="90" t="s">
        <v>25</v>
      </c>
      <c r="I8" s="41"/>
      <c r="J8" s="41"/>
      <c r="K8" s="90" t="s">
        <v>25</v>
      </c>
      <c r="L8" s="90" t="s">
        <v>25</v>
      </c>
      <c r="M8" s="90" t="s">
        <v>25</v>
      </c>
      <c r="N8" s="90" t="s">
        <v>25</v>
      </c>
      <c r="O8" s="90" t="s">
        <v>25</v>
      </c>
      <c r="P8" s="91"/>
      <c r="Q8" s="233"/>
      <c r="R8" s="91"/>
      <c r="S8" s="91"/>
    </row>
    <row r="9">
      <c r="A9" s="21"/>
      <c r="B9" s="22">
        <v>5.0</v>
      </c>
      <c r="C9" s="201" t="s">
        <v>32</v>
      </c>
      <c r="D9" s="201" t="s">
        <v>33</v>
      </c>
      <c r="E9" s="88" t="str">
        <f t="shared" si="2"/>
        <v>9번 중 7번 참여</v>
      </c>
      <c r="F9" s="89">
        <f t="shared" si="3"/>
        <v>0.7777777778</v>
      </c>
      <c r="G9" s="90" t="s">
        <v>25</v>
      </c>
      <c r="H9" s="90" t="s">
        <v>25</v>
      </c>
      <c r="I9" s="41"/>
      <c r="J9" s="41"/>
      <c r="K9" s="90" t="s">
        <v>25</v>
      </c>
      <c r="L9" s="90" t="s">
        <v>25</v>
      </c>
      <c r="M9" s="90" t="s">
        <v>25</v>
      </c>
      <c r="N9" s="90" t="s">
        <v>25</v>
      </c>
      <c r="O9" s="90" t="s">
        <v>25</v>
      </c>
      <c r="P9" s="91"/>
      <c r="Q9" s="233"/>
      <c r="R9" s="91"/>
      <c r="S9" s="91"/>
    </row>
    <row r="10">
      <c r="A10" s="29"/>
      <c r="B10" s="30">
        <v>6.0</v>
      </c>
      <c r="C10" s="93" t="s">
        <v>34</v>
      </c>
      <c r="D10" s="93" t="s">
        <v>35</v>
      </c>
      <c r="E10" s="88" t="str">
        <f t="shared" si="2"/>
        <v>9번 중 9번 참여</v>
      </c>
      <c r="F10" s="89">
        <f t="shared" si="3"/>
        <v>1</v>
      </c>
      <c r="G10" s="90" t="s">
        <v>25</v>
      </c>
      <c r="H10" s="90" t="s">
        <v>25</v>
      </c>
      <c r="I10" s="90" t="s">
        <v>25</v>
      </c>
      <c r="J10" s="90" t="s">
        <v>25</v>
      </c>
      <c r="K10" s="90" t="s">
        <v>25</v>
      </c>
      <c r="L10" s="90" t="s">
        <v>25</v>
      </c>
      <c r="M10" s="90" t="s">
        <v>25</v>
      </c>
      <c r="N10" s="90" t="s">
        <v>25</v>
      </c>
      <c r="O10" s="90" t="s">
        <v>25</v>
      </c>
      <c r="P10" s="91"/>
      <c r="Q10" s="233"/>
      <c r="R10" s="91"/>
      <c r="S10" s="91"/>
    </row>
    <row r="11">
      <c r="A11" s="21"/>
      <c r="B11" s="22">
        <v>7.0</v>
      </c>
      <c r="C11" s="201" t="s">
        <v>36</v>
      </c>
      <c r="D11" s="201" t="s">
        <v>72</v>
      </c>
      <c r="E11" s="88" t="str">
        <f t="shared" si="2"/>
        <v>9번 중 8번 참여</v>
      </c>
      <c r="F11" s="89">
        <f t="shared" si="3"/>
        <v>0.8888888889</v>
      </c>
      <c r="G11" s="90" t="s">
        <v>25</v>
      </c>
      <c r="H11" s="90" t="s">
        <v>25</v>
      </c>
      <c r="I11" s="90" t="s">
        <v>25</v>
      </c>
      <c r="J11" s="41"/>
      <c r="K11" s="90" t="s">
        <v>25</v>
      </c>
      <c r="L11" s="90" t="s">
        <v>25</v>
      </c>
      <c r="M11" s="90" t="s">
        <v>25</v>
      </c>
      <c r="N11" s="90" t="s">
        <v>25</v>
      </c>
      <c r="O11" s="90" t="s">
        <v>25</v>
      </c>
      <c r="P11" s="91"/>
      <c r="Q11" s="233"/>
      <c r="R11" s="91"/>
      <c r="S11" s="91"/>
    </row>
    <row r="12">
      <c r="A12" s="29"/>
      <c r="B12" s="30">
        <v>8.0</v>
      </c>
      <c r="C12" s="93" t="s">
        <v>38</v>
      </c>
      <c r="D12" s="93" t="s">
        <v>39</v>
      </c>
      <c r="E12" s="88" t="str">
        <f t="shared" si="2"/>
        <v>9번 중 9번 참여</v>
      </c>
      <c r="F12" s="89">
        <f t="shared" si="3"/>
        <v>1</v>
      </c>
      <c r="G12" s="90" t="s">
        <v>25</v>
      </c>
      <c r="H12" s="90" t="s">
        <v>25</v>
      </c>
      <c r="I12" s="90" t="s">
        <v>25</v>
      </c>
      <c r="J12" s="90" t="s">
        <v>25</v>
      </c>
      <c r="K12" s="90" t="s">
        <v>25</v>
      </c>
      <c r="L12" s="90" t="s">
        <v>25</v>
      </c>
      <c r="M12" s="90" t="s">
        <v>25</v>
      </c>
      <c r="N12" s="90" t="s">
        <v>25</v>
      </c>
      <c r="O12" s="90" t="s">
        <v>25</v>
      </c>
      <c r="P12" s="91"/>
      <c r="Q12" s="233"/>
      <c r="R12" s="91"/>
      <c r="S12" s="91"/>
    </row>
    <row r="13">
      <c r="A13" s="21"/>
      <c r="B13" s="22">
        <v>9.0</v>
      </c>
      <c r="C13" s="201" t="s">
        <v>40</v>
      </c>
      <c r="D13" s="201" t="s">
        <v>41</v>
      </c>
      <c r="E13" s="88" t="str">
        <f t="shared" si="2"/>
        <v>9번 중 9번 참여</v>
      </c>
      <c r="F13" s="89">
        <f t="shared" si="3"/>
        <v>1</v>
      </c>
      <c r="G13" s="90" t="s">
        <v>25</v>
      </c>
      <c r="H13" s="90" t="s">
        <v>25</v>
      </c>
      <c r="I13" s="90" t="s">
        <v>25</v>
      </c>
      <c r="J13" s="90" t="s">
        <v>25</v>
      </c>
      <c r="K13" s="90" t="s">
        <v>25</v>
      </c>
      <c r="L13" s="90" t="s">
        <v>25</v>
      </c>
      <c r="M13" s="90" t="s">
        <v>25</v>
      </c>
      <c r="N13" s="90" t="s">
        <v>25</v>
      </c>
      <c r="O13" s="90" t="s">
        <v>25</v>
      </c>
      <c r="P13" s="91"/>
      <c r="Q13" s="233"/>
      <c r="R13" s="91"/>
      <c r="S13" s="91"/>
    </row>
    <row r="14">
      <c r="A14" s="29"/>
      <c r="B14" s="30">
        <v>10.0</v>
      </c>
      <c r="C14" s="93" t="s">
        <v>42</v>
      </c>
      <c r="D14" s="93" t="s">
        <v>43</v>
      </c>
      <c r="E14" s="88" t="str">
        <f t="shared" si="2"/>
        <v>9번 중 8번 참여</v>
      </c>
      <c r="F14" s="89">
        <f t="shared" si="3"/>
        <v>0.8888888889</v>
      </c>
      <c r="G14" s="90" t="s">
        <v>25</v>
      </c>
      <c r="H14" s="90" t="s">
        <v>25</v>
      </c>
      <c r="I14" s="90" t="s">
        <v>25</v>
      </c>
      <c r="J14" s="90" t="s">
        <v>25</v>
      </c>
      <c r="K14" s="41"/>
      <c r="L14" s="90" t="s">
        <v>25</v>
      </c>
      <c r="M14" s="90" t="s">
        <v>25</v>
      </c>
      <c r="N14" s="90" t="s">
        <v>25</v>
      </c>
      <c r="O14" s="90" t="s">
        <v>25</v>
      </c>
      <c r="P14" s="91"/>
      <c r="Q14" s="233"/>
      <c r="R14" s="91"/>
      <c r="S14" s="91"/>
    </row>
    <row r="15">
      <c r="A15" s="21"/>
      <c r="B15" s="22">
        <v>11.0</v>
      </c>
      <c r="C15" s="96" t="s">
        <v>418</v>
      </c>
      <c r="D15" s="201" t="s">
        <v>327</v>
      </c>
      <c r="E15" s="88" t="str">
        <f t="shared" si="2"/>
        <v>9번 중 9번 참여</v>
      </c>
      <c r="F15" s="89">
        <f t="shared" si="3"/>
        <v>1</v>
      </c>
      <c r="G15" s="90" t="s">
        <v>25</v>
      </c>
      <c r="H15" s="90" t="s">
        <v>25</v>
      </c>
      <c r="I15" s="90" t="s">
        <v>25</v>
      </c>
      <c r="J15" s="90" t="s">
        <v>25</v>
      </c>
      <c r="K15" s="90" t="s">
        <v>25</v>
      </c>
      <c r="L15" s="90" t="s">
        <v>25</v>
      </c>
      <c r="M15" s="90" t="s">
        <v>25</v>
      </c>
      <c r="N15" s="90" t="s">
        <v>25</v>
      </c>
      <c r="O15" s="90" t="s">
        <v>25</v>
      </c>
      <c r="P15" s="91"/>
      <c r="Q15" s="233"/>
      <c r="R15" s="91"/>
      <c r="S15" s="91"/>
    </row>
    <row r="16">
      <c r="A16" s="29"/>
      <c r="B16" s="30">
        <v>12.0</v>
      </c>
      <c r="C16" s="94" t="s">
        <v>419</v>
      </c>
      <c r="D16" s="93" t="s">
        <v>328</v>
      </c>
      <c r="E16" s="88" t="str">
        <f t="shared" si="2"/>
        <v>9번 중 8번 참여</v>
      </c>
      <c r="F16" s="89">
        <f t="shared" si="3"/>
        <v>0.8888888889</v>
      </c>
      <c r="G16" s="90" t="s">
        <v>25</v>
      </c>
      <c r="H16" s="90" t="s">
        <v>25</v>
      </c>
      <c r="I16" s="90" t="s">
        <v>25</v>
      </c>
      <c r="J16" s="90" t="s">
        <v>25</v>
      </c>
      <c r="K16" s="90" t="s">
        <v>25</v>
      </c>
      <c r="L16" s="41"/>
      <c r="M16" s="90" t="s">
        <v>25</v>
      </c>
      <c r="N16" s="90" t="s">
        <v>25</v>
      </c>
      <c r="O16" s="90" t="s">
        <v>25</v>
      </c>
      <c r="P16" s="91"/>
      <c r="Q16" s="233"/>
      <c r="R16" s="91"/>
      <c r="S16" s="91"/>
    </row>
    <row r="17">
      <c r="A17" s="21"/>
      <c r="B17" s="22">
        <v>13.0</v>
      </c>
      <c r="C17" s="201" t="s">
        <v>44</v>
      </c>
      <c r="D17" s="201" t="s">
        <v>45</v>
      </c>
      <c r="E17" s="88" t="str">
        <f t="shared" si="2"/>
        <v>9번 중 9번 참여</v>
      </c>
      <c r="F17" s="89">
        <f t="shared" si="3"/>
        <v>1</v>
      </c>
      <c r="G17" s="90" t="s">
        <v>25</v>
      </c>
      <c r="H17" s="90" t="s">
        <v>25</v>
      </c>
      <c r="I17" s="90" t="s">
        <v>25</v>
      </c>
      <c r="J17" s="90" t="s">
        <v>25</v>
      </c>
      <c r="K17" s="90" t="s">
        <v>25</v>
      </c>
      <c r="L17" s="90" t="s">
        <v>25</v>
      </c>
      <c r="M17" s="90" t="s">
        <v>25</v>
      </c>
      <c r="N17" s="90" t="s">
        <v>25</v>
      </c>
      <c r="O17" s="90" t="s">
        <v>25</v>
      </c>
      <c r="P17" s="91"/>
      <c r="Q17" s="233"/>
      <c r="R17" s="91"/>
      <c r="S17" s="91"/>
    </row>
    <row r="18">
      <c r="A18" s="29"/>
      <c r="B18" s="30">
        <v>14.0</v>
      </c>
      <c r="C18" s="93" t="s">
        <v>46</v>
      </c>
      <c r="D18" s="93" t="s">
        <v>47</v>
      </c>
      <c r="E18" s="88" t="str">
        <f t="shared" si="2"/>
        <v>9번 중 9번 참여</v>
      </c>
      <c r="F18" s="89">
        <f t="shared" si="3"/>
        <v>1</v>
      </c>
      <c r="G18" s="90" t="s">
        <v>25</v>
      </c>
      <c r="H18" s="90" t="s">
        <v>25</v>
      </c>
      <c r="I18" s="90" t="s">
        <v>25</v>
      </c>
      <c r="J18" s="90" t="s">
        <v>25</v>
      </c>
      <c r="K18" s="90" t="s">
        <v>25</v>
      </c>
      <c r="L18" s="90" t="s">
        <v>25</v>
      </c>
      <c r="M18" s="90" t="s">
        <v>25</v>
      </c>
      <c r="N18" s="90" t="s">
        <v>25</v>
      </c>
      <c r="O18" s="90" t="s">
        <v>25</v>
      </c>
      <c r="P18" s="91"/>
      <c r="Q18" s="233"/>
      <c r="R18" s="91"/>
      <c r="S18" s="91"/>
    </row>
    <row r="19">
      <c r="A19" s="21"/>
      <c r="B19" s="22">
        <v>15.0</v>
      </c>
      <c r="C19" s="201" t="s">
        <v>48</v>
      </c>
      <c r="D19" s="201" t="s">
        <v>49</v>
      </c>
      <c r="E19" s="88" t="str">
        <f t="shared" si="2"/>
        <v>9번 중 9번 참여</v>
      </c>
      <c r="F19" s="89">
        <f t="shared" si="3"/>
        <v>1</v>
      </c>
      <c r="G19" s="90" t="s">
        <v>25</v>
      </c>
      <c r="H19" s="90" t="s">
        <v>25</v>
      </c>
      <c r="I19" s="90" t="s">
        <v>25</v>
      </c>
      <c r="J19" s="90" t="s">
        <v>25</v>
      </c>
      <c r="K19" s="90" t="s">
        <v>25</v>
      </c>
      <c r="L19" s="90" t="s">
        <v>25</v>
      </c>
      <c r="M19" s="90" t="s">
        <v>25</v>
      </c>
      <c r="N19" s="90" t="s">
        <v>25</v>
      </c>
      <c r="O19" s="90" t="s">
        <v>25</v>
      </c>
      <c r="P19" s="91"/>
      <c r="Q19" s="233"/>
      <c r="R19" s="91"/>
      <c r="S19" s="91"/>
    </row>
    <row r="20">
      <c r="A20" s="29"/>
      <c r="B20" s="30">
        <v>16.0</v>
      </c>
      <c r="C20" s="93" t="s">
        <v>50</v>
      </c>
      <c r="D20" s="93" t="s">
        <v>51</v>
      </c>
      <c r="E20" s="88" t="str">
        <f t="shared" si="2"/>
        <v>9번 중 9번 참여</v>
      </c>
      <c r="F20" s="89">
        <f t="shared" si="3"/>
        <v>1</v>
      </c>
      <c r="G20" s="90" t="s">
        <v>25</v>
      </c>
      <c r="H20" s="90" t="s">
        <v>25</v>
      </c>
      <c r="I20" s="90" t="s">
        <v>25</v>
      </c>
      <c r="J20" s="90" t="s">
        <v>25</v>
      </c>
      <c r="K20" s="90" t="s">
        <v>25</v>
      </c>
      <c r="L20" s="90" t="s">
        <v>25</v>
      </c>
      <c r="M20" s="90" t="s">
        <v>25</v>
      </c>
      <c r="N20" s="90" t="s">
        <v>25</v>
      </c>
      <c r="O20" s="90" t="s">
        <v>25</v>
      </c>
      <c r="P20" s="91"/>
      <c r="Q20" s="233"/>
      <c r="R20" s="91"/>
      <c r="S20" s="91"/>
    </row>
    <row r="21">
      <c r="A21" s="21"/>
      <c r="B21" s="22">
        <v>17.0</v>
      </c>
      <c r="C21" s="201" t="s">
        <v>52</v>
      </c>
      <c r="D21" s="201" t="s">
        <v>53</v>
      </c>
      <c r="E21" s="88" t="str">
        <f t="shared" si="2"/>
        <v>9번 중 9번 참여</v>
      </c>
      <c r="F21" s="89">
        <f t="shared" si="3"/>
        <v>1</v>
      </c>
      <c r="G21" s="90" t="s">
        <v>25</v>
      </c>
      <c r="H21" s="90" t="s">
        <v>25</v>
      </c>
      <c r="I21" s="90" t="s">
        <v>25</v>
      </c>
      <c r="J21" s="90" t="s">
        <v>25</v>
      </c>
      <c r="K21" s="90" t="s">
        <v>25</v>
      </c>
      <c r="L21" s="90" t="s">
        <v>25</v>
      </c>
      <c r="M21" s="90" t="s">
        <v>25</v>
      </c>
      <c r="N21" s="90" t="s">
        <v>25</v>
      </c>
      <c r="O21" s="90" t="s">
        <v>25</v>
      </c>
      <c r="P21" s="91"/>
      <c r="Q21" s="233"/>
      <c r="R21" s="91"/>
      <c r="S21" s="91"/>
    </row>
    <row r="22">
      <c r="A22" s="29"/>
      <c r="B22" s="30">
        <v>18.0</v>
      </c>
      <c r="C22" s="93" t="s">
        <v>329</v>
      </c>
      <c r="D22" s="93" t="s">
        <v>330</v>
      </c>
      <c r="E22" s="88" t="str">
        <f t="shared" si="2"/>
        <v>9번 중 9번 참여</v>
      </c>
      <c r="F22" s="89">
        <f t="shared" si="3"/>
        <v>1</v>
      </c>
      <c r="G22" s="90" t="s">
        <v>25</v>
      </c>
      <c r="H22" s="90" t="s">
        <v>25</v>
      </c>
      <c r="I22" s="90" t="s">
        <v>25</v>
      </c>
      <c r="J22" s="90" t="s">
        <v>25</v>
      </c>
      <c r="K22" s="90" t="s">
        <v>25</v>
      </c>
      <c r="L22" s="90" t="s">
        <v>25</v>
      </c>
      <c r="M22" s="90" t="s">
        <v>25</v>
      </c>
      <c r="N22" s="90" t="s">
        <v>25</v>
      </c>
      <c r="O22" s="90" t="s">
        <v>25</v>
      </c>
      <c r="P22" s="91"/>
      <c r="Q22" s="233"/>
      <c r="R22" s="91"/>
      <c r="S22" s="91"/>
    </row>
    <row r="23">
      <c r="A23" s="21"/>
      <c r="B23" s="22">
        <v>19.0</v>
      </c>
      <c r="C23" s="201" t="s">
        <v>56</v>
      </c>
      <c r="D23" s="201" t="s">
        <v>57</v>
      </c>
      <c r="E23" s="88" t="str">
        <f t="shared" si="2"/>
        <v>9번 중 9번 참여</v>
      </c>
      <c r="F23" s="89">
        <f t="shared" si="3"/>
        <v>1</v>
      </c>
      <c r="G23" s="90" t="s">
        <v>25</v>
      </c>
      <c r="H23" s="90" t="s">
        <v>25</v>
      </c>
      <c r="I23" s="90" t="s">
        <v>25</v>
      </c>
      <c r="J23" s="90" t="s">
        <v>25</v>
      </c>
      <c r="K23" s="90" t="s">
        <v>25</v>
      </c>
      <c r="L23" s="90" t="s">
        <v>25</v>
      </c>
      <c r="M23" s="90" t="s">
        <v>25</v>
      </c>
      <c r="N23" s="90" t="s">
        <v>25</v>
      </c>
      <c r="O23" s="90" t="s">
        <v>25</v>
      </c>
      <c r="P23" s="91"/>
      <c r="Q23" s="233"/>
      <c r="R23" s="91"/>
      <c r="S23" s="91"/>
    </row>
    <row r="24">
      <c r="A24" s="29"/>
      <c r="B24" s="30">
        <v>20.0</v>
      </c>
      <c r="C24" s="93" t="s">
        <v>58</v>
      </c>
      <c r="D24" s="93" t="s">
        <v>59</v>
      </c>
      <c r="E24" s="88" t="str">
        <f t="shared" si="2"/>
        <v>9번 중 6번 참여</v>
      </c>
      <c r="F24" s="89">
        <f t="shared" si="3"/>
        <v>0.6666666667</v>
      </c>
      <c r="G24" s="41"/>
      <c r="H24" s="90" t="s">
        <v>25</v>
      </c>
      <c r="I24" s="90" t="s">
        <v>25</v>
      </c>
      <c r="J24" s="41"/>
      <c r="K24" s="41"/>
      <c r="L24" s="90" t="s">
        <v>25</v>
      </c>
      <c r="M24" s="90" t="s">
        <v>25</v>
      </c>
      <c r="N24" s="90" t="s">
        <v>25</v>
      </c>
      <c r="O24" s="90" t="s">
        <v>25</v>
      </c>
      <c r="P24" s="91"/>
      <c r="Q24" s="233"/>
      <c r="R24" s="91"/>
      <c r="S24" s="91"/>
    </row>
    <row r="25">
      <c r="A25" s="21"/>
      <c r="B25" s="22">
        <v>21.0</v>
      </c>
      <c r="C25" s="201" t="s">
        <v>60</v>
      </c>
      <c r="D25" s="206" t="s">
        <v>61</v>
      </c>
      <c r="E25" s="88" t="str">
        <f t="shared" si="2"/>
        <v>9번 중 9번 참여</v>
      </c>
      <c r="F25" s="89">
        <f t="shared" si="3"/>
        <v>1</v>
      </c>
      <c r="G25" s="90" t="s">
        <v>25</v>
      </c>
      <c r="H25" s="90" t="s">
        <v>25</v>
      </c>
      <c r="I25" s="90" t="s">
        <v>25</v>
      </c>
      <c r="J25" s="90" t="s">
        <v>25</v>
      </c>
      <c r="K25" s="90" t="s">
        <v>25</v>
      </c>
      <c r="L25" s="90" t="s">
        <v>25</v>
      </c>
      <c r="M25" s="90" t="s">
        <v>25</v>
      </c>
      <c r="N25" s="90" t="s">
        <v>25</v>
      </c>
      <c r="O25" s="90" t="s">
        <v>25</v>
      </c>
      <c r="P25" s="91"/>
      <c r="Q25" s="233"/>
      <c r="R25" s="91"/>
      <c r="S25" s="91"/>
    </row>
    <row r="26">
      <c r="A26" s="29"/>
      <c r="B26" s="30">
        <v>22.0</v>
      </c>
      <c r="C26" s="207" t="s">
        <v>62</v>
      </c>
      <c r="D26" s="207" t="s">
        <v>63</v>
      </c>
      <c r="E26" s="88" t="str">
        <f t="shared" si="2"/>
        <v>9번 중 9번 참여</v>
      </c>
      <c r="F26" s="89">
        <f t="shared" si="3"/>
        <v>1</v>
      </c>
      <c r="G26" s="90" t="s">
        <v>25</v>
      </c>
      <c r="H26" s="90" t="s">
        <v>25</v>
      </c>
      <c r="I26" s="90" t="s">
        <v>25</v>
      </c>
      <c r="J26" s="90" t="s">
        <v>25</v>
      </c>
      <c r="K26" s="90" t="s">
        <v>25</v>
      </c>
      <c r="L26" s="90" t="s">
        <v>25</v>
      </c>
      <c r="M26" s="90" t="s">
        <v>25</v>
      </c>
      <c r="N26" s="90" t="s">
        <v>25</v>
      </c>
      <c r="O26" s="90" t="s">
        <v>25</v>
      </c>
      <c r="P26" s="91"/>
      <c r="Q26" s="233"/>
      <c r="R26" s="91"/>
      <c r="S26" s="91"/>
    </row>
    <row r="27">
      <c r="A27" s="21"/>
      <c r="B27" s="22">
        <v>23.0</v>
      </c>
      <c r="C27" s="201" t="s">
        <v>64</v>
      </c>
      <c r="D27" s="201" t="s">
        <v>65</v>
      </c>
      <c r="E27" s="88" t="str">
        <f t="shared" si="2"/>
        <v>9번 중 7번 참여</v>
      </c>
      <c r="F27" s="89">
        <f t="shared" si="3"/>
        <v>0.7777777778</v>
      </c>
      <c r="G27" s="41"/>
      <c r="H27" s="90" t="s">
        <v>25</v>
      </c>
      <c r="I27" s="90" t="s">
        <v>25</v>
      </c>
      <c r="J27" s="90" t="s">
        <v>25</v>
      </c>
      <c r="K27" s="41"/>
      <c r="L27" s="90" t="s">
        <v>25</v>
      </c>
      <c r="M27" s="90" t="s">
        <v>25</v>
      </c>
      <c r="N27" s="90" t="s">
        <v>25</v>
      </c>
      <c r="O27" s="90" t="s">
        <v>25</v>
      </c>
      <c r="P27" s="91"/>
      <c r="Q27" s="233"/>
      <c r="R27" s="91"/>
      <c r="S27" s="91"/>
    </row>
    <row r="28">
      <c r="A28" s="29"/>
      <c r="B28" s="30">
        <v>24.0</v>
      </c>
      <c r="C28" s="93" t="s">
        <v>335</v>
      </c>
      <c r="D28" s="93" t="s">
        <v>336</v>
      </c>
      <c r="E28" s="88" t="str">
        <f t="shared" si="2"/>
        <v>9번 중 7번 참여</v>
      </c>
      <c r="F28" s="89">
        <f t="shared" si="3"/>
        <v>0.7777777778</v>
      </c>
      <c r="G28" s="90" t="s">
        <v>25</v>
      </c>
      <c r="H28" s="90" t="s">
        <v>25</v>
      </c>
      <c r="I28" s="90" t="s">
        <v>25</v>
      </c>
      <c r="J28" s="90" t="s">
        <v>25</v>
      </c>
      <c r="K28" s="90" t="s">
        <v>25</v>
      </c>
      <c r="L28" s="90" t="s">
        <v>25</v>
      </c>
      <c r="M28" s="41"/>
      <c r="N28" s="90" t="s">
        <v>25</v>
      </c>
      <c r="O28" s="41"/>
      <c r="P28" s="37"/>
      <c r="Q28" s="234"/>
      <c r="R28" s="37"/>
      <c r="S28" s="37"/>
    </row>
    <row r="29">
      <c r="A29" s="21"/>
      <c r="B29" s="22">
        <v>25.0</v>
      </c>
      <c r="C29" s="96" t="s">
        <v>420</v>
      </c>
      <c r="D29" s="201" t="s">
        <v>337</v>
      </c>
      <c r="E29" s="88" t="str">
        <f t="shared" si="2"/>
        <v>9번 중 7번 참여</v>
      </c>
      <c r="F29" s="89">
        <f t="shared" si="3"/>
        <v>0.7777777778</v>
      </c>
      <c r="G29" s="90" t="s">
        <v>25</v>
      </c>
      <c r="H29" s="90" t="s">
        <v>25</v>
      </c>
      <c r="I29" s="90" t="s">
        <v>25</v>
      </c>
      <c r="J29" s="90" t="s">
        <v>25</v>
      </c>
      <c r="K29" s="90" t="s">
        <v>25</v>
      </c>
      <c r="L29" s="90" t="s">
        <v>25</v>
      </c>
      <c r="M29" s="41"/>
      <c r="N29" s="90" t="s">
        <v>25</v>
      </c>
      <c r="O29" s="41"/>
      <c r="P29" s="37"/>
      <c r="Q29" s="234"/>
      <c r="R29" s="37"/>
      <c r="S29" s="37"/>
    </row>
    <row r="30">
      <c r="A30" s="29"/>
      <c r="B30" s="30">
        <v>26.0</v>
      </c>
      <c r="C30" s="93" t="s">
        <v>74</v>
      </c>
      <c r="D30" s="93" t="s">
        <v>75</v>
      </c>
      <c r="E30" s="88" t="str">
        <f t="shared" si="2"/>
        <v>9번 중 7번 참여</v>
      </c>
      <c r="F30" s="89">
        <f t="shared" si="3"/>
        <v>0.7777777778</v>
      </c>
      <c r="G30" s="90" t="s">
        <v>25</v>
      </c>
      <c r="H30" s="90" t="s">
        <v>25</v>
      </c>
      <c r="I30" s="41"/>
      <c r="J30" s="90" t="s">
        <v>25</v>
      </c>
      <c r="K30" s="90" t="s">
        <v>25</v>
      </c>
      <c r="L30" s="90" t="s">
        <v>25</v>
      </c>
      <c r="M30" s="90" t="s">
        <v>25</v>
      </c>
      <c r="N30" s="90" t="s">
        <v>25</v>
      </c>
      <c r="O30" s="41"/>
      <c r="P30" s="37"/>
      <c r="Q30" s="234"/>
      <c r="R30" s="37"/>
      <c r="S30" s="37"/>
    </row>
    <row r="31">
      <c r="A31" s="21"/>
      <c r="B31" s="22">
        <v>27.0</v>
      </c>
      <c r="C31" s="201" t="s">
        <v>76</v>
      </c>
      <c r="D31" s="206" t="s">
        <v>77</v>
      </c>
      <c r="E31" s="88" t="str">
        <f t="shared" si="2"/>
        <v>9번 중 8번 참여</v>
      </c>
      <c r="F31" s="89">
        <f t="shared" si="3"/>
        <v>0.8888888889</v>
      </c>
      <c r="G31" s="90" t="s">
        <v>25</v>
      </c>
      <c r="H31" s="90" t="s">
        <v>25</v>
      </c>
      <c r="I31" s="90" t="s">
        <v>25</v>
      </c>
      <c r="J31" s="90" t="s">
        <v>25</v>
      </c>
      <c r="K31" s="41"/>
      <c r="L31" s="90" t="s">
        <v>25</v>
      </c>
      <c r="M31" s="90" t="s">
        <v>25</v>
      </c>
      <c r="N31" s="90" t="s">
        <v>25</v>
      </c>
      <c r="O31" s="90" t="s">
        <v>25</v>
      </c>
      <c r="P31" s="91"/>
      <c r="Q31" s="233"/>
      <c r="R31" s="91"/>
      <c r="S31" s="91"/>
    </row>
    <row r="32">
      <c r="A32" s="29"/>
      <c r="B32" s="30">
        <v>28.0</v>
      </c>
      <c r="C32" s="93" t="s">
        <v>78</v>
      </c>
      <c r="D32" s="93" t="s">
        <v>79</v>
      </c>
      <c r="E32" s="88" t="str">
        <f t="shared" si="2"/>
        <v>9번 중 9번 참여</v>
      </c>
      <c r="F32" s="89">
        <f t="shared" si="3"/>
        <v>1</v>
      </c>
      <c r="G32" s="90" t="s">
        <v>25</v>
      </c>
      <c r="H32" s="90" t="s">
        <v>25</v>
      </c>
      <c r="I32" s="90" t="s">
        <v>25</v>
      </c>
      <c r="J32" s="90" t="s">
        <v>25</v>
      </c>
      <c r="K32" s="90" t="s">
        <v>25</v>
      </c>
      <c r="L32" s="90" t="s">
        <v>25</v>
      </c>
      <c r="M32" s="90" t="s">
        <v>25</v>
      </c>
      <c r="N32" s="90" t="s">
        <v>25</v>
      </c>
      <c r="O32" s="90" t="s">
        <v>25</v>
      </c>
      <c r="P32" s="91"/>
      <c r="Q32" s="233"/>
      <c r="R32" s="91"/>
      <c r="S32" s="91"/>
    </row>
    <row r="33">
      <c r="A33" s="21"/>
      <c r="B33" s="22">
        <v>29.0</v>
      </c>
      <c r="C33" s="201" t="s">
        <v>130</v>
      </c>
      <c r="D33" s="201" t="s">
        <v>338</v>
      </c>
      <c r="E33" s="88" t="str">
        <f t="shared" si="2"/>
        <v>9번 중 8번 참여</v>
      </c>
      <c r="F33" s="89">
        <f t="shared" si="3"/>
        <v>0.8888888889</v>
      </c>
      <c r="G33" s="90" t="s">
        <v>25</v>
      </c>
      <c r="H33" s="90" t="s">
        <v>25</v>
      </c>
      <c r="I33" s="90" t="s">
        <v>25</v>
      </c>
      <c r="J33" s="90" t="s">
        <v>25</v>
      </c>
      <c r="K33" s="90" t="s">
        <v>25</v>
      </c>
      <c r="L33" s="90" t="s">
        <v>25</v>
      </c>
      <c r="M33" s="90" t="s">
        <v>25</v>
      </c>
      <c r="N33" s="90" t="s">
        <v>25</v>
      </c>
      <c r="O33" s="41"/>
      <c r="P33" s="37"/>
      <c r="Q33" s="234"/>
      <c r="R33" s="37"/>
      <c r="S33" s="37"/>
    </row>
    <row r="34">
      <c r="A34" s="29"/>
      <c r="B34" s="30">
        <v>30.0</v>
      </c>
      <c r="C34" s="93" t="s">
        <v>81</v>
      </c>
      <c r="D34" s="93" t="s">
        <v>82</v>
      </c>
      <c r="E34" s="88" t="str">
        <f t="shared" si="2"/>
        <v>9번 중 7번 참여</v>
      </c>
      <c r="F34" s="89">
        <f t="shared" si="3"/>
        <v>0.7777777778</v>
      </c>
      <c r="G34" s="90" t="s">
        <v>25</v>
      </c>
      <c r="H34" s="90" t="s">
        <v>25</v>
      </c>
      <c r="I34" s="90" t="s">
        <v>25</v>
      </c>
      <c r="J34" s="41"/>
      <c r="K34" s="41"/>
      <c r="L34" s="90" t="s">
        <v>25</v>
      </c>
      <c r="M34" s="90" t="s">
        <v>25</v>
      </c>
      <c r="N34" s="90" t="s">
        <v>25</v>
      </c>
      <c r="O34" s="90" t="s">
        <v>25</v>
      </c>
      <c r="P34" s="91"/>
      <c r="Q34" s="233"/>
      <c r="R34" s="91"/>
      <c r="S34" s="91"/>
    </row>
    <row r="35">
      <c r="A35" s="21"/>
      <c r="B35" s="22">
        <v>31.0</v>
      </c>
      <c r="C35" s="201" t="s">
        <v>83</v>
      </c>
      <c r="D35" s="201" t="s">
        <v>84</v>
      </c>
      <c r="E35" s="88" t="str">
        <f t="shared" si="2"/>
        <v>9번 중 8번 참여</v>
      </c>
      <c r="F35" s="89">
        <f t="shared" si="3"/>
        <v>0.8888888889</v>
      </c>
      <c r="G35" s="90" t="s">
        <v>25</v>
      </c>
      <c r="H35" s="90" t="s">
        <v>25</v>
      </c>
      <c r="I35" s="90" t="s">
        <v>25</v>
      </c>
      <c r="J35" s="41"/>
      <c r="K35" s="90" t="s">
        <v>25</v>
      </c>
      <c r="L35" s="90" t="s">
        <v>25</v>
      </c>
      <c r="M35" s="90" t="s">
        <v>25</v>
      </c>
      <c r="N35" s="90" t="s">
        <v>25</v>
      </c>
      <c r="O35" s="90" t="s">
        <v>25</v>
      </c>
      <c r="P35" s="91"/>
      <c r="Q35" s="233"/>
      <c r="R35" s="91"/>
      <c r="S35" s="91"/>
    </row>
    <row r="36">
      <c r="A36" s="29"/>
      <c r="B36" s="30">
        <v>32.0</v>
      </c>
      <c r="C36" s="93" t="s">
        <v>85</v>
      </c>
      <c r="D36" s="93" t="s">
        <v>86</v>
      </c>
      <c r="E36" s="88" t="str">
        <f t="shared" si="2"/>
        <v>9번 중 8번 참여</v>
      </c>
      <c r="F36" s="89">
        <f t="shared" si="3"/>
        <v>0.8888888889</v>
      </c>
      <c r="G36" s="90" t="s">
        <v>25</v>
      </c>
      <c r="H36" s="90" t="s">
        <v>25</v>
      </c>
      <c r="I36" s="90" t="s">
        <v>25</v>
      </c>
      <c r="J36" s="90" t="s">
        <v>25</v>
      </c>
      <c r="K36" s="90" t="s">
        <v>25</v>
      </c>
      <c r="L36" s="90" t="s">
        <v>25</v>
      </c>
      <c r="M36" s="90" t="s">
        <v>25</v>
      </c>
      <c r="N36" s="41"/>
      <c r="O36" s="90" t="s">
        <v>25</v>
      </c>
      <c r="P36" s="91"/>
      <c r="Q36" s="233"/>
      <c r="R36" s="91"/>
      <c r="S36" s="91"/>
    </row>
    <row r="37">
      <c r="A37" s="21"/>
      <c r="B37" s="22">
        <v>33.0</v>
      </c>
      <c r="C37" s="201" t="s">
        <v>87</v>
      </c>
      <c r="D37" s="206" t="s">
        <v>88</v>
      </c>
      <c r="E37" s="88" t="str">
        <f t="shared" si="2"/>
        <v>9번 중 6번 참여</v>
      </c>
      <c r="F37" s="89">
        <f t="shared" si="3"/>
        <v>0.6666666667</v>
      </c>
      <c r="G37" s="90" t="s">
        <v>25</v>
      </c>
      <c r="H37" s="90" t="s">
        <v>25</v>
      </c>
      <c r="I37" s="90" t="s">
        <v>80</v>
      </c>
      <c r="J37" s="90" t="s">
        <v>25</v>
      </c>
      <c r="K37" s="90" t="s">
        <v>25</v>
      </c>
      <c r="L37" s="90" t="s">
        <v>25</v>
      </c>
      <c r="M37" s="41"/>
      <c r="N37" s="90" t="s">
        <v>25</v>
      </c>
      <c r="O37" s="41"/>
      <c r="P37" s="37"/>
      <c r="Q37" s="234"/>
      <c r="R37" s="37"/>
      <c r="S37" s="37"/>
    </row>
    <row r="38">
      <c r="A38" s="29"/>
      <c r="B38" s="30">
        <v>34.0</v>
      </c>
      <c r="C38" s="94" t="s">
        <v>421</v>
      </c>
      <c r="D38" s="93" t="s">
        <v>389</v>
      </c>
      <c r="E38" s="88" t="str">
        <f t="shared" si="2"/>
        <v>9번 중 7번 참여</v>
      </c>
      <c r="F38" s="89">
        <f t="shared" si="3"/>
        <v>0.7777777778</v>
      </c>
      <c r="G38" s="90" t="s">
        <v>25</v>
      </c>
      <c r="H38" s="90" t="s">
        <v>25</v>
      </c>
      <c r="I38" s="90" t="s">
        <v>25</v>
      </c>
      <c r="J38" s="41"/>
      <c r="K38" s="41"/>
      <c r="L38" s="90" t="s">
        <v>25</v>
      </c>
      <c r="M38" s="90" t="s">
        <v>25</v>
      </c>
      <c r="N38" s="90" t="s">
        <v>25</v>
      </c>
      <c r="O38" s="90" t="s">
        <v>25</v>
      </c>
      <c r="P38" s="91"/>
      <c r="Q38" s="233"/>
      <c r="R38" s="91"/>
      <c r="S38" s="91"/>
    </row>
    <row r="39">
      <c r="A39" s="21"/>
      <c r="B39" s="22">
        <v>35.0</v>
      </c>
      <c r="C39" s="201" t="s">
        <v>382</v>
      </c>
      <c r="D39" s="201" t="s">
        <v>383</v>
      </c>
      <c r="E39" s="88" t="str">
        <f t="shared" si="2"/>
        <v/>
      </c>
      <c r="F39" s="89" t="str">
        <f t="shared" si="3"/>
        <v/>
      </c>
      <c r="G39" s="41"/>
      <c r="H39" s="41"/>
      <c r="I39" s="41"/>
      <c r="J39" s="41"/>
      <c r="K39" s="41"/>
      <c r="L39" s="41"/>
      <c r="M39" s="41"/>
      <c r="N39" s="41"/>
      <c r="O39" s="41"/>
      <c r="P39" s="37"/>
      <c r="Q39" s="234"/>
      <c r="R39" s="37"/>
      <c r="S39" s="37"/>
    </row>
    <row r="40">
      <c r="A40" s="29"/>
      <c r="B40" s="30">
        <v>36.0</v>
      </c>
      <c r="C40" s="208" t="s">
        <v>93</v>
      </c>
      <c r="D40" s="208" t="s">
        <v>94</v>
      </c>
      <c r="E40" s="88" t="str">
        <f t="shared" si="2"/>
        <v>9번 중 9번 참여</v>
      </c>
      <c r="F40" s="89">
        <f t="shared" si="3"/>
        <v>1</v>
      </c>
      <c r="G40" s="90" t="s">
        <v>25</v>
      </c>
      <c r="H40" s="90" t="s">
        <v>25</v>
      </c>
      <c r="I40" s="90" t="s">
        <v>25</v>
      </c>
      <c r="J40" s="90" t="s">
        <v>25</v>
      </c>
      <c r="K40" s="90" t="s">
        <v>25</v>
      </c>
      <c r="L40" s="90" t="s">
        <v>25</v>
      </c>
      <c r="M40" s="90" t="s">
        <v>25</v>
      </c>
      <c r="N40" s="90" t="s">
        <v>25</v>
      </c>
      <c r="O40" s="90" t="s">
        <v>25</v>
      </c>
      <c r="P40" s="91"/>
      <c r="Q40" s="233"/>
      <c r="R40" s="91"/>
      <c r="S40" s="91"/>
    </row>
    <row r="41">
      <c r="A41" s="21"/>
      <c r="B41" s="22">
        <v>37.0</v>
      </c>
      <c r="C41" s="201" t="s">
        <v>124</v>
      </c>
      <c r="D41" s="201" t="s">
        <v>125</v>
      </c>
      <c r="E41" s="88" t="str">
        <f t="shared" si="2"/>
        <v>9번 중 9번 참여</v>
      </c>
      <c r="F41" s="89">
        <f t="shared" si="3"/>
        <v>1</v>
      </c>
      <c r="G41" s="90" t="s">
        <v>25</v>
      </c>
      <c r="H41" s="90" t="s">
        <v>25</v>
      </c>
      <c r="I41" s="90" t="s">
        <v>25</v>
      </c>
      <c r="J41" s="90" t="s">
        <v>25</v>
      </c>
      <c r="K41" s="90" t="s">
        <v>25</v>
      </c>
      <c r="L41" s="90" t="s">
        <v>25</v>
      </c>
      <c r="M41" s="90" t="s">
        <v>25</v>
      </c>
      <c r="N41" s="90" t="s">
        <v>25</v>
      </c>
      <c r="O41" s="90" t="s">
        <v>25</v>
      </c>
      <c r="P41" s="91"/>
      <c r="Q41" s="233"/>
      <c r="R41" s="91"/>
      <c r="S41" s="91"/>
    </row>
    <row r="42">
      <c r="A42" s="29"/>
      <c r="B42" s="30">
        <v>38.0</v>
      </c>
      <c r="C42" s="93" t="s">
        <v>128</v>
      </c>
      <c r="D42" s="93" t="s">
        <v>129</v>
      </c>
      <c r="E42" s="88" t="str">
        <f t="shared" si="2"/>
        <v>9번 중 9번 참여</v>
      </c>
      <c r="F42" s="89">
        <f t="shared" si="3"/>
        <v>1</v>
      </c>
      <c r="G42" s="90" t="s">
        <v>25</v>
      </c>
      <c r="H42" s="90" t="s">
        <v>25</v>
      </c>
      <c r="I42" s="90" t="s">
        <v>25</v>
      </c>
      <c r="J42" s="90" t="s">
        <v>25</v>
      </c>
      <c r="K42" s="90" t="s">
        <v>25</v>
      </c>
      <c r="L42" s="90" t="s">
        <v>25</v>
      </c>
      <c r="M42" s="90" t="s">
        <v>25</v>
      </c>
      <c r="N42" s="90" t="s">
        <v>25</v>
      </c>
      <c r="O42" s="90" t="s">
        <v>25</v>
      </c>
      <c r="P42" s="91"/>
      <c r="Q42" s="233"/>
      <c r="R42" s="91"/>
      <c r="S42" s="91"/>
    </row>
    <row r="43">
      <c r="A43" s="21"/>
      <c r="B43" s="22">
        <v>39.0</v>
      </c>
      <c r="C43" s="201" t="s">
        <v>99</v>
      </c>
      <c r="D43" s="201" t="s">
        <v>100</v>
      </c>
      <c r="E43" s="88" t="str">
        <f t="shared" si="2"/>
        <v>9번 중 9번 참여</v>
      </c>
      <c r="F43" s="89">
        <f t="shared" si="3"/>
        <v>1</v>
      </c>
      <c r="G43" s="90" t="s">
        <v>25</v>
      </c>
      <c r="H43" s="90" t="s">
        <v>25</v>
      </c>
      <c r="I43" s="90" t="s">
        <v>25</v>
      </c>
      <c r="J43" s="90" t="s">
        <v>25</v>
      </c>
      <c r="K43" s="90" t="s">
        <v>25</v>
      </c>
      <c r="L43" s="90" t="s">
        <v>25</v>
      </c>
      <c r="M43" s="90" t="s">
        <v>25</v>
      </c>
      <c r="N43" s="90" t="s">
        <v>25</v>
      </c>
      <c r="O43" s="90" t="s">
        <v>25</v>
      </c>
      <c r="P43" s="91"/>
      <c r="Q43" s="233"/>
      <c r="R43" s="91"/>
      <c r="S43" s="91"/>
    </row>
    <row r="44">
      <c r="A44" s="29"/>
      <c r="B44" s="30">
        <v>40.0</v>
      </c>
      <c r="C44" s="201" t="s">
        <v>347</v>
      </c>
      <c r="D44" s="201" t="s">
        <v>348</v>
      </c>
      <c r="E44" s="88" t="str">
        <f t="shared" si="2"/>
        <v>9번 중 9번 참여</v>
      </c>
      <c r="F44" s="89">
        <f t="shared" si="3"/>
        <v>1</v>
      </c>
      <c r="G44" s="90" t="s">
        <v>25</v>
      </c>
      <c r="H44" s="90" t="s">
        <v>25</v>
      </c>
      <c r="I44" s="90" t="s">
        <v>25</v>
      </c>
      <c r="J44" s="90" t="s">
        <v>25</v>
      </c>
      <c r="K44" s="90" t="s">
        <v>25</v>
      </c>
      <c r="L44" s="90" t="s">
        <v>25</v>
      </c>
      <c r="M44" s="90" t="s">
        <v>25</v>
      </c>
      <c r="N44" s="90" t="s">
        <v>25</v>
      </c>
      <c r="O44" s="90" t="s">
        <v>25</v>
      </c>
      <c r="P44" s="91"/>
      <c r="Q44" s="233"/>
      <c r="R44" s="91"/>
      <c r="S44" s="91"/>
    </row>
    <row r="45">
      <c r="A45" s="21"/>
      <c r="B45" s="22">
        <v>41.0</v>
      </c>
      <c r="C45" s="93" t="s">
        <v>95</v>
      </c>
      <c r="D45" s="93" t="s">
        <v>96</v>
      </c>
      <c r="E45" s="88"/>
      <c r="F45" s="89">
        <f t="shared" si="3"/>
        <v>1</v>
      </c>
      <c r="G45" s="90" t="s">
        <v>25</v>
      </c>
      <c r="H45" s="90" t="s">
        <v>25</v>
      </c>
      <c r="I45" s="90" t="s">
        <v>25</v>
      </c>
      <c r="J45" s="90" t="s">
        <v>25</v>
      </c>
      <c r="K45" s="90" t="s">
        <v>25</v>
      </c>
      <c r="L45" s="90" t="s">
        <v>25</v>
      </c>
      <c r="M45" s="90" t="s">
        <v>25</v>
      </c>
      <c r="N45" s="90" t="s">
        <v>25</v>
      </c>
      <c r="O45" s="90" t="s">
        <v>25</v>
      </c>
      <c r="P45" s="91"/>
      <c r="Q45" s="233"/>
      <c r="R45" s="91"/>
      <c r="S45" s="91"/>
    </row>
    <row r="46">
      <c r="A46" s="29"/>
      <c r="B46" s="30">
        <v>42.0</v>
      </c>
      <c r="C46" s="201" t="s">
        <v>97</v>
      </c>
      <c r="D46" s="201" t="s">
        <v>98</v>
      </c>
      <c r="E46" s="88" t="str">
        <f t="shared" ref="E46:E89" si="4">IF(COUNTIF(G46:O46, "완료")=0, "", COUNTIF($G$4:$O$4, "완료") &amp; "번 중 " &amp; COUNTIF(G46:O46, "완료") &amp; "번 참여")
</f>
        <v>9번 중 9번 참여</v>
      </c>
      <c r="F46" s="89">
        <f t="shared" si="3"/>
        <v>1</v>
      </c>
      <c r="G46" s="90" t="s">
        <v>25</v>
      </c>
      <c r="H46" s="90" t="s">
        <v>25</v>
      </c>
      <c r="I46" s="90" t="s">
        <v>25</v>
      </c>
      <c r="J46" s="90" t="s">
        <v>25</v>
      </c>
      <c r="K46" s="90" t="s">
        <v>25</v>
      </c>
      <c r="L46" s="90" t="s">
        <v>25</v>
      </c>
      <c r="M46" s="90" t="s">
        <v>25</v>
      </c>
      <c r="N46" s="90" t="s">
        <v>25</v>
      </c>
      <c r="O46" s="90" t="s">
        <v>25</v>
      </c>
      <c r="P46" s="91"/>
      <c r="Q46" s="233"/>
      <c r="R46" s="91"/>
      <c r="S46" s="91"/>
    </row>
    <row r="47">
      <c r="A47" s="21"/>
      <c r="B47" s="22">
        <v>43.0</v>
      </c>
      <c r="C47" s="93" t="s">
        <v>349</v>
      </c>
      <c r="D47" s="93" t="s">
        <v>350</v>
      </c>
      <c r="E47" s="88" t="str">
        <f t="shared" si="4"/>
        <v>9번 중 6번 참여</v>
      </c>
      <c r="F47" s="89">
        <f t="shared" si="3"/>
        <v>0.6666666667</v>
      </c>
      <c r="G47" s="41"/>
      <c r="H47" s="90" t="s">
        <v>25</v>
      </c>
      <c r="I47" s="90" t="s">
        <v>25</v>
      </c>
      <c r="J47" s="41"/>
      <c r="K47" s="41"/>
      <c r="L47" s="90" t="s">
        <v>25</v>
      </c>
      <c r="M47" s="90" t="s">
        <v>25</v>
      </c>
      <c r="N47" s="90" t="s">
        <v>25</v>
      </c>
      <c r="O47" s="90" t="s">
        <v>25</v>
      </c>
      <c r="P47" s="37"/>
      <c r="Q47" s="234"/>
      <c r="R47" s="37"/>
      <c r="S47" s="37"/>
    </row>
    <row r="48">
      <c r="A48" s="29"/>
      <c r="B48" s="30">
        <v>44.0</v>
      </c>
      <c r="C48" s="201" t="s">
        <v>103</v>
      </c>
      <c r="D48" s="201" t="s">
        <v>104</v>
      </c>
      <c r="E48" s="88" t="str">
        <f t="shared" si="4"/>
        <v>9번 중 9번 참여</v>
      </c>
      <c r="F48" s="89">
        <f t="shared" si="3"/>
        <v>1</v>
      </c>
      <c r="G48" s="90" t="s">
        <v>25</v>
      </c>
      <c r="H48" s="90" t="s">
        <v>25</v>
      </c>
      <c r="I48" s="90" t="s">
        <v>25</v>
      </c>
      <c r="J48" s="90" t="s">
        <v>25</v>
      </c>
      <c r="K48" s="90" t="s">
        <v>25</v>
      </c>
      <c r="L48" s="90" t="s">
        <v>25</v>
      </c>
      <c r="M48" s="90" t="s">
        <v>25</v>
      </c>
      <c r="N48" s="90" t="s">
        <v>25</v>
      </c>
      <c r="O48" s="90" t="s">
        <v>25</v>
      </c>
      <c r="P48" s="91"/>
      <c r="Q48" s="233"/>
      <c r="R48" s="91"/>
      <c r="S48" s="91"/>
    </row>
    <row r="49">
      <c r="A49" s="21"/>
      <c r="B49" s="22">
        <v>45.0</v>
      </c>
      <c r="C49" s="93" t="s">
        <v>351</v>
      </c>
      <c r="D49" s="93" t="s">
        <v>352</v>
      </c>
      <c r="E49" s="88" t="str">
        <f t="shared" si="4"/>
        <v>9번 중 9번 참여</v>
      </c>
      <c r="F49" s="89">
        <f t="shared" si="3"/>
        <v>1</v>
      </c>
      <c r="G49" s="90" t="s">
        <v>25</v>
      </c>
      <c r="H49" s="90" t="s">
        <v>25</v>
      </c>
      <c r="I49" s="90" t="s">
        <v>25</v>
      </c>
      <c r="J49" s="90" t="s">
        <v>25</v>
      </c>
      <c r="K49" s="90" t="s">
        <v>25</v>
      </c>
      <c r="L49" s="90" t="s">
        <v>25</v>
      </c>
      <c r="M49" s="90" t="s">
        <v>25</v>
      </c>
      <c r="N49" s="90" t="s">
        <v>25</v>
      </c>
      <c r="O49" s="90" t="s">
        <v>25</v>
      </c>
      <c r="P49" s="37"/>
      <c r="Q49" s="234"/>
      <c r="R49" s="37"/>
      <c r="S49" s="37"/>
    </row>
    <row r="50">
      <c r="A50" s="29"/>
      <c r="B50" s="30">
        <v>46.0</v>
      </c>
      <c r="C50" s="201" t="s">
        <v>284</v>
      </c>
      <c r="D50" s="201" t="s">
        <v>121</v>
      </c>
      <c r="E50" s="88" t="str">
        <f t="shared" si="4"/>
        <v>9번 중 9번 참여</v>
      </c>
      <c r="F50" s="89">
        <f t="shared" si="3"/>
        <v>1</v>
      </c>
      <c r="G50" s="90" t="s">
        <v>25</v>
      </c>
      <c r="H50" s="90" t="s">
        <v>25</v>
      </c>
      <c r="I50" s="90" t="s">
        <v>25</v>
      </c>
      <c r="J50" s="90" t="s">
        <v>25</v>
      </c>
      <c r="K50" s="90" t="s">
        <v>25</v>
      </c>
      <c r="L50" s="90" t="s">
        <v>25</v>
      </c>
      <c r="M50" s="90" t="s">
        <v>25</v>
      </c>
      <c r="N50" s="90" t="s">
        <v>25</v>
      </c>
      <c r="O50" s="90" t="s">
        <v>25</v>
      </c>
      <c r="P50" s="91"/>
      <c r="Q50" s="233"/>
      <c r="R50" s="91"/>
      <c r="S50" s="91"/>
    </row>
    <row r="51">
      <c r="A51" s="21"/>
      <c r="B51" s="22">
        <v>47.0</v>
      </c>
      <c r="C51" s="93" t="s">
        <v>101</v>
      </c>
      <c r="D51" s="93" t="s">
        <v>102</v>
      </c>
      <c r="E51" s="88" t="str">
        <f t="shared" si="4"/>
        <v>9번 중 7번 참여</v>
      </c>
      <c r="F51" s="89">
        <f t="shared" si="3"/>
        <v>0.7777777778</v>
      </c>
      <c r="G51" s="90" t="s">
        <v>25</v>
      </c>
      <c r="H51" s="90" t="s">
        <v>25</v>
      </c>
      <c r="I51" s="90" t="s">
        <v>25</v>
      </c>
      <c r="J51" s="41"/>
      <c r="K51" s="41"/>
      <c r="L51" s="90" t="s">
        <v>25</v>
      </c>
      <c r="M51" s="90" t="s">
        <v>25</v>
      </c>
      <c r="N51" s="90" t="s">
        <v>25</v>
      </c>
      <c r="O51" s="90" t="s">
        <v>25</v>
      </c>
      <c r="P51" s="91"/>
      <c r="Q51" s="233"/>
      <c r="R51" s="91"/>
      <c r="S51" s="91"/>
    </row>
    <row r="52">
      <c r="A52" s="29"/>
      <c r="B52" s="30">
        <v>48.0</v>
      </c>
      <c r="C52" s="201" t="s">
        <v>380</v>
      </c>
      <c r="D52" s="201" t="s">
        <v>381</v>
      </c>
      <c r="E52" s="88" t="str">
        <f t="shared" si="4"/>
        <v>9번 중 1번 참여</v>
      </c>
      <c r="F52" s="89">
        <f t="shared" si="3"/>
        <v>0.1111111111</v>
      </c>
      <c r="G52" s="41"/>
      <c r="H52" s="41"/>
      <c r="I52" s="41"/>
      <c r="J52" s="90" t="s">
        <v>25</v>
      </c>
      <c r="K52" s="41"/>
      <c r="L52" s="41"/>
      <c r="M52" s="41"/>
      <c r="N52" s="41"/>
      <c r="O52" s="41"/>
      <c r="P52" s="37"/>
      <c r="Q52" s="234"/>
      <c r="R52" s="37"/>
      <c r="S52" s="37"/>
    </row>
    <row r="53">
      <c r="A53" s="21"/>
      <c r="B53" s="22">
        <v>49.0</v>
      </c>
      <c r="C53" s="93" t="s">
        <v>357</v>
      </c>
      <c r="D53" s="93" t="s">
        <v>358</v>
      </c>
      <c r="E53" s="88" t="str">
        <f t="shared" si="4"/>
        <v>9번 중 5번 참여</v>
      </c>
      <c r="F53" s="89">
        <f t="shared" si="3"/>
        <v>0.5555555556</v>
      </c>
      <c r="G53" s="90" t="s">
        <v>25</v>
      </c>
      <c r="H53" s="90" t="s">
        <v>80</v>
      </c>
      <c r="I53" s="90" t="s">
        <v>25</v>
      </c>
      <c r="J53" s="90" t="s">
        <v>25</v>
      </c>
      <c r="K53" s="90" t="s">
        <v>25</v>
      </c>
      <c r="L53" s="90" t="s">
        <v>25</v>
      </c>
      <c r="M53" s="90" t="s">
        <v>80</v>
      </c>
      <c r="N53" s="41"/>
      <c r="O53" s="41"/>
      <c r="P53" s="37"/>
      <c r="Q53" s="234"/>
      <c r="R53" s="37"/>
      <c r="S53" s="37"/>
    </row>
    <row r="54">
      <c r="A54" s="29"/>
      <c r="B54" s="30">
        <v>50.0</v>
      </c>
      <c r="C54" s="201" t="s">
        <v>359</v>
      </c>
      <c r="D54" s="201" t="s">
        <v>360</v>
      </c>
      <c r="E54" s="88" t="str">
        <f t="shared" si="4"/>
        <v>9번 중 8번 참여</v>
      </c>
      <c r="F54" s="89">
        <f t="shared" si="3"/>
        <v>0.8888888889</v>
      </c>
      <c r="G54" s="90" t="s">
        <v>25</v>
      </c>
      <c r="H54" s="90" t="s">
        <v>25</v>
      </c>
      <c r="I54" s="90" t="s">
        <v>25</v>
      </c>
      <c r="J54" s="90" t="s">
        <v>25</v>
      </c>
      <c r="K54" s="41"/>
      <c r="L54" s="90" t="s">
        <v>25</v>
      </c>
      <c r="M54" s="90" t="s">
        <v>25</v>
      </c>
      <c r="N54" s="90" t="s">
        <v>25</v>
      </c>
      <c r="O54" s="90" t="s">
        <v>25</v>
      </c>
      <c r="P54" s="91"/>
      <c r="Q54" s="233"/>
      <c r="R54" s="91"/>
      <c r="S54" s="91"/>
    </row>
    <row r="55">
      <c r="A55" s="21"/>
      <c r="B55" s="22">
        <v>51.0</v>
      </c>
      <c r="C55" s="93" t="s">
        <v>111</v>
      </c>
      <c r="D55" s="93" t="s">
        <v>112</v>
      </c>
      <c r="E55" s="88" t="str">
        <f t="shared" si="4"/>
        <v>9번 중 9번 참여</v>
      </c>
      <c r="F55" s="89">
        <f t="shared" si="3"/>
        <v>1</v>
      </c>
      <c r="G55" s="90" t="s">
        <v>25</v>
      </c>
      <c r="H55" s="90" t="s">
        <v>25</v>
      </c>
      <c r="I55" s="90" t="s">
        <v>25</v>
      </c>
      <c r="J55" s="90" t="s">
        <v>25</v>
      </c>
      <c r="K55" s="90" t="s">
        <v>25</v>
      </c>
      <c r="L55" s="90" t="s">
        <v>25</v>
      </c>
      <c r="M55" s="90" t="s">
        <v>25</v>
      </c>
      <c r="N55" s="90" t="s">
        <v>25</v>
      </c>
      <c r="O55" s="90" t="s">
        <v>25</v>
      </c>
      <c r="P55" s="91"/>
      <c r="Q55" s="233"/>
      <c r="R55" s="91"/>
      <c r="S55" s="91"/>
    </row>
    <row r="56">
      <c r="A56" s="29"/>
      <c r="B56" s="30">
        <v>52.0</v>
      </c>
      <c r="C56" s="201" t="s">
        <v>113</v>
      </c>
      <c r="D56" s="201" t="s">
        <v>114</v>
      </c>
      <c r="E56" s="88" t="str">
        <f t="shared" si="4"/>
        <v>9번 중 9번 참여</v>
      </c>
      <c r="F56" s="89">
        <f t="shared" si="3"/>
        <v>1</v>
      </c>
      <c r="G56" s="90" t="s">
        <v>25</v>
      </c>
      <c r="H56" s="90" t="s">
        <v>25</v>
      </c>
      <c r="I56" s="90" t="s">
        <v>25</v>
      </c>
      <c r="J56" s="90" t="s">
        <v>25</v>
      </c>
      <c r="K56" s="90" t="s">
        <v>25</v>
      </c>
      <c r="L56" s="90" t="s">
        <v>25</v>
      </c>
      <c r="M56" s="90" t="s">
        <v>25</v>
      </c>
      <c r="N56" s="90" t="s">
        <v>25</v>
      </c>
      <c r="O56" s="90" t="s">
        <v>25</v>
      </c>
      <c r="P56" s="91"/>
      <c r="Q56" s="233"/>
      <c r="R56" s="91"/>
      <c r="S56" s="91"/>
    </row>
    <row r="57">
      <c r="A57" s="21"/>
      <c r="B57" s="22">
        <v>53.0</v>
      </c>
      <c r="C57" s="93" t="s">
        <v>361</v>
      </c>
      <c r="D57" s="93" t="s">
        <v>362</v>
      </c>
      <c r="E57" s="88" t="str">
        <f t="shared" si="4"/>
        <v>9번 중 8번 참여</v>
      </c>
      <c r="F57" s="89">
        <f t="shared" si="3"/>
        <v>0.8888888889</v>
      </c>
      <c r="G57" s="90" t="s">
        <v>25</v>
      </c>
      <c r="H57" s="90" t="s">
        <v>25</v>
      </c>
      <c r="I57" s="90" t="s">
        <v>25</v>
      </c>
      <c r="J57" s="90" t="s">
        <v>25</v>
      </c>
      <c r="K57" s="41"/>
      <c r="L57" s="90" t="s">
        <v>25</v>
      </c>
      <c r="M57" s="90" t="s">
        <v>25</v>
      </c>
      <c r="N57" s="90" t="s">
        <v>25</v>
      </c>
      <c r="O57" s="90" t="s">
        <v>25</v>
      </c>
      <c r="P57" s="91"/>
      <c r="Q57" s="233"/>
      <c r="R57" s="91"/>
      <c r="S57" s="91"/>
    </row>
    <row r="58">
      <c r="A58" s="29"/>
      <c r="B58" s="30">
        <v>54.0</v>
      </c>
      <c r="C58" s="201" t="s">
        <v>132</v>
      </c>
      <c r="D58" s="201" t="s">
        <v>133</v>
      </c>
      <c r="E58" s="88" t="str">
        <f t="shared" si="4"/>
        <v>9번 중 9번 참여</v>
      </c>
      <c r="F58" s="89">
        <f t="shared" si="3"/>
        <v>1</v>
      </c>
      <c r="G58" s="90" t="s">
        <v>25</v>
      </c>
      <c r="H58" s="90" t="s">
        <v>25</v>
      </c>
      <c r="I58" s="90" t="s">
        <v>25</v>
      </c>
      <c r="J58" s="90" t="s">
        <v>25</v>
      </c>
      <c r="K58" s="90" t="s">
        <v>25</v>
      </c>
      <c r="L58" s="90" t="s">
        <v>25</v>
      </c>
      <c r="M58" s="90" t="s">
        <v>25</v>
      </c>
      <c r="N58" s="90" t="s">
        <v>25</v>
      </c>
      <c r="O58" s="90" t="s">
        <v>25</v>
      </c>
      <c r="P58" s="91"/>
      <c r="Q58" s="233"/>
      <c r="R58" s="91"/>
      <c r="S58" s="91"/>
    </row>
    <row r="59">
      <c r="A59" s="235" t="s">
        <v>454</v>
      </c>
      <c r="B59" s="22">
        <v>55.0</v>
      </c>
      <c r="C59" s="93" t="s">
        <v>283</v>
      </c>
      <c r="D59" s="93" t="s">
        <v>119</v>
      </c>
      <c r="E59" s="88" t="str">
        <f t="shared" si="4"/>
        <v>9번 중 9번 참여</v>
      </c>
      <c r="F59" s="89">
        <f t="shared" si="3"/>
        <v>1</v>
      </c>
      <c r="G59" s="90" t="s">
        <v>25</v>
      </c>
      <c r="H59" s="90" t="s">
        <v>25</v>
      </c>
      <c r="I59" s="90" t="s">
        <v>25</v>
      </c>
      <c r="J59" s="90" t="s">
        <v>25</v>
      </c>
      <c r="K59" s="90" t="s">
        <v>25</v>
      </c>
      <c r="L59" s="90" t="s">
        <v>25</v>
      </c>
      <c r="M59" s="90" t="s">
        <v>25</v>
      </c>
      <c r="N59" s="90" t="s">
        <v>25</v>
      </c>
      <c r="O59" s="90" t="s">
        <v>25</v>
      </c>
      <c r="P59" s="91"/>
      <c r="Q59" s="233"/>
      <c r="R59" s="91"/>
      <c r="S59" s="91"/>
    </row>
    <row r="60">
      <c r="A60" s="29"/>
      <c r="B60" s="30">
        <v>56.0</v>
      </c>
      <c r="C60" s="201" t="s">
        <v>363</v>
      </c>
      <c r="D60" s="201" t="s">
        <v>364</v>
      </c>
      <c r="E60" s="88" t="str">
        <f t="shared" si="4"/>
        <v>9번 중 8번 참여</v>
      </c>
      <c r="F60" s="89">
        <f t="shared" si="3"/>
        <v>0.8888888889</v>
      </c>
      <c r="G60" s="90" t="s">
        <v>25</v>
      </c>
      <c r="H60" s="90" t="s">
        <v>25</v>
      </c>
      <c r="I60" s="90" t="s">
        <v>25</v>
      </c>
      <c r="J60" s="90" t="s">
        <v>25</v>
      </c>
      <c r="K60" s="90" t="s">
        <v>25</v>
      </c>
      <c r="L60" s="41"/>
      <c r="M60" s="90" t="s">
        <v>25</v>
      </c>
      <c r="N60" s="90" t="s">
        <v>25</v>
      </c>
      <c r="O60" s="90" t="s">
        <v>25</v>
      </c>
      <c r="P60" s="91"/>
      <c r="Q60" s="233"/>
      <c r="R60" s="91"/>
      <c r="S60" s="91"/>
    </row>
    <row r="61">
      <c r="A61" s="21"/>
      <c r="B61" s="22">
        <v>57.0</v>
      </c>
      <c r="C61" s="98" t="s">
        <v>28</v>
      </c>
      <c r="D61" s="98" t="s">
        <v>70</v>
      </c>
      <c r="E61" s="88" t="str">
        <f t="shared" si="4"/>
        <v>9번 중 9번 참여</v>
      </c>
      <c r="F61" s="89">
        <f t="shared" si="3"/>
        <v>1</v>
      </c>
      <c r="G61" s="90" t="s">
        <v>25</v>
      </c>
      <c r="H61" s="90" t="s">
        <v>25</v>
      </c>
      <c r="I61" s="90" t="s">
        <v>25</v>
      </c>
      <c r="J61" s="90" t="s">
        <v>25</v>
      </c>
      <c r="K61" s="90" t="s">
        <v>25</v>
      </c>
      <c r="L61" s="90" t="s">
        <v>25</v>
      </c>
      <c r="M61" s="90" t="s">
        <v>25</v>
      </c>
      <c r="N61" s="90" t="s">
        <v>25</v>
      </c>
      <c r="O61" s="90" t="s">
        <v>25</v>
      </c>
      <c r="P61" s="91"/>
      <c r="Q61" s="233"/>
      <c r="R61" s="91"/>
      <c r="S61" s="91"/>
    </row>
    <row r="62">
      <c r="A62" s="29"/>
      <c r="B62" s="30">
        <v>58.0</v>
      </c>
      <c r="C62" s="93" t="s">
        <v>369</v>
      </c>
      <c r="D62" s="93" t="s">
        <v>108</v>
      </c>
      <c r="E62" s="88" t="str">
        <f t="shared" si="4"/>
        <v>9번 중 9번 참여</v>
      </c>
      <c r="F62" s="89">
        <f t="shared" si="3"/>
        <v>1</v>
      </c>
      <c r="G62" s="90" t="s">
        <v>25</v>
      </c>
      <c r="H62" s="90" t="s">
        <v>25</v>
      </c>
      <c r="I62" s="90" t="s">
        <v>25</v>
      </c>
      <c r="J62" s="90" t="s">
        <v>25</v>
      </c>
      <c r="K62" s="90" t="s">
        <v>25</v>
      </c>
      <c r="L62" s="90" t="s">
        <v>25</v>
      </c>
      <c r="M62" s="90" t="s">
        <v>25</v>
      </c>
      <c r="N62" s="90" t="s">
        <v>25</v>
      </c>
      <c r="O62" s="90" t="s">
        <v>25</v>
      </c>
      <c r="P62" s="91"/>
      <c r="Q62" s="233"/>
      <c r="R62" s="91"/>
      <c r="S62" s="91"/>
    </row>
    <row r="63">
      <c r="A63" s="21"/>
      <c r="B63" s="22">
        <v>59.0</v>
      </c>
      <c r="C63" s="201" t="s">
        <v>370</v>
      </c>
      <c r="D63" s="201" t="s">
        <v>139</v>
      </c>
      <c r="E63" s="88" t="str">
        <f t="shared" si="4"/>
        <v>9번 중 9번 참여</v>
      </c>
      <c r="F63" s="89">
        <f t="shared" si="3"/>
        <v>1</v>
      </c>
      <c r="G63" s="90" t="s">
        <v>25</v>
      </c>
      <c r="H63" s="90" t="s">
        <v>25</v>
      </c>
      <c r="I63" s="90" t="s">
        <v>25</v>
      </c>
      <c r="J63" s="90" t="s">
        <v>25</v>
      </c>
      <c r="K63" s="90" t="s">
        <v>25</v>
      </c>
      <c r="L63" s="90" t="s">
        <v>25</v>
      </c>
      <c r="M63" s="90" t="s">
        <v>25</v>
      </c>
      <c r="N63" s="90" t="s">
        <v>25</v>
      </c>
      <c r="O63" s="90" t="s">
        <v>25</v>
      </c>
      <c r="P63" s="37"/>
      <c r="Q63" s="234"/>
      <c r="R63" s="37"/>
      <c r="S63" s="37"/>
    </row>
    <row r="64">
      <c r="A64" s="29"/>
      <c r="B64" s="30">
        <v>60.0</v>
      </c>
      <c r="C64" s="93" t="s">
        <v>371</v>
      </c>
      <c r="D64" s="93" t="s">
        <v>137</v>
      </c>
      <c r="E64" s="88" t="str">
        <f t="shared" si="4"/>
        <v>9번 중 9번 참여</v>
      </c>
      <c r="F64" s="89">
        <f t="shared" si="3"/>
        <v>1</v>
      </c>
      <c r="G64" s="90" t="s">
        <v>25</v>
      </c>
      <c r="H64" s="90" t="s">
        <v>25</v>
      </c>
      <c r="I64" s="90" t="s">
        <v>25</v>
      </c>
      <c r="J64" s="90" t="s">
        <v>25</v>
      </c>
      <c r="K64" s="90" t="s">
        <v>25</v>
      </c>
      <c r="L64" s="90" t="s">
        <v>25</v>
      </c>
      <c r="M64" s="90" t="s">
        <v>25</v>
      </c>
      <c r="N64" s="90" t="s">
        <v>25</v>
      </c>
      <c r="O64" s="90" t="s">
        <v>25</v>
      </c>
      <c r="P64" s="37"/>
      <c r="Q64" s="234"/>
      <c r="R64" s="37"/>
      <c r="S64" s="37"/>
    </row>
    <row r="65">
      <c r="A65" s="21"/>
      <c r="B65" s="22">
        <v>61.0</v>
      </c>
      <c r="C65" s="201" t="s">
        <v>142</v>
      </c>
      <c r="D65" s="201" t="s">
        <v>143</v>
      </c>
      <c r="E65" s="88" t="str">
        <f t="shared" si="4"/>
        <v>9번 중 7번 참여</v>
      </c>
      <c r="F65" s="89">
        <f t="shared" si="3"/>
        <v>0.7777777778</v>
      </c>
      <c r="G65" s="90" t="s">
        <v>25</v>
      </c>
      <c r="H65" s="90" t="s">
        <v>25</v>
      </c>
      <c r="I65" s="90" t="s">
        <v>25</v>
      </c>
      <c r="J65" s="90" t="s">
        <v>25</v>
      </c>
      <c r="K65" s="90" t="s">
        <v>25</v>
      </c>
      <c r="L65" s="90" t="s">
        <v>25</v>
      </c>
      <c r="M65" s="90" t="s">
        <v>25</v>
      </c>
      <c r="N65" s="41"/>
      <c r="O65" s="41"/>
      <c r="P65" s="37"/>
      <c r="Q65" s="234"/>
      <c r="R65" s="37"/>
      <c r="S65" s="37"/>
    </row>
    <row r="66">
      <c r="A66" s="29"/>
      <c r="B66" s="30">
        <v>62.0</v>
      </c>
      <c r="C66" s="93" t="s">
        <v>144</v>
      </c>
      <c r="D66" s="93" t="s">
        <v>145</v>
      </c>
      <c r="E66" s="88" t="str">
        <f t="shared" si="4"/>
        <v>9번 중 7번 참여</v>
      </c>
      <c r="F66" s="89">
        <f t="shared" si="3"/>
        <v>0.7777777778</v>
      </c>
      <c r="G66" s="90" t="s">
        <v>25</v>
      </c>
      <c r="H66" s="90" t="s">
        <v>25</v>
      </c>
      <c r="I66" s="90" t="s">
        <v>25</v>
      </c>
      <c r="J66" s="90" t="s">
        <v>25</v>
      </c>
      <c r="K66" s="90" t="s">
        <v>25</v>
      </c>
      <c r="L66" s="90" t="s">
        <v>25</v>
      </c>
      <c r="M66" s="90" t="s">
        <v>25</v>
      </c>
      <c r="N66" s="41"/>
      <c r="O66" s="41"/>
      <c r="P66" s="37"/>
      <c r="Q66" s="234"/>
      <c r="R66" s="37"/>
      <c r="S66" s="37"/>
    </row>
    <row r="67">
      <c r="A67" s="21"/>
      <c r="B67" s="22">
        <v>63.0</v>
      </c>
      <c r="C67" s="201" t="s">
        <v>146</v>
      </c>
      <c r="D67" s="201" t="s">
        <v>147</v>
      </c>
      <c r="E67" s="88" t="str">
        <f t="shared" si="4"/>
        <v>9번 중 9번 참여</v>
      </c>
      <c r="F67" s="89">
        <f t="shared" si="3"/>
        <v>1</v>
      </c>
      <c r="G67" s="90" t="s">
        <v>25</v>
      </c>
      <c r="H67" s="90" t="s">
        <v>25</v>
      </c>
      <c r="I67" s="90" t="s">
        <v>25</v>
      </c>
      <c r="J67" s="90" t="s">
        <v>25</v>
      </c>
      <c r="K67" s="90" t="s">
        <v>25</v>
      </c>
      <c r="L67" s="90" t="s">
        <v>25</v>
      </c>
      <c r="M67" s="90" t="s">
        <v>25</v>
      </c>
      <c r="N67" s="90" t="s">
        <v>25</v>
      </c>
      <c r="O67" s="90" t="s">
        <v>25</v>
      </c>
      <c r="P67" s="91"/>
      <c r="Q67" s="233"/>
      <c r="R67" s="91"/>
      <c r="S67" s="91"/>
    </row>
    <row r="68">
      <c r="A68" s="29"/>
      <c r="B68" s="30">
        <v>64.0</v>
      </c>
      <c r="C68" s="93" t="s">
        <v>148</v>
      </c>
      <c r="D68" s="93" t="s">
        <v>149</v>
      </c>
      <c r="E68" s="88" t="str">
        <f t="shared" si="4"/>
        <v>9번 중 9번 참여</v>
      </c>
      <c r="F68" s="89">
        <f t="shared" si="3"/>
        <v>1</v>
      </c>
      <c r="G68" s="90" t="s">
        <v>25</v>
      </c>
      <c r="H68" s="90" t="s">
        <v>25</v>
      </c>
      <c r="I68" s="90" t="s">
        <v>25</v>
      </c>
      <c r="J68" s="90" t="s">
        <v>25</v>
      </c>
      <c r="K68" s="90" t="s">
        <v>25</v>
      </c>
      <c r="L68" s="90" t="s">
        <v>25</v>
      </c>
      <c r="M68" s="90" t="s">
        <v>25</v>
      </c>
      <c r="N68" s="90" t="s">
        <v>25</v>
      </c>
      <c r="O68" s="90" t="s">
        <v>25</v>
      </c>
      <c r="P68" s="91"/>
      <c r="Q68" s="233"/>
      <c r="R68" s="91"/>
      <c r="S68" s="91"/>
    </row>
    <row r="69">
      <c r="A69" s="21"/>
      <c r="B69" s="22">
        <v>65.0</v>
      </c>
      <c r="C69" s="201" t="s">
        <v>378</v>
      </c>
      <c r="D69" s="201" t="s">
        <v>379</v>
      </c>
      <c r="E69" s="88" t="str">
        <f t="shared" si="4"/>
        <v>9번 중 9번 참여</v>
      </c>
      <c r="F69" s="89">
        <f t="shared" si="3"/>
        <v>1</v>
      </c>
      <c r="G69" s="90" t="s">
        <v>25</v>
      </c>
      <c r="H69" s="90" t="s">
        <v>25</v>
      </c>
      <c r="I69" s="90" t="s">
        <v>25</v>
      </c>
      <c r="J69" s="90" t="s">
        <v>25</v>
      </c>
      <c r="K69" s="90" t="s">
        <v>25</v>
      </c>
      <c r="L69" s="90" t="s">
        <v>25</v>
      </c>
      <c r="M69" s="90" t="s">
        <v>25</v>
      </c>
      <c r="N69" s="90" t="s">
        <v>25</v>
      </c>
      <c r="O69" s="90" t="s">
        <v>25</v>
      </c>
      <c r="P69" s="91"/>
      <c r="Q69" s="233"/>
      <c r="R69" s="91"/>
      <c r="S69" s="91"/>
    </row>
    <row r="70">
      <c r="A70" s="29"/>
      <c r="B70" s="30">
        <v>66.0</v>
      </c>
      <c r="C70" s="101" t="s">
        <v>140</v>
      </c>
      <c r="D70" s="101" t="s">
        <v>141</v>
      </c>
      <c r="E70" s="88" t="str">
        <f t="shared" si="4"/>
        <v>9번 중 9번 참여</v>
      </c>
      <c r="F70" s="89">
        <f t="shared" si="3"/>
        <v>1</v>
      </c>
      <c r="G70" s="90" t="s">
        <v>25</v>
      </c>
      <c r="H70" s="90" t="s">
        <v>25</v>
      </c>
      <c r="I70" s="90" t="s">
        <v>25</v>
      </c>
      <c r="J70" s="90" t="s">
        <v>25</v>
      </c>
      <c r="K70" s="90" t="s">
        <v>25</v>
      </c>
      <c r="L70" s="90" t="s">
        <v>25</v>
      </c>
      <c r="M70" s="90" t="s">
        <v>25</v>
      </c>
      <c r="N70" s="90" t="s">
        <v>25</v>
      </c>
      <c r="O70" s="90" t="s">
        <v>25</v>
      </c>
      <c r="P70" s="91"/>
      <c r="Q70" s="233"/>
      <c r="R70" s="91"/>
      <c r="S70" s="91"/>
    </row>
    <row r="71">
      <c r="A71" s="21"/>
      <c r="B71" s="22">
        <v>67.0</v>
      </c>
      <c r="C71" s="95" t="s">
        <v>150</v>
      </c>
      <c r="D71" s="211" t="s">
        <v>151</v>
      </c>
      <c r="E71" s="88" t="str">
        <f t="shared" si="4"/>
        <v>9번 중 8번 참여</v>
      </c>
      <c r="F71" s="89">
        <f t="shared" si="3"/>
        <v>0.8888888889</v>
      </c>
      <c r="G71" s="90" t="s">
        <v>25</v>
      </c>
      <c r="H71" s="90" t="s">
        <v>25</v>
      </c>
      <c r="I71" s="90" t="s">
        <v>25</v>
      </c>
      <c r="J71" s="90" t="s">
        <v>25</v>
      </c>
      <c r="K71" s="90" t="s">
        <v>25</v>
      </c>
      <c r="L71" s="90" t="s">
        <v>25</v>
      </c>
      <c r="M71" s="90" t="s">
        <v>25</v>
      </c>
      <c r="N71" s="90" t="s">
        <v>25</v>
      </c>
      <c r="O71" s="41"/>
      <c r="P71" s="37"/>
      <c r="Q71" s="234"/>
      <c r="R71" s="37"/>
      <c r="S71" s="37"/>
    </row>
    <row r="72">
      <c r="A72" s="29"/>
      <c r="B72" s="30">
        <v>68.0</v>
      </c>
      <c r="C72" s="101" t="s">
        <v>152</v>
      </c>
      <c r="D72" s="101" t="s">
        <v>153</v>
      </c>
      <c r="E72" s="88" t="str">
        <f t="shared" si="4"/>
        <v>9번 중 9번 참여</v>
      </c>
      <c r="F72" s="89">
        <f t="shared" si="3"/>
        <v>1</v>
      </c>
      <c r="G72" s="90" t="s">
        <v>25</v>
      </c>
      <c r="H72" s="90" t="s">
        <v>25</v>
      </c>
      <c r="I72" s="90" t="s">
        <v>25</v>
      </c>
      <c r="J72" s="90" t="s">
        <v>25</v>
      </c>
      <c r="K72" s="90" t="s">
        <v>25</v>
      </c>
      <c r="L72" s="90" t="s">
        <v>25</v>
      </c>
      <c r="M72" s="90" t="s">
        <v>25</v>
      </c>
      <c r="N72" s="90" t="s">
        <v>25</v>
      </c>
      <c r="O72" s="90" t="s">
        <v>25</v>
      </c>
      <c r="P72" s="91"/>
      <c r="Q72" s="233"/>
      <c r="R72" s="91"/>
      <c r="S72" s="91"/>
    </row>
    <row r="73">
      <c r="A73" s="21"/>
      <c r="B73" s="22">
        <v>69.0</v>
      </c>
      <c r="C73" s="95" t="s">
        <v>386</v>
      </c>
      <c r="D73" s="101" t="s">
        <v>387</v>
      </c>
      <c r="E73" s="88" t="str">
        <f t="shared" si="4"/>
        <v>9번 중 8번 참여</v>
      </c>
      <c r="F73" s="89">
        <f t="shared" si="3"/>
        <v>0.8888888889</v>
      </c>
      <c r="G73" s="90" t="s">
        <v>25</v>
      </c>
      <c r="H73" s="90" t="s">
        <v>25</v>
      </c>
      <c r="I73" s="90" t="s">
        <v>25</v>
      </c>
      <c r="J73" s="90" t="s">
        <v>25</v>
      </c>
      <c r="K73" s="90" t="s">
        <v>80</v>
      </c>
      <c r="L73" s="90" t="s">
        <v>25</v>
      </c>
      <c r="M73" s="90" t="s">
        <v>25</v>
      </c>
      <c r="N73" s="90" t="s">
        <v>25</v>
      </c>
      <c r="O73" s="90" t="s">
        <v>25</v>
      </c>
      <c r="P73" s="91"/>
      <c r="Q73" s="233"/>
      <c r="R73" s="91"/>
      <c r="S73" s="91"/>
    </row>
    <row r="74">
      <c r="A74" s="29"/>
      <c r="B74" s="30">
        <v>70.0</v>
      </c>
      <c r="C74" s="101" t="s">
        <v>156</v>
      </c>
      <c r="D74" s="101" t="s">
        <v>157</v>
      </c>
      <c r="E74" s="88" t="str">
        <f t="shared" si="4"/>
        <v>9번 중 9번 참여</v>
      </c>
      <c r="F74" s="89">
        <f t="shared" si="3"/>
        <v>1</v>
      </c>
      <c r="G74" s="90" t="s">
        <v>25</v>
      </c>
      <c r="H74" s="90" t="s">
        <v>25</v>
      </c>
      <c r="I74" s="90" t="s">
        <v>25</v>
      </c>
      <c r="J74" s="90" t="s">
        <v>25</v>
      </c>
      <c r="K74" s="90" t="s">
        <v>25</v>
      </c>
      <c r="L74" s="90" t="s">
        <v>25</v>
      </c>
      <c r="M74" s="90" t="s">
        <v>25</v>
      </c>
      <c r="N74" s="90" t="s">
        <v>25</v>
      </c>
      <c r="O74" s="90" t="s">
        <v>25</v>
      </c>
      <c r="P74" s="91"/>
      <c r="Q74" s="233"/>
      <c r="R74" s="91"/>
      <c r="S74" s="91"/>
    </row>
    <row r="75">
      <c r="A75" s="21"/>
      <c r="B75" s="22">
        <v>71.0</v>
      </c>
      <c r="C75" s="213" t="s">
        <v>425</v>
      </c>
      <c r="D75" s="213" t="s">
        <v>426</v>
      </c>
      <c r="E75" s="88" t="str">
        <f t="shared" si="4"/>
        <v>9번 중 8번 참여</v>
      </c>
      <c r="F75" s="89">
        <f t="shared" si="3"/>
        <v>0.8888888889</v>
      </c>
      <c r="G75" s="41"/>
      <c r="H75" s="90" t="s">
        <v>25</v>
      </c>
      <c r="I75" s="90" t="s">
        <v>25</v>
      </c>
      <c r="J75" s="90" t="s">
        <v>25</v>
      </c>
      <c r="K75" s="90" t="s">
        <v>25</v>
      </c>
      <c r="L75" s="90" t="s">
        <v>25</v>
      </c>
      <c r="M75" s="90" t="s">
        <v>25</v>
      </c>
      <c r="N75" s="90" t="s">
        <v>25</v>
      </c>
      <c r="O75" s="90" t="s">
        <v>25</v>
      </c>
      <c r="P75" s="91"/>
      <c r="Q75" s="233"/>
      <c r="R75" s="91"/>
      <c r="S75" s="91"/>
    </row>
    <row r="76">
      <c r="A76" s="29"/>
      <c r="B76" s="30">
        <v>72.0</v>
      </c>
      <c r="C76" s="101" t="s">
        <v>455</v>
      </c>
      <c r="D76" s="101" t="s">
        <v>428</v>
      </c>
      <c r="E76" s="88" t="str">
        <f t="shared" si="4"/>
        <v>9번 중 4번 참여</v>
      </c>
      <c r="F76" s="89">
        <f t="shared" si="3"/>
        <v>0.4444444444</v>
      </c>
      <c r="G76" s="41"/>
      <c r="H76" s="90" t="s">
        <v>25</v>
      </c>
      <c r="I76" s="90" t="s">
        <v>25</v>
      </c>
      <c r="J76" s="41"/>
      <c r="K76" s="90" t="s">
        <v>25</v>
      </c>
      <c r="L76" s="90" t="s">
        <v>25</v>
      </c>
      <c r="M76" s="41"/>
      <c r="N76" s="41"/>
      <c r="O76" s="41"/>
      <c r="P76" s="37"/>
      <c r="Q76" s="234"/>
      <c r="R76" s="37"/>
      <c r="S76" s="37"/>
    </row>
    <row r="77">
      <c r="A77" s="21"/>
      <c r="B77" s="22">
        <v>73.0</v>
      </c>
      <c r="C77" s="95" t="s">
        <v>162</v>
      </c>
      <c r="D77" s="95" t="s">
        <v>163</v>
      </c>
      <c r="E77" s="88" t="str">
        <f t="shared" si="4"/>
        <v>9번 중 9번 참여</v>
      </c>
      <c r="F77" s="89">
        <f t="shared" si="3"/>
        <v>1</v>
      </c>
      <c r="G77" s="90" t="s">
        <v>25</v>
      </c>
      <c r="H77" s="90" t="s">
        <v>25</v>
      </c>
      <c r="I77" s="90" t="s">
        <v>25</v>
      </c>
      <c r="J77" s="90" t="s">
        <v>25</v>
      </c>
      <c r="K77" s="90" t="s">
        <v>25</v>
      </c>
      <c r="L77" s="90" t="s">
        <v>25</v>
      </c>
      <c r="M77" s="90" t="s">
        <v>25</v>
      </c>
      <c r="N77" s="90" t="s">
        <v>25</v>
      </c>
      <c r="O77" s="90" t="s">
        <v>25</v>
      </c>
      <c r="P77" s="91"/>
      <c r="Q77" s="233"/>
      <c r="R77" s="91"/>
      <c r="S77" s="91"/>
    </row>
    <row r="78">
      <c r="A78" s="29"/>
      <c r="B78" s="30">
        <v>74.0</v>
      </c>
      <c r="C78" s="95" t="s">
        <v>164</v>
      </c>
      <c r="D78" s="95" t="s">
        <v>165</v>
      </c>
      <c r="E78" s="88" t="str">
        <f t="shared" si="4"/>
        <v>9번 중 9번 참여</v>
      </c>
      <c r="F78" s="89">
        <f t="shared" si="3"/>
        <v>1</v>
      </c>
      <c r="G78" s="90" t="s">
        <v>25</v>
      </c>
      <c r="H78" s="90" t="s">
        <v>25</v>
      </c>
      <c r="I78" s="90" t="s">
        <v>25</v>
      </c>
      <c r="J78" s="90" t="s">
        <v>25</v>
      </c>
      <c r="K78" s="90" t="s">
        <v>25</v>
      </c>
      <c r="L78" s="90" t="s">
        <v>25</v>
      </c>
      <c r="M78" s="90" t="s">
        <v>25</v>
      </c>
      <c r="N78" s="90" t="s">
        <v>25</v>
      </c>
      <c r="O78" s="90" t="s">
        <v>25</v>
      </c>
      <c r="P78" s="91"/>
      <c r="Q78" s="233"/>
      <c r="R78" s="91"/>
      <c r="S78" s="91"/>
    </row>
    <row r="79">
      <c r="A79" s="21"/>
      <c r="B79" s="22">
        <v>75.0</v>
      </c>
      <c r="C79" s="95" t="s">
        <v>66</v>
      </c>
      <c r="D79" s="101" t="s">
        <v>67</v>
      </c>
      <c r="E79" s="88" t="str">
        <f t="shared" si="4"/>
        <v>9번 중 9번 참여</v>
      </c>
      <c r="F79" s="89">
        <f t="shared" si="3"/>
        <v>1</v>
      </c>
      <c r="G79" s="90" t="s">
        <v>25</v>
      </c>
      <c r="H79" s="90" t="s">
        <v>25</v>
      </c>
      <c r="I79" s="90" t="s">
        <v>25</v>
      </c>
      <c r="J79" s="90" t="s">
        <v>25</v>
      </c>
      <c r="K79" s="90" t="s">
        <v>25</v>
      </c>
      <c r="L79" s="90" t="s">
        <v>25</v>
      </c>
      <c r="M79" s="90" t="s">
        <v>25</v>
      </c>
      <c r="N79" s="90" t="s">
        <v>25</v>
      </c>
      <c r="O79" s="90" t="s">
        <v>25</v>
      </c>
      <c r="P79" s="91"/>
      <c r="Q79" s="233"/>
      <c r="R79" s="91"/>
      <c r="S79" s="91"/>
    </row>
    <row r="80">
      <c r="A80" s="29"/>
      <c r="B80" s="30">
        <v>76.0</v>
      </c>
      <c r="C80" s="101" t="s">
        <v>134</v>
      </c>
      <c r="D80" s="214" t="s">
        <v>429</v>
      </c>
      <c r="E80" s="88" t="str">
        <f t="shared" si="4"/>
        <v>9번 중 8번 참여</v>
      </c>
      <c r="F80" s="89">
        <f t="shared" si="3"/>
        <v>0.8888888889</v>
      </c>
      <c r="G80" s="90" t="s">
        <v>25</v>
      </c>
      <c r="H80" s="90" t="s">
        <v>25</v>
      </c>
      <c r="I80" s="90" t="s">
        <v>25</v>
      </c>
      <c r="J80" s="90" t="s">
        <v>25</v>
      </c>
      <c r="K80" s="90" t="s">
        <v>25</v>
      </c>
      <c r="L80" s="90" t="s">
        <v>25</v>
      </c>
      <c r="M80" s="90" t="s">
        <v>25</v>
      </c>
      <c r="N80" s="41"/>
      <c r="O80" s="90" t="s">
        <v>25</v>
      </c>
      <c r="P80" s="91"/>
      <c r="Q80" s="233"/>
      <c r="R80" s="91"/>
      <c r="S80" s="91"/>
    </row>
    <row r="81">
      <c r="A81" s="21"/>
      <c r="B81" s="22">
        <v>77.0</v>
      </c>
      <c r="C81" s="95" t="s">
        <v>154</v>
      </c>
      <c r="D81" s="95" t="s">
        <v>155</v>
      </c>
      <c r="E81" s="88" t="str">
        <f t="shared" si="4"/>
        <v>9번 중 9번 참여</v>
      </c>
      <c r="F81" s="89">
        <f t="shared" si="3"/>
        <v>1</v>
      </c>
      <c r="G81" s="90" t="s">
        <v>25</v>
      </c>
      <c r="H81" s="90" t="s">
        <v>25</v>
      </c>
      <c r="I81" s="90" t="s">
        <v>25</v>
      </c>
      <c r="J81" s="90" t="s">
        <v>25</v>
      </c>
      <c r="K81" s="90" t="s">
        <v>25</v>
      </c>
      <c r="L81" s="90" t="s">
        <v>25</v>
      </c>
      <c r="M81" s="90" t="s">
        <v>25</v>
      </c>
      <c r="N81" s="90" t="s">
        <v>25</v>
      </c>
      <c r="O81" s="90" t="s">
        <v>25</v>
      </c>
      <c r="P81" s="91"/>
      <c r="Q81" s="233"/>
      <c r="R81" s="91"/>
      <c r="S81" s="91"/>
    </row>
    <row r="82">
      <c r="A82" s="29"/>
      <c r="B82" s="30">
        <v>78.0</v>
      </c>
      <c r="C82" s="94" t="s">
        <v>430</v>
      </c>
      <c r="D82" s="94" t="s">
        <v>431</v>
      </c>
      <c r="E82" s="88" t="str">
        <f t="shared" si="4"/>
        <v>9번 중 1번 참여</v>
      </c>
      <c r="F82" s="89">
        <f t="shared" si="3"/>
        <v>0.1111111111</v>
      </c>
      <c r="G82" s="41"/>
      <c r="H82" s="90" t="s">
        <v>25</v>
      </c>
      <c r="I82" s="41"/>
      <c r="J82" s="41"/>
      <c r="K82" s="41"/>
      <c r="L82" s="41"/>
      <c r="M82" s="41"/>
      <c r="N82" s="41"/>
      <c r="O82" s="41"/>
      <c r="P82" s="37"/>
      <c r="Q82" s="234"/>
      <c r="R82" s="37"/>
      <c r="S82" s="37"/>
    </row>
    <row r="83">
      <c r="A83" s="21"/>
      <c r="B83" s="22">
        <v>79.0</v>
      </c>
      <c r="C83" s="101" t="s">
        <v>170</v>
      </c>
      <c r="D83" s="101" t="s">
        <v>171</v>
      </c>
      <c r="E83" s="88" t="str">
        <f t="shared" si="4"/>
        <v>9번 중 9번 참여</v>
      </c>
      <c r="F83" s="89">
        <f t="shared" si="3"/>
        <v>1</v>
      </c>
      <c r="G83" s="90" t="s">
        <v>25</v>
      </c>
      <c r="H83" s="90" t="s">
        <v>25</v>
      </c>
      <c r="I83" s="90" t="s">
        <v>25</v>
      </c>
      <c r="J83" s="90" t="s">
        <v>25</v>
      </c>
      <c r="K83" s="90" t="s">
        <v>25</v>
      </c>
      <c r="L83" s="90" t="s">
        <v>25</v>
      </c>
      <c r="M83" s="90" t="s">
        <v>25</v>
      </c>
      <c r="N83" s="90" t="s">
        <v>25</v>
      </c>
      <c r="O83" s="90" t="s">
        <v>25</v>
      </c>
      <c r="P83" s="91"/>
      <c r="Q83" s="233"/>
      <c r="R83" s="91"/>
      <c r="S83" s="91"/>
    </row>
    <row r="84">
      <c r="A84" s="29"/>
      <c r="B84" s="30">
        <v>80.0</v>
      </c>
      <c r="C84" s="101" t="s">
        <v>172</v>
      </c>
      <c r="D84" s="101" t="s">
        <v>173</v>
      </c>
      <c r="E84" s="88" t="str">
        <f t="shared" si="4"/>
        <v>9번 중 9번 참여</v>
      </c>
      <c r="F84" s="89">
        <f t="shared" si="3"/>
        <v>1</v>
      </c>
      <c r="G84" s="90" t="s">
        <v>25</v>
      </c>
      <c r="H84" s="90" t="s">
        <v>25</v>
      </c>
      <c r="I84" s="90" t="s">
        <v>25</v>
      </c>
      <c r="J84" s="90" t="s">
        <v>25</v>
      </c>
      <c r="K84" s="90" t="s">
        <v>25</v>
      </c>
      <c r="L84" s="90" t="s">
        <v>25</v>
      </c>
      <c r="M84" s="90" t="s">
        <v>25</v>
      </c>
      <c r="N84" s="90" t="s">
        <v>25</v>
      </c>
      <c r="O84" s="90" t="s">
        <v>25</v>
      </c>
      <c r="P84" s="91"/>
      <c r="Q84" s="233"/>
      <c r="R84" s="91"/>
      <c r="S84" s="91"/>
    </row>
    <row r="85">
      <c r="A85" s="21"/>
      <c r="B85" s="22">
        <v>81.0</v>
      </c>
      <c r="C85" s="216" t="s">
        <v>422</v>
      </c>
      <c r="D85" s="95" t="s">
        <v>423</v>
      </c>
      <c r="E85" s="88" t="str">
        <f t="shared" si="4"/>
        <v>9번 중 9번 참여</v>
      </c>
      <c r="F85" s="89">
        <f t="shared" si="3"/>
        <v>1</v>
      </c>
      <c r="G85" s="90" t="s">
        <v>25</v>
      </c>
      <c r="H85" s="90" t="s">
        <v>25</v>
      </c>
      <c r="I85" s="90" t="s">
        <v>25</v>
      </c>
      <c r="J85" s="90" t="s">
        <v>25</v>
      </c>
      <c r="K85" s="90" t="s">
        <v>25</v>
      </c>
      <c r="L85" s="90" t="s">
        <v>25</v>
      </c>
      <c r="M85" s="90" t="s">
        <v>25</v>
      </c>
      <c r="N85" s="90" t="s">
        <v>25</v>
      </c>
      <c r="O85" s="90" t="s">
        <v>25</v>
      </c>
      <c r="P85" s="91"/>
      <c r="Q85" s="233"/>
      <c r="R85" s="91"/>
      <c r="S85" s="91"/>
    </row>
    <row r="86">
      <c r="A86" s="29"/>
      <c r="B86" s="30">
        <v>82.0</v>
      </c>
      <c r="C86" s="218" t="s">
        <v>339</v>
      </c>
      <c r="D86" s="219" t="s">
        <v>340</v>
      </c>
      <c r="E86" s="88" t="str">
        <f t="shared" si="4"/>
        <v>9번 중 6번 참여</v>
      </c>
      <c r="F86" s="89">
        <f t="shared" si="3"/>
        <v>0.6666666667</v>
      </c>
      <c r="G86" s="90" t="s">
        <v>25</v>
      </c>
      <c r="H86" s="90" t="s">
        <v>25</v>
      </c>
      <c r="I86" s="90" t="s">
        <v>25</v>
      </c>
      <c r="J86" s="41"/>
      <c r="K86" s="90" t="s">
        <v>25</v>
      </c>
      <c r="L86" s="90" t="s">
        <v>25</v>
      </c>
      <c r="M86" s="90" t="s">
        <v>25</v>
      </c>
      <c r="N86" s="41"/>
      <c r="O86" s="41"/>
      <c r="P86" s="37"/>
      <c r="Q86" s="234"/>
      <c r="R86" s="37"/>
      <c r="S86" s="37"/>
    </row>
    <row r="87">
      <c r="A87" s="21"/>
      <c r="B87" s="22">
        <v>83.0</v>
      </c>
      <c r="C87" s="95" t="s">
        <v>174</v>
      </c>
      <c r="D87" s="211" t="s">
        <v>175</v>
      </c>
      <c r="E87" s="88" t="str">
        <f t="shared" si="4"/>
        <v>9번 중 5번 참여</v>
      </c>
      <c r="F87" s="89">
        <f t="shared" si="3"/>
        <v>0.5555555556</v>
      </c>
      <c r="G87" s="41"/>
      <c r="H87" s="90" t="s">
        <v>25</v>
      </c>
      <c r="I87" s="90" t="s">
        <v>25</v>
      </c>
      <c r="J87" s="41"/>
      <c r="K87" s="90" t="s">
        <v>25</v>
      </c>
      <c r="L87" s="90" t="s">
        <v>25</v>
      </c>
      <c r="M87" s="41"/>
      <c r="N87" s="41"/>
      <c r="O87" s="90" t="s">
        <v>25</v>
      </c>
      <c r="P87" s="91"/>
      <c r="Q87" s="233"/>
      <c r="R87" s="91"/>
      <c r="S87" s="91"/>
    </row>
    <row r="88">
      <c r="A88" s="29"/>
      <c r="B88" s="30">
        <v>84.0</v>
      </c>
      <c r="C88" s="101" t="s">
        <v>168</v>
      </c>
      <c r="D88" s="101" t="s">
        <v>169</v>
      </c>
      <c r="E88" s="88" t="str">
        <f t="shared" si="4"/>
        <v>9번 중 7번 참여</v>
      </c>
      <c r="F88" s="89">
        <f t="shared" si="3"/>
        <v>0.7777777778</v>
      </c>
      <c r="G88" s="41"/>
      <c r="H88" s="90" t="s">
        <v>25</v>
      </c>
      <c r="I88" s="90" t="s">
        <v>25</v>
      </c>
      <c r="J88" s="90" t="s">
        <v>25</v>
      </c>
      <c r="K88" s="90" t="s">
        <v>25</v>
      </c>
      <c r="L88" s="90" t="s">
        <v>25</v>
      </c>
      <c r="M88" s="90" t="s">
        <v>25</v>
      </c>
      <c r="N88" s="90" t="s">
        <v>25</v>
      </c>
      <c r="O88" s="41"/>
      <c r="P88" s="37"/>
      <c r="Q88" s="234"/>
      <c r="R88" s="37"/>
      <c r="S88" s="37"/>
    </row>
    <row r="89">
      <c r="A89" s="21"/>
      <c r="B89" s="22">
        <v>85.0</v>
      </c>
      <c r="C89" s="201" t="s">
        <v>384</v>
      </c>
      <c r="D89" s="201" t="s">
        <v>385</v>
      </c>
      <c r="E89" s="88" t="str">
        <f t="shared" si="4"/>
        <v>9번 중 5번 참여</v>
      </c>
      <c r="F89" s="89">
        <f t="shared" si="3"/>
        <v>0.5555555556</v>
      </c>
      <c r="G89" s="90" t="s">
        <v>25</v>
      </c>
      <c r="H89" s="90" t="s">
        <v>25</v>
      </c>
      <c r="I89" s="41"/>
      <c r="J89" s="90" t="s">
        <v>25</v>
      </c>
      <c r="K89" s="41"/>
      <c r="L89" s="90" t="s">
        <v>25</v>
      </c>
      <c r="M89" s="90" t="s">
        <v>25</v>
      </c>
      <c r="N89" s="41"/>
      <c r="O89" s="41"/>
      <c r="P89" s="37"/>
      <c r="Q89" s="234"/>
      <c r="R89" s="37"/>
      <c r="S89" s="37"/>
    </row>
    <row r="90">
      <c r="A90" s="29"/>
      <c r="B90" s="30">
        <v>86.0</v>
      </c>
      <c r="C90" s="101" t="s">
        <v>456</v>
      </c>
      <c r="D90" s="101" t="s">
        <v>457</v>
      </c>
      <c r="E90" s="236" t="s">
        <v>458</v>
      </c>
      <c r="F90" s="89">
        <f t="shared" si="3"/>
        <v>0.7777777778</v>
      </c>
      <c r="G90" s="90" t="s">
        <v>25</v>
      </c>
      <c r="H90" s="90" t="s">
        <v>25</v>
      </c>
      <c r="I90" s="90" t="s">
        <v>25</v>
      </c>
      <c r="J90" s="90" t="s">
        <v>25</v>
      </c>
      <c r="K90" s="90" t="s">
        <v>25</v>
      </c>
      <c r="L90" s="41"/>
      <c r="M90" s="41"/>
      <c r="N90" s="90" t="s">
        <v>25</v>
      </c>
      <c r="O90" s="90" t="s">
        <v>25</v>
      </c>
      <c r="P90" s="91"/>
      <c r="Q90" s="233"/>
      <c r="R90" s="91"/>
      <c r="S90" s="91"/>
    </row>
    <row r="91">
      <c r="A91" s="21"/>
      <c r="B91" s="22">
        <v>87.0</v>
      </c>
      <c r="C91" s="95" t="s">
        <v>459</v>
      </c>
      <c r="D91" s="95" t="s">
        <v>375</v>
      </c>
      <c r="E91" s="88" t="str">
        <f t="shared" ref="E91:E92" si="5">IF(COUNTIF(G91:O91, "완료")=0, "", COUNTIF($G$4:$O$4, "완료") &amp; "번 중 " &amp; COUNTIF(G91:O91, "완료") &amp; "번 참여")</f>
        <v>9번 중 8번 참여</v>
      </c>
      <c r="F91" s="89">
        <f t="shared" si="3"/>
        <v>0.8888888889</v>
      </c>
      <c r="G91" s="90" t="s">
        <v>80</v>
      </c>
      <c r="H91" s="90" t="s">
        <v>25</v>
      </c>
      <c r="I91" s="90" t="s">
        <v>25</v>
      </c>
      <c r="J91" s="90" t="s">
        <v>25</v>
      </c>
      <c r="K91" s="90" t="s">
        <v>25</v>
      </c>
      <c r="L91" s="90" t="s">
        <v>25</v>
      </c>
      <c r="M91" s="90" t="s">
        <v>25</v>
      </c>
      <c r="N91" s="90" t="s">
        <v>25</v>
      </c>
      <c r="O91" s="90" t="s">
        <v>25</v>
      </c>
      <c r="P91" s="91"/>
      <c r="Q91" s="233"/>
      <c r="R91" s="91"/>
      <c r="S91" s="91"/>
    </row>
    <row r="92">
      <c r="A92" s="29"/>
      <c r="B92" s="30">
        <v>88.0</v>
      </c>
      <c r="C92" s="237" t="s">
        <v>180</v>
      </c>
      <c r="D92" s="237" t="s">
        <v>181</v>
      </c>
      <c r="E92" s="88" t="str">
        <f t="shared" si="5"/>
        <v>9번 중 9번 참여</v>
      </c>
      <c r="F92" s="89">
        <f t="shared" si="3"/>
        <v>1</v>
      </c>
      <c r="G92" s="90" t="s">
        <v>25</v>
      </c>
      <c r="H92" s="90" t="s">
        <v>25</v>
      </c>
      <c r="I92" s="90" t="s">
        <v>25</v>
      </c>
      <c r="J92" s="90" t="s">
        <v>25</v>
      </c>
      <c r="K92" s="90" t="s">
        <v>25</v>
      </c>
      <c r="L92" s="90" t="s">
        <v>25</v>
      </c>
      <c r="M92" s="90" t="s">
        <v>25</v>
      </c>
      <c r="N92" s="90" t="s">
        <v>25</v>
      </c>
      <c r="O92" s="90" t="s">
        <v>25</v>
      </c>
      <c r="P92" s="91"/>
      <c r="Q92" s="233"/>
      <c r="R92" s="91"/>
      <c r="S92" s="91"/>
    </row>
    <row r="93">
      <c r="A93" s="21"/>
      <c r="B93" s="22">
        <v>89.0</v>
      </c>
      <c r="C93" s="238" t="s">
        <v>460</v>
      </c>
      <c r="D93" s="238" t="s">
        <v>461</v>
      </c>
      <c r="E93" s="88" t="str">
        <f t="shared" ref="E93:E94" si="6">IF(COUNTIF(G93:O93, "완료")=0, "", COUNTIF($G$4:$O$4, "완료") &amp; "번 중 " &amp; COUNTIF(G93:O93, "완료") &amp; "번 참여")
</f>
        <v>9번 중 8번 참여</v>
      </c>
      <c r="F93" s="89">
        <f t="shared" si="3"/>
        <v>0.8888888889</v>
      </c>
      <c r="G93" s="90" t="s">
        <v>25</v>
      </c>
      <c r="H93" s="90" t="s">
        <v>25</v>
      </c>
      <c r="I93" s="90" t="s">
        <v>25</v>
      </c>
      <c r="J93" s="90" t="s">
        <v>25</v>
      </c>
      <c r="K93" s="41"/>
      <c r="L93" s="90" t="s">
        <v>25</v>
      </c>
      <c r="M93" s="90" t="s">
        <v>25</v>
      </c>
      <c r="N93" s="90" t="s">
        <v>25</v>
      </c>
      <c r="O93" s="90" t="s">
        <v>25</v>
      </c>
      <c r="P93" s="37"/>
      <c r="Q93" s="234"/>
      <c r="R93" s="37"/>
      <c r="S93" s="37"/>
    </row>
    <row r="94">
      <c r="A94" s="29"/>
      <c r="B94" s="30">
        <v>90.0</v>
      </c>
      <c r="C94" s="239" t="s">
        <v>462</v>
      </c>
      <c r="D94" s="240" t="s">
        <v>463</v>
      </c>
      <c r="E94" s="88" t="str">
        <f t="shared" si="6"/>
        <v>9번 중 9번 참여</v>
      </c>
      <c r="F94" s="89">
        <f t="shared" si="3"/>
        <v>1</v>
      </c>
      <c r="G94" s="90" t="s">
        <v>25</v>
      </c>
      <c r="H94" s="90" t="s">
        <v>25</v>
      </c>
      <c r="I94" s="90" t="s">
        <v>25</v>
      </c>
      <c r="J94" s="90" t="s">
        <v>25</v>
      </c>
      <c r="K94" s="90" t="s">
        <v>25</v>
      </c>
      <c r="L94" s="90" t="s">
        <v>25</v>
      </c>
      <c r="M94" s="90" t="s">
        <v>25</v>
      </c>
      <c r="N94" s="90" t="s">
        <v>25</v>
      </c>
      <c r="O94" s="90" t="s">
        <v>25</v>
      </c>
      <c r="P94" s="91"/>
      <c r="Q94" s="233"/>
      <c r="R94" s="91"/>
      <c r="S94" s="91"/>
    </row>
    <row r="95">
      <c r="A95" s="21"/>
      <c r="B95" s="145">
        <v>91.0</v>
      </c>
      <c r="C95" s="238" t="s">
        <v>464</v>
      </c>
      <c r="D95" s="238" t="s">
        <v>465</v>
      </c>
      <c r="E95" s="236" t="s">
        <v>466</v>
      </c>
      <c r="F95" s="89">
        <f t="shared" si="3"/>
        <v>0.3333333333</v>
      </c>
      <c r="G95" s="90" t="s">
        <v>25</v>
      </c>
      <c r="H95" s="90" t="s">
        <v>25</v>
      </c>
      <c r="I95" s="90" t="s">
        <v>25</v>
      </c>
      <c r="J95" s="41"/>
      <c r="K95" s="41"/>
      <c r="L95" s="41"/>
      <c r="M95" s="41"/>
      <c r="N95" s="41"/>
      <c r="O95" s="41"/>
      <c r="P95" s="37"/>
      <c r="Q95" s="234"/>
      <c r="R95" s="37"/>
      <c r="S95" s="37"/>
    </row>
    <row r="96">
      <c r="A96" s="29"/>
      <c r="B96" s="30">
        <v>92.0</v>
      </c>
      <c r="C96" s="239" t="s">
        <v>281</v>
      </c>
      <c r="D96" s="241" t="s">
        <v>282</v>
      </c>
      <c r="E96" s="242" t="s">
        <v>467</v>
      </c>
      <c r="F96" s="89">
        <f t="shared" si="3"/>
        <v>0.1111111111</v>
      </c>
      <c r="G96" s="41"/>
      <c r="H96" s="41"/>
      <c r="I96" s="41"/>
      <c r="J96" s="41"/>
      <c r="K96" s="41"/>
      <c r="L96" s="41"/>
      <c r="M96" s="41"/>
      <c r="N96" s="41"/>
      <c r="O96" s="90" t="s">
        <v>25</v>
      </c>
      <c r="P96" s="91"/>
      <c r="Q96" s="233"/>
      <c r="R96" s="91"/>
      <c r="S96" s="91"/>
    </row>
    <row r="97">
      <c r="A97" s="21"/>
      <c r="B97" s="22">
        <v>93.0</v>
      </c>
      <c r="C97" s="95"/>
      <c r="D97" s="95"/>
      <c r="E97" s="88" t="str">
        <f t="shared" ref="E97:E123" si="7">IF(COUNTIF(G97:O97, "완료")=0, "", COUNTIF($G$4:$O$4, "완료") &amp; "번 중 " &amp; COUNTIF(G97:O97, "완료") &amp; "번 참여")
</f>
        <v/>
      </c>
      <c r="F97" s="89" t="str">
        <f t="shared" si="3"/>
        <v/>
      </c>
      <c r="G97" s="41"/>
      <c r="H97" s="41"/>
      <c r="I97" s="41"/>
      <c r="J97" s="41"/>
      <c r="K97" s="41"/>
      <c r="L97" s="41"/>
      <c r="M97" s="41"/>
      <c r="N97" s="41"/>
      <c r="O97" s="41"/>
      <c r="P97" s="37"/>
      <c r="Q97" s="234"/>
      <c r="R97" s="37"/>
      <c r="S97" s="37"/>
    </row>
    <row r="98">
      <c r="A98" s="29"/>
      <c r="B98" s="30">
        <v>94.0</v>
      </c>
      <c r="C98" s="67"/>
      <c r="D98" s="67"/>
      <c r="E98" s="88" t="str">
        <f t="shared" si="7"/>
        <v/>
      </c>
      <c r="F98" s="89" t="str">
        <f t="shared" si="3"/>
        <v/>
      </c>
      <c r="G98" s="41"/>
      <c r="H98" s="41"/>
      <c r="I98" s="41"/>
      <c r="J98" s="41"/>
      <c r="K98" s="41"/>
      <c r="L98" s="41"/>
      <c r="M98" s="41"/>
      <c r="N98" s="41"/>
      <c r="O98" s="41"/>
      <c r="P98" s="37"/>
      <c r="Q98" s="234"/>
      <c r="R98" s="37"/>
      <c r="S98" s="37"/>
    </row>
    <row r="99">
      <c r="A99" s="21"/>
      <c r="B99" s="22">
        <v>95.0</v>
      </c>
      <c r="C99" s="68"/>
      <c r="D99" s="68"/>
      <c r="E99" s="88" t="str">
        <f t="shared" si="7"/>
        <v/>
      </c>
      <c r="F99" s="89" t="str">
        <f t="shared" si="3"/>
        <v/>
      </c>
      <c r="G99" s="41"/>
      <c r="H99" s="41"/>
      <c r="I99" s="41"/>
      <c r="J99" s="41"/>
      <c r="K99" s="41"/>
      <c r="L99" s="41"/>
      <c r="M99" s="41"/>
      <c r="N99" s="41"/>
      <c r="O99" s="41"/>
      <c r="P99" s="37"/>
      <c r="Q99" s="234"/>
      <c r="R99" s="37"/>
      <c r="S99" s="37"/>
    </row>
    <row r="100">
      <c r="A100" s="29"/>
      <c r="B100" s="30">
        <v>96.0</v>
      </c>
      <c r="C100" s="67"/>
      <c r="D100" s="67"/>
      <c r="E100" s="88" t="str">
        <f t="shared" si="7"/>
        <v/>
      </c>
      <c r="F100" s="89" t="str">
        <f t="shared" si="3"/>
        <v/>
      </c>
      <c r="G100" s="41"/>
      <c r="H100" s="41"/>
      <c r="I100" s="41"/>
      <c r="J100" s="41"/>
      <c r="K100" s="41"/>
      <c r="L100" s="41"/>
      <c r="M100" s="41"/>
      <c r="N100" s="41"/>
      <c r="O100" s="41"/>
      <c r="P100" s="37"/>
      <c r="Q100" s="234"/>
      <c r="R100" s="37"/>
      <c r="S100" s="37"/>
    </row>
    <row r="101">
      <c r="A101" s="29"/>
      <c r="B101" s="30">
        <v>98.0</v>
      </c>
      <c r="C101" s="67"/>
      <c r="D101" s="67"/>
      <c r="E101" s="88" t="str">
        <f t="shared" si="7"/>
        <v/>
      </c>
      <c r="F101" s="89" t="str">
        <f t="shared" si="3"/>
        <v/>
      </c>
      <c r="G101" s="41"/>
      <c r="H101" s="41"/>
      <c r="I101" s="41"/>
      <c r="J101" s="41"/>
      <c r="K101" s="41"/>
      <c r="L101" s="41"/>
      <c r="M101" s="41"/>
      <c r="N101" s="41"/>
      <c r="O101" s="41"/>
      <c r="P101" s="37"/>
      <c r="Q101" s="234"/>
      <c r="R101" s="37"/>
      <c r="S101" s="37"/>
    </row>
    <row r="102">
      <c r="A102" s="21"/>
      <c r="B102" s="22">
        <v>99.0</v>
      </c>
      <c r="C102" s="68"/>
      <c r="D102" s="68"/>
      <c r="E102" s="88" t="str">
        <f t="shared" si="7"/>
        <v/>
      </c>
      <c r="F102" s="89" t="str">
        <f t="shared" si="3"/>
        <v/>
      </c>
      <c r="G102" s="41"/>
      <c r="H102" s="41"/>
      <c r="I102" s="41"/>
      <c r="J102" s="41"/>
      <c r="K102" s="41"/>
      <c r="L102" s="41"/>
      <c r="M102" s="41"/>
      <c r="N102" s="41"/>
      <c r="O102" s="41"/>
      <c r="P102" s="37"/>
      <c r="Q102" s="234"/>
      <c r="R102" s="37"/>
      <c r="S102" s="37"/>
    </row>
    <row r="103">
      <c r="A103" s="29"/>
      <c r="B103" s="30">
        <v>100.0</v>
      </c>
      <c r="C103" s="67"/>
      <c r="D103" s="67"/>
      <c r="E103" s="88" t="str">
        <f t="shared" si="7"/>
        <v/>
      </c>
      <c r="F103" s="89" t="str">
        <f t="shared" si="3"/>
        <v/>
      </c>
      <c r="G103" s="41"/>
      <c r="H103" s="41"/>
      <c r="I103" s="41"/>
      <c r="J103" s="41"/>
      <c r="K103" s="41"/>
      <c r="L103" s="41"/>
      <c r="M103" s="41"/>
      <c r="N103" s="41"/>
      <c r="O103" s="41"/>
      <c r="P103" s="37"/>
      <c r="Q103" s="234"/>
      <c r="R103" s="37"/>
      <c r="S103" s="37"/>
    </row>
    <row r="104">
      <c r="A104" s="21"/>
      <c r="B104" s="22">
        <v>101.0</v>
      </c>
      <c r="C104" s="68"/>
      <c r="D104" s="68"/>
      <c r="E104" s="88" t="str">
        <f t="shared" si="7"/>
        <v/>
      </c>
      <c r="F104" s="89" t="str">
        <f t="shared" si="3"/>
        <v/>
      </c>
      <c r="G104" s="41"/>
      <c r="H104" s="41"/>
      <c r="I104" s="41"/>
      <c r="J104" s="41"/>
      <c r="K104" s="41"/>
      <c r="L104" s="41"/>
      <c r="M104" s="41"/>
      <c r="N104" s="41"/>
      <c r="O104" s="41"/>
      <c r="P104" s="37"/>
      <c r="Q104" s="234"/>
      <c r="R104" s="37"/>
      <c r="S104" s="37"/>
    </row>
    <row r="105">
      <c r="A105" s="29"/>
      <c r="B105" s="30">
        <v>102.0</v>
      </c>
      <c r="C105" s="67"/>
      <c r="D105" s="67"/>
      <c r="E105" s="88" t="str">
        <f t="shared" si="7"/>
        <v/>
      </c>
      <c r="F105" s="89" t="str">
        <f t="shared" si="3"/>
        <v/>
      </c>
      <c r="G105" s="41"/>
      <c r="H105" s="41"/>
      <c r="I105" s="41"/>
      <c r="J105" s="41"/>
      <c r="K105" s="41"/>
      <c r="L105" s="41"/>
      <c r="M105" s="41"/>
      <c r="N105" s="41"/>
      <c r="O105" s="41"/>
      <c r="P105" s="37"/>
      <c r="Q105" s="234"/>
      <c r="R105" s="37"/>
      <c r="S105" s="37"/>
    </row>
    <row r="106">
      <c r="A106" s="21"/>
      <c r="B106" s="22">
        <v>103.0</v>
      </c>
      <c r="C106" s="68"/>
      <c r="D106" s="68"/>
      <c r="E106" s="88" t="str">
        <f t="shared" si="7"/>
        <v/>
      </c>
      <c r="F106" s="89" t="str">
        <f t="shared" si="3"/>
        <v/>
      </c>
      <c r="G106" s="41"/>
      <c r="H106" s="41"/>
      <c r="I106" s="41"/>
      <c r="J106" s="41"/>
      <c r="K106" s="41"/>
      <c r="L106" s="41"/>
      <c r="M106" s="41"/>
      <c r="N106" s="41"/>
      <c r="O106" s="41"/>
      <c r="P106" s="37"/>
      <c r="Q106" s="234"/>
      <c r="R106" s="37"/>
      <c r="S106" s="37"/>
    </row>
    <row r="107">
      <c r="A107" s="29"/>
      <c r="B107" s="30">
        <v>104.0</v>
      </c>
      <c r="C107" s="67"/>
      <c r="D107" s="67"/>
      <c r="E107" s="88" t="str">
        <f t="shared" si="7"/>
        <v/>
      </c>
      <c r="F107" s="89" t="str">
        <f t="shared" si="3"/>
        <v/>
      </c>
      <c r="G107" s="41"/>
      <c r="H107" s="41"/>
      <c r="I107" s="41"/>
      <c r="J107" s="41"/>
      <c r="K107" s="41"/>
      <c r="L107" s="41"/>
      <c r="M107" s="41"/>
      <c r="N107" s="41"/>
      <c r="O107" s="41"/>
      <c r="P107" s="37"/>
      <c r="Q107" s="234"/>
      <c r="R107" s="37"/>
      <c r="S107" s="37"/>
    </row>
    <row r="108">
      <c r="A108" s="21"/>
      <c r="B108" s="22">
        <v>105.0</v>
      </c>
      <c r="C108" s="68"/>
      <c r="D108" s="68"/>
      <c r="E108" s="88" t="str">
        <f t="shared" si="7"/>
        <v/>
      </c>
      <c r="F108" s="89" t="str">
        <f t="shared" si="3"/>
        <v/>
      </c>
      <c r="G108" s="41"/>
      <c r="H108" s="41"/>
      <c r="I108" s="41"/>
      <c r="J108" s="41"/>
      <c r="K108" s="41"/>
      <c r="L108" s="41"/>
      <c r="M108" s="41"/>
      <c r="N108" s="41"/>
      <c r="O108" s="41"/>
      <c r="P108" s="37"/>
      <c r="Q108" s="234"/>
      <c r="R108" s="37"/>
      <c r="S108" s="37"/>
    </row>
    <row r="109">
      <c r="A109" s="29"/>
      <c r="B109" s="30">
        <v>106.0</v>
      </c>
      <c r="C109" s="67"/>
      <c r="D109" s="67"/>
      <c r="E109" s="88" t="str">
        <f t="shared" si="7"/>
        <v/>
      </c>
      <c r="F109" s="89" t="str">
        <f t="shared" si="3"/>
        <v/>
      </c>
      <c r="G109" s="41"/>
      <c r="H109" s="41"/>
      <c r="I109" s="41"/>
      <c r="J109" s="41"/>
      <c r="K109" s="41"/>
      <c r="L109" s="41"/>
      <c r="M109" s="41"/>
      <c r="N109" s="41"/>
      <c r="O109" s="41"/>
      <c r="P109" s="37"/>
      <c r="Q109" s="234"/>
      <c r="R109" s="37"/>
      <c r="S109" s="37"/>
    </row>
    <row r="110">
      <c r="A110" s="21"/>
      <c r="B110" s="22">
        <v>107.0</v>
      </c>
      <c r="C110" s="68"/>
      <c r="D110" s="68"/>
      <c r="E110" s="88" t="str">
        <f t="shared" si="7"/>
        <v/>
      </c>
      <c r="F110" s="89" t="str">
        <f t="shared" si="3"/>
        <v/>
      </c>
      <c r="G110" s="41"/>
      <c r="H110" s="41"/>
      <c r="I110" s="41"/>
      <c r="J110" s="41"/>
      <c r="K110" s="41"/>
      <c r="L110" s="41"/>
      <c r="M110" s="41"/>
      <c r="N110" s="41"/>
      <c r="O110" s="41"/>
      <c r="P110" s="37"/>
      <c r="Q110" s="234"/>
      <c r="R110" s="37"/>
      <c r="S110" s="37"/>
    </row>
    <row r="111">
      <c r="A111" s="29"/>
      <c r="B111" s="30">
        <v>108.0</v>
      </c>
      <c r="C111" s="67"/>
      <c r="D111" s="67"/>
      <c r="E111" s="88" t="str">
        <f t="shared" si="7"/>
        <v/>
      </c>
      <c r="F111" s="89" t="str">
        <f t="shared" si="3"/>
        <v/>
      </c>
      <c r="G111" s="41"/>
      <c r="H111" s="41"/>
      <c r="I111" s="41"/>
      <c r="J111" s="41"/>
      <c r="K111" s="41"/>
      <c r="L111" s="41"/>
      <c r="M111" s="41"/>
      <c r="N111" s="41"/>
      <c r="O111" s="41"/>
      <c r="P111" s="37"/>
      <c r="Q111" s="234"/>
      <c r="R111" s="37"/>
      <c r="S111" s="37"/>
    </row>
    <row r="112">
      <c r="A112" s="21"/>
      <c r="B112" s="22">
        <v>109.0</v>
      </c>
      <c r="C112" s="68"/>
      <c r="D112" s="68"/>
      <c r="E112" s="88" t="str">
        <f t="shared" si="7"/>
        <v/>
      </c>
      <c r="F112" s="89" t="str">
        <f t="shared" si="3"/>
        <v/>
      </c>
      <c r="G112" s="41"/>
      <c r="H112" s="41"/>
      <c r="I112" s="41"/>
      <c r="J112" s="41"/>
      <c r="K112" s="41"/>
      <c r="L112" s="41"/>
      <c r="M112" s="41"/>
      <c r="N112" s="41"/>
      <c r="O112" s="41"/>
      <c r="P112" s="37"/>
      <c r="Q112" s="234"/>
      <c r="R112" s="37"/>
      <c r="S112" s="37"/>
    </row>
    <row r="113">
      <c r="A113" s="29"/>
      <c r="B113" s="30">
        <v>110.0</v>
      </c>
      <c r="C113" s="67"/>
      <c r="D113" s="67"/>
      <c r="E113" s="88" t="str">
        <f t="shared" si="7"/>
        <v/>
      </c>
      <c r="F113" s="89" t="str">
        <f t="shared" si="3"/>
        <v/>
      </c>
      <c r="G113" s="41"/>
      <c r="H113" s="41"/>
      <c r="I113" s="41"/>
      <c r="J113" s="41"/>
      <c r="K113" s="41"/>
      <c r="L113" s="41"/>
      <c r="M113" s="41"/>
      <c r="N113" s="41"/>
      <c r="O113" s="41"/>
      <c r="P113" s="37"/>
      <c r="Q113" s="234"/>
      <c r="R113" s="37"/>
      <c r="S113" s="37"/>
    </row>
    <row r="114">
      <c r="A114" s="21"/>
      <c r="B114" s="22">
        <v>111.0</v>
      </c>
      <c r="C114" s="68"/>
      <c r="D114" s="68"/>
      <c r="E114" s="88" t="str">
        <f t="shared" si="7"/>
        <v/>
      </c>
      <c r="F114" s="89" t="str">
        <f t="shared" si="3"/>
        <v/>
      </c>
      <c r="G114" s="41"/>
      <c r="H114" s="41"/>
      <c r="I114" s="41"/>
      <c r="J114" s="41"/>
      <c r="K114" s="41"/>
      <c r="L114" s="41"/>
      <c r="M114" s="41"/>
      <c r="N114" s="41"/>
      <c r="O114" s="41"/>
      <c r="P114" s="37"/>
      <c r="Q114" s="234"/>
      <c r="R114" s="37"/>
      <c r="S114" s="37"/>
    </row>
    <row r="115">
      <c r="A115" s="29"/>
      <c r="B115" s="30">
        <v>112.0</v>
      </c>
      <c r="C115" s="67"/>
      <c r="D115" s="67"/>
      <c r="E115" s="88" t="str">
        <f t="shared" si="7"/>
        <v/>
      </c>
      <c r="F115" s="89" t="str">
        <f t="shared" si="3"/>
        <v/>
      </c>
      <c r="G115" s="41"/>
      <c r="H115" s="41"/>
      <c r="I115" s="41"/>
      <c r="J115" s="41"/>
      <c r="K115" s="41"/>
      <c r="L115" s="41"/>
      <c r="M115" s="41"/>
      <c r="N115" s="41"/>
      <c r="O115" s="41"/>
      <c r="P115" s="37"/>
      <c r="Q115" s="234"/>
      <c r="R115" s="37"/>
      <c r="S115" s="37"/>
    </row>
    <row r="116">
      <c r="A116" s="21"/>
      <c r="B116" s="22">
        <v>113.0</v>
      </c>
      <c r="C116" s="68"/>
      <c r="D116" s="68"/>
      <c r="E116" s="88" t="str">
        <f t="shared" si="7"/>
        <v/>
      </c>
      <c r="F116" s="89" t="str">
        <f t="shared" si="3"/>
        <v/>
      </c>
      <c r="G116" s="41"/>
      <c r="H116" s="41"/>
      <c r="I116" s="41"/>
      <c r="J116" s="41"/>
      <c r="K116" s="41"/>
      <c r="L116" s="41"/>
      <c r="M116" s="41"/>
      <c r="N116" s="41"/>
      <c r="O116" s="41"/>
      <c r="P116" s="37"/>
      <c r="Q116" s="234"/>
      <c r="R116" s="37"/>
      <c r="S116" s="37"/>
    </row>
    <row r="117">
      <c r="A117" s="29"/>
      <c r="B117" s="30">
        <v>114.0</v>
      </c>
      <c r="C117" s="67"/>
      <c r="D117" s="67"/>
      <c r="E117" s="88" t="str">
        <f t="shared" si="7"/>
        <v/>
      </c>
      <c r="F117" s="89" t="str">
        <f t="shared" si="3"/>
        <v/>
      </c>
      <c r="G117" s="41"/>
      <c r="H117" s="41"/>
      <c r="I117" s="41"/>
      <c r="J117" s="41"/>
      <c r="K117" s="41"/>
      <c r="L117" s="41"/>
      <c r="M117" s="41"/>
      <c r="N117" s="41"/>
      <c r="O117" s="41"/>
      <c r="P117" s="37"/>
      <c r="Q117" s="234"/>
      <c r="R117" s="37"/>
      <c r="S117" s="37"/>
    </row>
    <row r="118">
      <c r="A118" s="21"/>
      <c r="B118" s="22">
        <v>115.0</v>
      </c>
      <c r="C118" s="68"/>
      <c r="D118" s="68"/>
      <c r="E118" s="88" t="str">
        <f t="shared" si="7"/>
        <v/>
      </c>
      <c r="F118" s="89" t="str">
        <f t="shared" si="3"/>
        <v/>
      </c>
      <c r="G118" s="41"/>
      <c r="H118" s="41"/>
      <c r="I118" s="41"/>
      <c r="J118" s="41"/>
      <c r="K118" s="41"/>
      <c r="L118" s="41"/>
      <c r="M118" s="41"/>
      <c r="N118" s="41"/>
      <c r="O118" s="41"/>
      <c r="P118" s="37"/>
      <c r="Q118" s="234"/>
      <c r="R118" s="37"/>
      <c r="S118" s="37"/>
    </row>
    <row r="119">
      <c r="A119" s="29"/>
      <c r="B119" s="30">
        <v>116.0</v>
      </c>
      <c r="C119" s="67"/>
      <c r="D119" s="67"/>
      <c r="E119" s="88" t="str">
        <f t="shared" si="7"/>
        <v/>
      </c>
      <c r="F119" s="89" t="str">
        <f t="shared" si="3"/>
        <v/>
      </c>
      <c r="G119" s="41"/>
      <c r="H119" s="41"/>
      <c r="I119" s="41"/>
      <c r="J119" s="41"/>
      <c r="K119" s="41"/>
      <c r="L119" s="41"/>
      <c r="M119" s="41"/>
      <c r="N119" s="41"/>
      <c r="O119" s="41"/>
      <c r="P119" s="37"/>
      <c r="Q119" s="234"/>
      <c r="R119" s="37"/>
      <c r="S119" s="37"/>
    </row>
    <row r="120">
      <c r="A120" s="21"/>
      <c r="B120" s="22">
        <v>117.0</v>
      </c>
      <c r="C120" s="68"/>
      <c r="D120" s="68"/>
      <c r="E120" s="243" t="str">
        <f t="shared" si="7"/>
        <v/>
      </c>
      <c r="F120" s="244" t="str">
        <f t="shared" si="3"/>
        <v/>
      </c>
      <c r="G120" s="41"/>
      <c r="H120" s="41"/>
      <c r="I120" s="41"/>
      <c r="J120" s="41"/>
      <c r="K120" s="41"/>
      <c r="L120" s="41"/>
      <c r="M120" s="41"/>
      <c r="N120" s="41"/>
      <c r="O120" s="41"/>
      <c r="P120" s="37"/>
      <c r="Q120" s="234"/>
      <c r="R120" s="37"/>
      <c r="S120" s="37"/>
    </row>
    <row r="121">
      <c r="A121" s="203"/>
      <c r="B121" s="121">
        <v>118.0</v>
      </c>
      <c r="C121" s="245"/>
      <c r="D121" s="245"/>
      <c r="E121" s="243" t="str">
        <f t="shared" si="7"/>
        <v/>
      </c>
      <c r="F121" s="244" t="str">
        <f t="shared" si="3"/>
        <v/>
      </c>
      <c r="G121" s="246"/>
      <c r="H121" s="246"/>
      <c r="I121" s="246"/>
      <c r="J121" s="246"/>
      <c r="K121" s="246"/>
      <c r="L121" s="246"/>
      <c r="M121" s="246"/>
      <c r="N121" s="246"/>
      <c r="O121" s="246"/>
      <c r="P121" s="203"/>
      <c r="Q121" s="247"/>
      <c r="R121" s="203"/>
      <c r="S121" s="203"/>
    </row>
    <row r="122">
      <c r="A122" s="14"/>
      <c r="B122" s="69">
        <v>119.0</v>
      </c>
      <c r="C122" s="70"/>
      <c r="D122" s="70"/>
      <c r="E122" s="243" t="str">
        <f t="shared" si="7"/>
        <v/>
      </c>
      <c r="F122" s="244" t="str">
        <f t="shared" si="3"/>
        <v/>
      </c>
      <c r="G122" s="73"/>
      <c r="H122" s="73"/>
      <c r="I122" s="73"/>
      <c r="J122" s="73"/>
      <c r="K122" s="73"/>
      <c r="L122" s="73"/>
      <c r="M122" s="73"/>
      <c r="N122" s="73"/>
      <c r="O122" s="73"/>
      <c r="P122" s="1"/>
      <c r="Q122" s="248"/>
      <c r="R122" s="1"/>
      <c r="S122" s="1"/>
    </row>
    <row r="123">
      <c r="A123" s="203"/>
      <c r="B123" s="121">
        <v>120.0</v>
      </c>
      <c r="C123" s="245"/>
      <c r="D123" s="245"/>
      <c r="E123" s="243" t="str">
        <f t="shared" si="7"/>
        <v/>
      </c>
      <c r="F123" s="244" t="str">
        <f t="shared" si="3"/>
        <v/>
      </c>
      <c r="G123" s="246"/>
      <c r="H123" s="246"/>
      <c r="I123" s="246"/>
      <c r="J123" s="246"/>
      <c r="K123" s="246"/>
      <c r="L123" s="246"/>
      <c r="M123" s="246"/>
      <c r="N123" s="246"/>
      <c r="O123" s="246"/>
      <c r="P123" s="203"/>
      <c r="Q123" s="247"/>
      <c r="R123" s="203"/>
      <c r="S123" s="203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249"/>
      <c r="R124" s="14"/>
      <c r="S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249"/>
      <c r="R125" s="14"/>
      <c r="S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249"/>
      <c r="R126" s="14"/>
      <c r="S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249"/>
      <c r="R127" s="14"/>
      <c r="S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249"/>
      <c r="R128" s="14"/>
      <c r="S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249"/>
      <c r="R129" s="14"/>
      <c r="S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249"/>
      <c r="R130" s="14"/>
      <c r="S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249"/>
      <c r="R131" s="14"/>
      <c r="S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249"/>
      <c r="R132" s="14"/>
      <c r="S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249"/>
      <c r="R133" s="14"/>
      <c r="S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249"/>
      <c r="R134" s="14"/>
      <c r="S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249"/>
      <c r="R135" s="14"/>
      <c r="S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249"/>
      <c r="R136" s="14"/>
      <c r="S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249"/>
      <c r="R137" s="14"/>
      <c r="S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249"/>
      <c r="R138" s="14"/>
      <c r="S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249"/>
      <c r="R139" s="14"/>
      <c r="S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249"/>
      <c r="R140" s="14"/>
      <c r="S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249"/>
      <c r="R141" s="14"/>
      <c r="S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249"/>
      <c r="R142" s="14"/>
      <c r="S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249"/>
      <c r="R143" s="14"/>
      <c r="S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249"/>
      <c r="R144" s="14"/>
      <c r="S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249"/>
      <c r="R145" s="14"/>
      <c r="S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249"/>
      <c r="R146" s="14"/>
      <c r="S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249"/>
      <c r="R147" s="14"/>
      <c r="S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249"/>
      <c r="R148" s="14"/>
      <c r="S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249"/>
      <c r="R149" s="14"/>
      <c r="S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249"/>
      <c r="R150" s="14"/>
      <c r="S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249"/>
      <c r="R151" s="14"/>
      <c r="S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249"/>
      <c r="R152" s="14"/>
      <c r="S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249"/>
      <c r="R153" s="14"/>
      <c r="S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249"/>
      <c r="R154" s="14"/>
      <c r="S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249"/>
      <c r="R155" s="14"/>
      <c r="S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249"/>
      <c r="R156" s="14"/>
      <c r="S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249"/>
      <c r="R157" s="14"/>
      <c r="S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249"/>
      <c r="R158" s="14"/>
      <c r="S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249"/>
      <c r="R159" s="14"/>
      <c r="S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249"/>
      <c r="R160" s="14"/>
      <c r="S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249"/>
      <c r="R161" s="14"/>
      <c r="S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249"/>
      <c r="R162" s="14"/>
      <c r="S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249"/>
      <c r="R163" s="14"/>
      <c r="S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249"/>
      <c r="R164" s="14"/>
      <c r="S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249"/>
      <c r="R165" s="14"/>
      <c r="S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249"/>
      <c r="R166" s="14"/>
      <c r="S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249"/>
      <c r="R167" s="14"/>
      <c r="S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249"/>
      <c r="R168" s="14"/>
      <c r="S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249"/>
      <c r="R169" s="14"/>
      <c r="S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249"/>
      <c r="R170" s="14"/>
      <c r="S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249"/>
      <c r="R171" s="14"/>
      <c r="S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249"/>
      <c r="R172" s="14"/>
      <c r="S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249"/>
      <c r="R173" s="14"/>
      <c r="S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249"/>
      <c r="R174" s="14"/>
      <c r="S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249"/>
      <c r="R175" s="14"/>
      <c r="S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249"/>
      <c r="R176" s="14"/>
      <c r="S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249"/>
      <c r="R177" s="14"/>
      <c r="S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249"/>
      <c r="R178" s="14"/>
      <c r="S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249"/>
      <c r="R179" s="14"/>
      <c r="S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249"/>
      <c r="R180" s="14"/>
      <c r="S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249"/>
      <c r="R181" s="14"/>
      <c r="S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249"/>
      <c r="R182" s="14"/>
      <c r="S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249"/>
      <c r="R183" s="14"/>
      <c r="S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249"/>
      <c r="R184" s="14"/>
      <c r="S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249"/>
      <c r="R185" s="14"/>
      <c r="S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249"/>
      <c r="R186" s="14"/>
      <c r="S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249"/>
      <c r="R187" s="14"/>
      <c r="S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249"/>
      <c r="R188" s="14"/>
      <c r="S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249"/>
      <c r="R189" s="14"/>
      <c r="S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249"/>
      <c r="R190" s="14"/>
      <c r="S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249"/>
      <c r="R191" s="14"/>
      <c r="S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249"/>
      <c r="R192" s="14"/>
      <c r="S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249"/>
      <c r="R193" s="14"/>
      <c r="S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249"/>
      <c r="R194" s="14"/>
      <c r="S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249"/>
      <c r="R195" s="14"/>
      <c r="S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249"/>
      <c r="R196" s="14"/>
      <c r="S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249"/>
      <c r="R197" s="14"/>
      <c r="S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249"/>
      <c r="R198" s="14"/>
      <c r="S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249"/>
      <c r="R199" s="14"/>
      <c r="S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249"/>
      <c r="R200" s="14"/>
      <c r="S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249"/>
      <c r="R201" s="14"/>
      <c r="S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249"/>
      <c r="R202" s="14"/>
      <c r="S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249"/>
      <c r="R203" s="14"/>
      <c r="S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249"/>
      <c r="R204" s="14"/>
      <c r="S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249"/>
      <c r="R205" s="14"/>
      <c r="S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249"/>
      <c r="R206" s="14"/>
      <c r="S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249"/>
      <c r="R207" s="14"/>
      <c r="S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249"/>
      <c r="R208" s="14"/>
      <c r="S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249"/>
      <c r="R209" s="14"/>
      <c r="S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249"/>
      <c r="R210" s="14"/>
      <c r="S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249"/>
      <c r="R211" s="14"/>
      <c r="S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249"/>
      <c r="R212" s="14"/>
      <c r="S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249"/>
      <c r="R213" s="14"/>
      <c r="S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249"/>
      <c r="R214" s="14"/>
      <c r="S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249"/>
      <c r="R215" s="14"/>
      <c r="S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249"/>
      <c r="R216" s="14"/>
      <c r="S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249"/>
      <c r="R217" s="14"/>
      <c r="S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249"/>
      <c r="R218" s="14"/>
      <c r="S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249"/>
      <c r="R219" s="14"/>
      <c r="S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249"/>
      <c r="R220" s="14"/>
      <c r="S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249"/>
      <c r="R221" s="14"/>
      <c r="S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249"/>
      <c r="R222" s="14"/>
      <c r="S222" s="14"/>
    </row>
    <row r="223">
      <c r="Q223" s="250"/>
    </row>
    <row r="224">
      <c r="Q224" s="250"/>
    </row>
    <row r="225">
      <c r="Q225" s="250"/>
    </row>
    <row r="226">
      <c r="Q226" s="250"/>
    </row>
    <row r="227">
      <c r="Q227" s="250"/>
    </row>
    <row r="228">
      <c r="Q228" s="250"/>
    </row>
    <row r="229">
      <c r="Q229" s="250"/>
    </row>
    <row r="230">
      <c r="Q230" s="250"/>
    </row>
    <row r="231">
      <c r="Q231" s="250"/>
    </row>
    <row r="232">
      <c r="Q232" s="250"/>
    </row>
    <row r="233">
      <c r="Q233" s="250"/>
    </row>
    <row r="234">
      <c r="Q234" s="250"/>
    </row>
    <row r="235">
      <c r="Q235" s="250"/>
    </row>
    <row r="236">
      <c r="Q236" s="250"/>
    </row>
    <row r="237">
      <c r="Q237" s="250"/>
    </row>
    <row r="238">
      <c r="Q238" s="250"/>
    </row>
    <row r="239">
      <c r="Q239" s="250"/>
    </row>
    <row r="240">
      <c r="Q240" s="250"/>
    </row>
    <row r="241">
      <c r="Q241" s="250"/>
    </row>
    <row r="242">
      <c r="Q242" s="250"/>
    </row>
    <row r="243">
      <c r="Q243" s="250"/>
    </row>
    <row r="244">
      <c r="Q244" s="250"/>
    </row>
    <row r="245">
      <c r="Q245" s="250"/>
    </row>
    <row r="246">
      <c r="Q246" s="250"/>
    </row>
    <row r="247">
      <c r="Q247" s="250"/>
    </row>
    <row r="248">
      <c r="Q248" s="250"/>
    </row>
    <row r="249">
      <c r="Q249" s="250"/>
    </row>
    <row r="250">
      <c r="Q250" s="250"/>
    </row>
    <row r="251">
      <c r="Q251" s="250"/>
    </row>
    <row r="252">
      <c r="Q252" s="250"/>
    </row>
    <row r="253">
      <c r="Q253" s="250"/>
    </row>
    <row r="254">
      <c r="Q254" s="250"/>
    </row>
    <row r="255">
      <c r="Q255" s="250"/>
    </row>
    <row r="256">
      <c r="Q256" s="250"/>
    </row>
    <row r="257">
      <c r="Q257" s="250"/>
    </row>
    <row r="258">
      <c r="Q258" s="250"/>
    </row>
    <row r="259">
      <c r="Q259" s="250"/>
    </row>
    <row r="260">
      <c r="Q260" s="250"/>
    </row>
    <row r="261">
      <c r="Q261" s="250"/>
    </row>
    <row r="262">
      <c r="Q262" s="250"/>
    </row>
    <row r="263">
      <c r="Q263" s="250"/>
    </row>
    <row r="264">
      <c r="Q264" s="250"/>
    </row>
    <row r="265">
      <c r="Q265" s="250"/>
    </row>
    <row r="266">
      <c r="Q266" s="250"/>
    </row>
    <row r="267">
      <c r="Q267" s="250"/>
    </row>
    <row r="268">
      <c r="Q268" s="250"/>
    </row>
    <row r="269">
      <c r="Q269" s="250"/>
    </row>
    <row r="270">
      <c r="Q270" s="250"/>
    </row>
    <row r="271">
      <c r="Q271" s="250"/>
    </row>
    <row r="272">
      <c r="Q272" s="250"/>
    </row>
    <row r="273">
      <c r="Q273" s="250"/>
    </row>
    <row r="274">
      <c r="Q274" s="250"/>
    </row>
    <row r="275">
      <c r="Q275" s="250"/>
    </row>
    <row r="276">
      <c r="Q276" s="250"/>
    </row>
    <row r="277">
      <c r="Q277" s="250"/>
    </row>
    <row r="278">
      <c r="Q278" s="250"/>
    </row>
    <row r="279">
      <c r="Q279" s="250"/>
    </row>
    <row r="280">
      <c r="Q280" s="250"/>
    </row>
    <row r="281">
      <c r="Q281" s="250"/>
    </row>
    <row r="282">
      <c r="Q282" s="250"/>
    </row>
    <row r="283">
      <c r="Q283" s="250"/>
    </row>
    <row r="284">
      <c r="Q284" s="250"/>
    </row>
    <row r="285">
      <c r="Q285" s="250"/>
    </row>
    <row r="286">
      <c r="Q286" s="250"/>
    </row>
    <row r="287">
      <c r="Q287" s="250"/>
    </row>
    <row r="288">
      <c r="Q288" s="250"/>
    </row>
    <row r="289">
      <c r="Q289" s="250"/>
    </row>
    <row r="290">
      <c r="Q290" s="250"/>
    </row>
    <row r="291">
      <c r="Q291" s="250"/>
    </row>
    <row r="292">
      <c r="Q292" s="250"/>
    </row>
    <row r="293">
      <c r="Q293" s="250"/>
    </row>
    <row r="294">
      <c r="Q294" s="250"/>
    </row>
    <row r="295">
      <c r="Q295" s="250"/>
    </row>
    <row r="296">
      <c r="Q296" s="250"/>
    </row>
    <row r="297">
      <c r="Q297" s="250"/>
    </row>
    <row r="298">
      <c r="Q298" s="250"/>
    </row>
    <row r="299">
      <c r="Q299" s="250"/>
    </row>
    <row r="300">
      <c r="Q300" s="250"/>
    </row>
    <row r="301">
      <c r="Q301" s="250"/>
    </row>
    <row r="302">
      <c r="Q302" s="250"/>
    </row>
    <row r="303">
      <c r="Q303" s="250"/>
    </row>
    <row r="304">
      <c r="Q304" s="250"/>
    </row>
    <row r="305">
      <c r="Q305" s="250"/>
    </row>
    <row r="306">
      <c r="Q306" s="250"/>
    </row>
    <row r="307">
      <c r="Q307" s="250"/>
    </row>
    <row r="308">
      <c r="Q308" s="250"/>
    </row>
    <row r="309">
      <c r="Q309" s="250"/>
    </row>
    <row r="310">
      <c r="Q310" s="250"/>
    </row>
    <row r="311">
      <c r="Q311" s="250"/>
    </row>
    <row r="312">
      <c r="Q312" s="250"/>
    </row>
    <row r="313">
      <c r="Q313" s="250"/>
    </row>
    <row r="314">
      <c r="Q314" s="250"/>
    </row>
    <row r="315">
      <c r="Q315" s="250"/>
    </row>
    <row r="316">
      <c r="Q316" s="250"/>
    </row>
    <row r="317">
      <c r="Q317" s="250"/>
    </row>
    <row r="318">
      <c r="Q318" s="250"/>
    </row>
    <row r="319">
      <c r="Q319" s="250"/>
    </row>
    <row r="320">
      <c r="Q320" s="250"/>
    </row>
    <row r="321">
      <c r="Q321" s="250"/>
    </row>
    <row r="322">
      <c r="Q322" s="250"/>
    </row>
    <row r="323">
      <c r="Q323" s="250"/>
    </row>
    <row r="324">
      <c r="Q324" s="250"/>
    </row>
    <row r="325">
      <c r="Q325" s="250"/>
    </row>
    <row r="326">
      <c r="Q326" s="250"/>
    </row>
    <row r="327">
      <c r="Q327" s="250"/>
    </row>
    <row r="328">
      <c r="Q328" s="250"/>
    </row>
    <row r="329">
      <c r="Q329" s="250"/>
    </row>
    <row r="330">
      <c r="Q330" s="250"/>
    </row>
    <row r="331">
      <c r="Q331" s="250"/>
    </row>
    <row r="332">
      <c r="Q332" s="250"/>
    </row>
    <row r="333">
      <c r="Q333" s="250"/>
    </row>
    <row r="334">
      <c r="Q334" s="250"/>
    </row>
    <row r="335">
      <c r="Q335" s="250"/>
    </row>
    <row r="336">
      <c r="Q336" s="250"/>
    </row>
    <row r="337">
      <c r="Q337" s="250"/>
    </row>
    <row r="338">
      <c r="Q338" s="250"/>
    </row>
    <row r="339">
      <c r="Q339" s="250"/>
    </row>
    <row r="340">
      <c r="Q340" s="250"/>
    </row>
    <row r="341">
      <c r="Q341" s="250"/>
    </row>
    <row r="342">
      <c r="Q342" s="250"/>
    </row>
    <row r="343">
      <c r="Q343" s="250"/>
    </row>
    <row r="344">
      <c r="Q344" s="250"/>
    </row>
    <row r="345">
      <c r="Q345" s="250"/>
    </row>
    <row r="346">
      <c r="Q346" s="250"/>
    </row>
    <row r="347">
      <c r="Q347" s="250"/>
    </row>
    <row r="348">
      <c r="Q348" s="250"/>
    </row>
    <row r="349">
      <c r="Q349" s="250"/>
    </row>
    <row r="350">
      <c r="Q350" s="250"/>
    </row>
    <row r="351">
      <c r="Q351" s="250"/>
    </row>
    <row r="352">
      <c r="Q352" s="250"/>
    </row>
    <row r="353">
      <c r="Q353" s="250"/>
    </row>
    <row r="354">
      <c r="Q354" s="250"/>
    </row>
    <row r="355">
      <c r="Q355" s="250"/>
    </row>
    <row r="356">
      <c r="Q356" s="250"/>
    </row>
    <row r="357">
      <c r="Q357" s="250"/>
    </row>
    <row r="358">
      <c r="Q358" s="250"/>
    </row>
    <row r="359">
      <c r="Q359" s="250"/>
    </row>
    <row r="360">
      <c r="Q360" s="250"/>
    </row>
    <row r="361">
      <c r="Q361" s="250"/>
    </row>
    <row r="362">
      <c r="Q362" s="250"/>
    </row>
    <row r="363">
      <c r="Q363" s="250"/>
    </row>
    <row r="364">
      <c r="Q364" s="250"/>
    </row>
    <row r="365">
      <c r="Q365" s="250"/>
    </row>
    <row r="366">
      <c r="Q366" s="250"/>
    </row>
    <row r="367">
      <c r="Q367" s="250"/>
    </row>
    <row r="368">
      <c r="Q368" s="250"/>
    </row>
    <row r="369">
      <c r="Q369" s="250"/>
    </row>
    <row r="370">
      <c r="Q370" s="250"/>
    </row>
    <row r="371">
      <c r="Q371" s="250"/>
    </row>
    <row r="372">
      <c r="Q372" s="250"/>
    </row>
    <row r="373">
      <c r="Q373" s="250"/>
    </row>
    <row r="374">
      <c r="Q374" s="250"/>
    </row>
    <row r="375">
      <c r="Q375" s="250"/>
    </row>
    <row r="376">
      <c r="Q376" s="250"/>
    </row>
    <row r="377">
      <c r="Q377" s="250"/>
    </row>
    <row r="378">
      <c r="Q378" s="250"/>
    </row>
    <row r="379">
      <c r="Q379" s="250"/>
    </row>
    <row r="380">
      <c r="Q380" s="250"/>
    </row>
    <row r="381">
      <c r="Q381" s="250"/>
    </row>
    <row r="382">
      <c r="Q382" s="250"/>
    </row>
    <row r="383">
      <c r="Q383" s="250"/>
    </row>
    <row r="384">
      <c r="Q384" s="250"/>
    </row>
    <row r="385">
      <c r="Q385" s="250"/>
    </row>
    <row r="386">
      <c r="Q386" s="250"/>
    </row>
    <row r="387">
      <c r="Q387" s="250"/>
    </row>
    <row r="388">
      <c r="Q388" s="250"/>
    </row>
    <row r="389">
      <c r="Q389" s="250"/>
    </row>
    <row r="390">
      <c r="Q390" s="250"/>
    </row>
    <row r="391">
      <c r="Q391" s="250"/>
    </row>
    <row r="392">
      <c r="Q392" s="250"/>
    </row>
    <row r="393">
      <c r="Q393" s="250"/>
    </row>
    <row r="394">
      <c r="Q394" s="250"/>
    </row>
    <row r="395">
      <c r="Q395" s="250"/>
    </row>
    <row r="396">
      <c r="Q396" s="250"/>
    </row>
    <row r="397">
      <c r="Q397" s="250"/>
    </row>
    <row r="398">
      <c r="Q398" s="250"/>
    </row>
    <row r="399">
      <c r="Q399" s="250"/>
    </row>
    <row r="400">
      <c r="Q400" s="250"/>
    </row>
    <row r="401">
      <c r="Q401" s="250"/>
    </row>
    <row r="402">
      <c r="Q402" s="250"/>
    </row>
    <row r="403">
      <c r="Q403" s="250"/>
    </row>
    <row r="404">
      <c r="Q404" s="250"/>
    </row>
    <row r="405">
      <c r="Q405" s="250"/>
    </row>
    <row r="406">
      <c r="Q406" s="250"/>
    </row>
    <row r="407">
      <c r="Q407" s="250"/>
    </row>
    <row r="408">
      <c r="Q408" s="250"/>
    </row>
    <row r="409">
      <c r="Q409" s="250"/>
    </row>
    <row r="410">
      <c r="Q410" s="250"/>
    </row>
    <row r="411">
      <c r="Q411" s="250"/>
    </row>
    <row r="412">
      <c r="Q412" s="250"/>
    </row>
    <row r="413">
      <c r="Q413" s="250"/>
    </row>
    <row r="414">
      <c r="Q414" s="250"/>
    </row>
    <row r="415">
      <c r="Q415" s="250"/>
    </row>
    <row r="416">
      <c r="Q416" s="250"/>
    </row>
    <row r="417">
      <c r="Q417" s="250"/>
    </row>
    <row r="418">
      <c r="Q418" s="250"/>
    </row>
    <row r="419">
      <c r="Q419" s="250"/>
    </row>
    <row r="420">
      <c r="Q420" s="250"/>
    </row>
    <row r="421">
      <c r="Q421" s="250"/>
    </row>
    <row r="422">
      <c r="Q422" s="250"/>
    </row>
    <row r="423">
      <c r="Q423" s="250"/>
    </row>
    <row r="424">
      <c r="Q424" s="250"/>
    </row>
    <row r="425">
      <c r="Q425" s="250"/>
    </row>
    <row r="426">
      <c r="Q426" s="250"/>
    </row>
    <row r="427">
      <c r="Q427" s="250"/>
    </row>
    <row r="428">
      <c r="Q428" s="250"/>
    </row>
    <row r="429">
      <c r="Q429" s="250"/>
    </row>
    <row r="430">
      <c r="Q430" s="250"/>
    </row>
    <row r="431">
      <c r="Q431" s="250"/>
    </row>
    <row r="432">
      <c r="Q432" s="250"/>
    </row>
    <row r="433">
      <c r="Q433" s="250"/>
    </row>
    <row r="434">
      <c r="Q434" s="250"/>
    </row>
    <row r="435">
      <c r="Q435" s="250"/>
    </row>
    <row r="436">
      <c r="Q436" s="250"/>
    </row>
    <row r="437">
      <c r="Q437" s="250"/>
    </row>
    <row r="438">
      <c r="Q438" s="250"/>
    </row>
    <row r="439">
      <c r="Q439" s="250"/>
    </row>
    <row r="440">
      <c r="Q440" s="250"/>
    </row>
    <row r="441">
      <c r="Q441" s="250"/>
    </row>
    <row r="442">
      <c r="Q442" s="250"/>
    </row>
    <row r="443">
      <c r="Q443" s="250"/>
    </row>
    <row r="444">
      <c r="Q444" s="250"/>
    </row>
    <row r="445">
      <c r="Q445" s="250"/>
    </row>
    <row r="446">
      <c r="Q446" s="250"/>
    </row>
    <row r="447">
      <c r="Q447" s="250"/>
    </row>
    <row r="448">
      <c r="Q448" s="250"/>
    </row>
    <row r="449">
      <c r="Q449" s="250"/>
    </row>
    <row r="450">
      <c r="Q450" s="250"/>
    </row>
    <row r="451">
      <c r="Q451" s="250"/>
    </row>
    <row r="452">
      <c r="Q452" s="250"/>
    </row>
    <row r="453">
      <c r="Q453" s="250"/>
    </row>
    <row r="454">
      <c r="Q454" s="250"/>
    </row>
    <row r="455">
      <c r="Q455" s="250"/>
    </row>
    <row r="456">
      <c r="Q456" s="250"/>
    </row>
    <row r="457">
      <c r="Q457" s="250"/>
    </row>
    <row r="458">
      <c r="Q458" s="250"/>
    </row>
    <row r="459">
      <c r="Q459" s="250"/>
    </row>
    <row r="460">
      <c r="Q460" s="250"/>
    </row>
    <row r="461">
      <c r="Q461" s="250"/>
    </row>
    <row r="462">
      <c r="Q462" s="250"/>
    </row>
    <row r="463">
      <c r="Q463" s="250"/>
    </row>
    <row r="464">
      <c r="Q464" s="250"/>
    </row>
    <row r="465">
      <c r="Q465" s="250"/>
    </row>
    <row r="466">
      <c r="Q466" s="250"/>
    </row>
    <row r="467">
      <c r="Q467" s="250"/>
    </row>
    <row r="468">
      <c r="Q468" s="250"/>
    </row>
    <row r="469">
      <c r="Q469" s="250"/>
    </row>
    <row r="470">
      <c r="Q470" s="250"/>
    </row>
    <row r="471">
      <c r="Q471" s="250"/>
    </row>
    <row r="472">
      <c r="Q472" s="250"/>
    </row>
    <row r="473">
      <c r="Q473" s="250"/>
    </row>
    <row r="474">
      <c r="Q474" s="250"/>
    </row>
    <row r="475">
      <c r="Q475" s="250"/>
    </row>
    <row r="476">
      <c r="Q476" s="250"/>
    </row>
    <row r="477">
      <c r="Q477" s="250"/>
    </row>
    <row r="478">
      <c r="Q478" s="250"/>
    </row>
    <row r="479">
      <c r="Q479" s="250"/>
    </row>
    <row r="480">
      <c r="Q480" s="250"/>
    </row>
    <row r="481">
      <c r="Q481" s="250"/>
    </row>
    <row r="482">
      <c r="Q482" s="250"/>
    </row>
    <row r="483">
      <c r="Q483" s="250"/>
    </row>
    <row r="484">
      <c r="Q484" s="250"/>
    </row>
    <row r="485">
      <c r="Q485" s="250"/>
    </row>
    <row r="486">
      <c r="Q486" s="250"/>
    </row>
    <row r="487">
      <c r="Q487" s="250"/>
    </row>
    <row r="488">
      <c r="Q488" s="250"/>
    </row>
    <row r="489">
      <c r="Q489" s="250"/>
    </row>
    <row r="490">
      <c r="Q490" s="250"/>
    </row>
    <row r="491">
      <c r="Q491" s="250"/>
    </row>
    <row r="492">
      <c r="Q492" s="250"/>
    </row>
    <row r="493">
      <c r="Q493" s="250"/>
    </row>
    <row r="494">
      <c r="Q494" s="250"/>
    </row>
    <row r="495">
      <c r="Q495" s="250"/>
    </row>
    <row r="496">
      <c r="Q496" s="250"/>
    </row>
    <row r="497">
      <c r="Q497" s="250"/>
    </row>
    <row r="498">
      <c r="Q498" s="250"/>
    </row>
    <row r="499">
      <c r="Q499" s="250"/>
    </row>
    <row r="500">
      <c r="Q500" s="250"/>
    </row>
    <row r="501">
      <c r="Q501" s="250"/>
    </row>
    <row r="502">
      <c r="Q502" s="250"/>
    </row>
    <row r="503">
      <c r="Q503" s="250"/>
    </row>
    <row r="504">
      <c r="Q504" s="250"/>
    </row>
    <row r="505">
      <c r="Q505" s="250"/>
    </row>
    <row r="506">
      <c r="Q506" s="250"/>
    </row>
    <row r="507">
      <c r="Q507" s="250"/>
    </row>
    <row r="508">
      <c r="Q508" s="250"/>
    </row>
    <row r="509">
      <c r="Q509" s="250"/>
    </row>
    <row r="510">
      <c r="Q510" s="250"/>
    </row>
    <row r="511">
      <c r="Q511" s="250"/>
    </row>
    <row r="512">
      <c r="Q512" s="250"/>
    </row>
    <row r="513">
      <c r="Q513" s="250"/>
    </row>
    <row r="514">
      <c r="Q514" s="250"/>
    </row>
    <row r="515">
      <c r="Q515" s="250"/>
    </row>
    <row r="516">
      <c r="Q516" s="250"/>
    </row>
    <row r="517">
      <c r="Q517" s="250"/>
    </row>
    <row r="518">
      <c r="Q518" s="250"/>
    </row>
    <row r="519">
      <c r="Q519" s="250"/>
    </row>
    <row r="520">
      <c r="Q520" s="250"/>
    </row>
    <row r="521">
      <c r="Q521" s="250"/>
    </row>
    <row r="522">
      <c r="Q522" s="250"/>
    </row>
    <row r="523">
      <c r="Q523" s="250"/>
    </row>
    <row r="524">
      <c r="Q524" s="250"/>
    </row>
    <row r="525">
      <c r="Q525" s="250"/>
    </row>
    <row r="526">
      <c r="Q526" s="250"/>
    </row>
    <row r="527">
      <c r="Q527" s="250"/>
    </row>
    <row r="528">
      <c r="Q528" s="250"/>
    </row>
    <row r="529">
      <c r="Q529" s="250"/>
    </row>
    <row r="530">
      <c r="Q530" s="250"/>
    </row>
    <row r="531">
      <c r="Q531" s="250"/>
    </row>
    <row r="532">
      <c r="Q532" s="250"/>
    </row>
    <row r="533">
      <c r="Q533" s="250"/>
    </row>
    <row r="534">
      <c r="Q534" s="250"/>
    </row>
    <row r="535">
      <c r="Q535" s="250"/>
    </row>
    <row r="536">
      <c r="Q536" s="250"/>
    </row>
    <row r="537">
      <c r="Q537" s="250"/>
    </row>
    <row r="538">
      <c r="Q538" s="250"/>
    </row>
    <row r="539">
      <c r="Q539" s="250"/>
    </row>
    <row r="540">
      <c r="Q540" s="250"/>
    </row>
    <row r="541">
      <c r="Q541" s="250"/>
    </row>
    <row r="542">
      <c r="Q542" s="250"/>
    </row>
    <row r="543">
      <c r="Q543" s="250"/>
    </row>
    <row r="544">
      <c r="Q544" s="250"/>
    </row>
    <row r="545">
      <c r="Q545" s="250"/>
    </row>
    <row r="546">
      <c r="Q546" s="250"/>
    </row>
    <row r="547">
      <c r="Q547" s="250"/>
    </row>
    <row r="548">
      <c r="Q548" s="250"/>
    </row>
    <row r="549">
      <c r="Q549" s="250"/>
    </row>
    <row r="550">
      <c r="Q550" s="250"/>
    </row>
    <row r="551">
      <c r="Q551" s="250"/>
    </row>
    <row r="552">
      <c r="Q552" s="250"/>
    </row>
    <row r="553">
      <c r="Q553" s="250"/>
    </row>
    <row r="554">
      <c r="Q554" s="250"/>
    </row>
    <row r="555">
      <c r="Q555" s="250"/>
    </row>
    <row r="556">
      <c r="Q556" s="250"/>
    </row>
    <row r="557">
      <c r="Q557" s="250"/>
    </row>
    <row r="558">
      <c r="Q558" s="250"/>
    </row>
    <row r="559">
      <c r="Q559" s="250"/>
    </row>
    <row r="560">
      <c r="Q560" s="250"/>
    </row>
    <row r="561">
      <c r="Q561" s="250"/>
    </row>
    <row r="562">
      <c r="Q562" s="250"/>
    </row>
    <row r="563">
      <c r="Q563" s="250"/>
    </row>
    <row r="564">
      <c r="Q564" s="250"/>
    </row>
    <row r="565">
      <c r="Q565" s="250"/>
    </row>
    <row r="566">
      <c r="Q566" s="250"/>
    </row>
    <row r="567">
      <c r="Q567" s="250"/>
    </row>
    <row r="568">
      <c r="Q568" s="250"/>
    </row>
    <row r="569">
      <c r="Q569" s="250"/>
    </row>
    <row r="570">
      <c r="Q570" s="250"/>
    </row>
    <row r="571">
      <c r="Q571" s="250"/>
    </row>
    <row r="572">
      <c r="Q572" s="250"/>
    </row>
    <row r="573">
      <c r="Q573" s="250"/>
    </row>
    <row r="574">
      <c r="Q574" s="250"/>
    </row>
    <row r="575">
      <c r="Q575" s="250"/>
    </row>
    <row r="576">
      <c r="Q576" s="250"/>
    </row>
    <row r="577">
      <c r="Q577" s="250"/>
    </row>
    <row r="578">
      <c r="Q578" s="250"/>
    </row>
    <row r="579">
      <c r="Q579" s="250"/>
    </row>
    <row r="580">
      <c r="Q580" s="250"/>
    </row>
    <row r="581">
      <c r="Q581" s="250"/>
    </row>
    <row r="582">
      <c r="Q582" s="250"/>
    </row>
    <row r="583">
      <c r="Q583" s="250"/>
    </row>
    <row r="584">
      <c r="Q584" s="250"/>
    </row>
    <row r="585">
      <c r="Q585" s="250"/>
    </row>
    <row r="586">
      <c r="Q586" s="250"/>
    </row>
    <row r="587">
      <c r="Q587" s="250"/>
    </row>
    <row r="588">
      <c r="Q588" s="250"/>
    </row>
    <row r="589">
      <c r="Q589" s="250"/>
    </row>
    <row r="590">
      <c r="Q590" s="250"/>
    </row>
    <row r="591">
      <c r="Q591" s="250"/>
    </row>
    <row r="592">
      <c r="Q592" s="250"/>
    </row>
    <row r="593">
      <c r="Q593" s="250"/>
    </row>
    <row r="594">
      <c r="Q594" s="250"/>
    </row>
    <row r="595">
      <c r="Q595" s="250"/>
    </row>
    <row r="596">
      <c r="Q596" s="250"/>
    </row>
    <row r="597">
      <c r="Q597" s="250"/>
    </row>
    <row r="598">
      <c r="Q598" s="250"/>
    </row>
    <row r="599">
      <c r="Q599" s="250"/>
    </row>
    <row r="600">
      <c r="Q600" s="250"/>
    </row>
    <row r="601">
      <c r="Q601" s="250"/>
    </row>
    <row r="602">
      <c r="Q602" s="250"/>
    </row>
    <row r="603">
      <c r="Q603" s="250"/>
    </row>
    <row r="604">
      <c r="Q604" s="250"/>
    </row>
    <row r="605">
      <c r="Q605" s="250"/>
    </row>
    <row r="606">
      <c r="Q606" s="250"/>
    </row>
    <row r="607">
      <c r="Q607" s="250"/>
    </row>
    <row r="608">
      <c r="Q608" s="250"/>
    </row>
    <row r="609">
      <c r="Q609" s="250"/>
    </row>
    <row r="610">
      <c r="Q610" s="250"/>
    </row>
    <row r="611">
      <c r="Q611" s="250"/>
    </row>
    <row r="612">
      <c r="Q612" s="250"/>
    </row>
    <row r="613">
      <c r="Q613" s="250"/>
    </row>
    <row r="614">
      <c r="Q614" s="250"/>
    </row>
    <row r="615">
      <c r="Q615" s="250"/>
    </row>
    <row r="616">
      <c r="Q616" s="250"/>
    </row>
    <row r="617">
      <c r="Q617" s="250"/>
    </row>
    <row r="618">
      <c r="Q618" s="250"/>
    </row>
    <row r="619">
      <c r="Q619" s="250"/>
    </row>
    <row r="620">
      <c r="Q620" s="250"/>
    </row>
    <row r="621">
      <c r="Q621" s="250"/>
    </row>
    <row r="622">
      <c r="Q622" s="250"/>
    </row>
    <row r="623">
      <c r="Q623" s="250"/>
    </row>
    <row r="624">
      <c r="Q624" s="250"/>
    </row>
    <row r="625">
      <c r="Q625" s="250"/>
    </row>
    <row r="626">
      <c r="Q626" s="250"/>
    </row>
    <row r="627">
      <c r="Q627" s="250"/>
    </row>
    <row r="628">
      <c r="Q628" s="250"/>
    </row>
    <row r="629">
      <c r="Q629" s="250"/>
    </row>
    <row r="630">
      <c r="Q630" s="250"/>
    </row>
    <row r="631">
      <c r="Q631" s="250"/>
    </row>
    <row r="632">
      <c r="Q632" s="250"/>
    </row>
    <row r="633">
      <c r="Q633" s="250"/>
    </row>
    <row r="634">
      <c r="Q634" s="250"/>
    </row>
    <row r="635">
      <c r="Q635" s="250"/>
    </row>
    <row r="636">
      <c r="Q636" s="250"/>
    </row>
    <row r="637">
      <c r="Q637" s="250"/>
    </row>
    <row r="638">
      <c r="Q638" s="250"/>
    </row>
    <row r="639">
      <c r="Q639" s="250"/>
    </row>
    <row r="640">
      <c r="Q640" s="250"/>
    </row>
    <row r="641">
      <c r="Q641" s="250"/>
    </row>
    <row r="642">
      <c r="Q642" s="250"/>
    </row>
    <row r="643">
      <c r="Q643" s="250"/>
    </row>
    <row r="644">
      <c r="Q644" s="250"/>
    </row>
    <row r="645">
      <c r="Q645" s="250"/>
    </row>
    <row r="646">
      <c r="Q646" s="250"/>
    </row>
    <row r="647">
      <c r="Q647" s="250"/>
    </row>
    <row r="648">
      <c r="Q648" s="250"/>
    </row>
    <row r="649">
      <c r="Q649" s="250"/>
    </row>
    <row r="650">
      <c r="Q650" s="250"/>
    </row>
    <row r="651">
      <c r="Q651" s="250"/>
    </row>
    <row r="652">
      <c r="Q652" s="250"/>
    </row>
    <row r="653">
      <c r="Q653" s="250"/>
    </row>
    <row r="654">
      <c r="Q654" s="250"/>
    </row>
    <row r="655">
      <c r="Q655" s="250"/>
    </row>
    <row r="656">
      <c r="Q656" s="250"/>
    </row>
    <row r="657">
      <c r="Q657" s="250"/>
    </row>
    <row r="658">
      <c r="Q658" s="250"/>
    </row>
    <row r="659">
      <c r="Q659" s="250"/>
    </row>
    <row r="660">
      <c r="Q660" s="250"/>
    </row>
    <row r="661">
      <c r="Q661" s="250"/>
    </row>
    <row r="662">
      <c r="Q662" s="250"/>
    </row>
    <row r="663">
      <c r="Q663" s="250"/>
    </row>
    <row r="664">
      <c r="Q664" s="250"/>
    </row>
    <row r="665">
      <c r="Q665" s="250"/>
    </row>
    <row r="666">
      <c r="Q666" s="250"/>
    </row>
    <row r="667">
      <c r="Q667" s="250"/>
    </row>
    <row r="668">
      <c r="Q668" s="250"/>
    </row>
    <row r="669">
      <c r="Q669" s="250"/>
    </row>
    <row r="670">
      <c r="Q670" s="250"/>
    </row>
    <row r="671">
      <c r="Q671" s="250"/>
    </row>
    <row r="672">
      <c r="Q672" s="250"/>
    </row>
    <row r="673">
      <c r="Q673" s="250"/>
    </row>
    <row r="674">
      <c r="Q674" s="250"/>
    </row>
    <row r="675">
      <c r="Q675" s="250"/>
    </row>
    <row r="676">
      <c r="Q676" s="250"/>
    </row>
    <row r="677">
      <c r="Q677" s="250"/>
    </row>
    <row r="678">
      <c r="Q678" s="250"/>
    </row>
    <row r="679">
      <c r="Q679" s="250"/>
    </row>
    <row r="680">
      <c r="Q680" s="250"/>
    </row>
    <row r="681">
      <c r="Q681" s="250"/>
    </row>
    <row r="682">
      <c r="Q682" s="250"/>
    </row>
    <row r="683">
      <c r="Q683" s="250"/>
    </row>
    <row r="684">
      <c r="Q684" s="250"/>
    </row>
    <row r="685">
      <c r="Q685" s="250"/>
    </row>
    <row r="686">
      <c r="Q686" s="250"/>
    </row>
    <row r="687">
      <c r="Q687" s="250"/>
    </row>
    <row r="688">
      <c r="Q688" s="250"/>
    </row>
    <row r="689">
      <c r="Q689" s="250"/>
    </row>
    <row r="690">
      <c r="Q690" s="250"/>
    </row>
    <row r="691">
      <c r="Q691" s="250"/>
    </row>
    <row r="692">
      <c r="Q692" s="250"/>
    </row>
    <row r="693">
      <c r="Q693" s="250"/>
    </row>
    <row r="694">
      <c r="Q694" s="250"/>
    </row>
    <row r="695">
      <c r="Q695" s="250"/>
    </row>
    <row r="696">
      <c r="Q696" s="250"/>
    </row>
    <row r="697">
      <c r="Q697" s="250"/>
    </row>
    <row r="698">
      <c r="Q698" s="250"/>
    </row>
    <row r="699">
      <c r="Q699" s="250"/>
    </row>
    <row r="700">
      <c r="Q700" s="250"/>
    </row>
    <row r="701">
      <c r="Q701" s="250"/>
    </row>
    <row r="702">
      <c r="Q702" s="250"/>
    </row>
    <row r="703">
      <c r="Q703" s="250"/>
    </row>
    <row r="704">
      <c r="Q704" s="250"/>
    </row>
    <row r="705">
      <c r="Q705" s="250"/>
    </row>
    <row r="706">
      <c r="Q706" s="250"/>
    </row>
    <row r="707">
      <c r="Q707" s="250"/>
    </row>
    <row r="708">
      <c r="Q708" s="250"/>
    </row>
    <row r="709">
      <c r="Q709" s="250"/>
    </row>
    <row r="710">
      <c r="Q710" s="250"/>
    </row>
    <row r="711">
      <c r="Q711" s="250"/>
    </row>
    <row r="712">
      <c r="Q712" s="250"/>
    </row>
    <row r="713">
      <c r="Q713" s="250"/>
    </row>
    <row r="714">
      <c r="Q714" s="250"/>
    </row>
    <row r="715">
      <c r="Q715" s="250"/>
    </row>
    <row r="716">
      <c r="Q716" s="250"/>
    </row>
    <row r="717">
      <c r="Q717" s="250"/>
    </row>
    <row r="718">
      <c r="Q718" s="250"/>
    </row>
    <row r="719">
      <c r="Q719" s="250"/>
    </row>
    <row r="720">
      <c r="Q720" s="250"/>
    </row>
    <row r="721">
      <c r="Q721" s="250"/>
    </row>
    <row r="722">
      <c r="Q722" s="250"/>
    </row>
    <row r="723">
      <c r="Q723" s="250"/>
    </row>
    <row r="724">
      <c r="Q724" s="250"/>
    </row>
    <row r="725">
      <c r="Q725" s="250"/>
    </row>
    <row r="726">
      <c r="Q726" s="250"/>
    </row>
    <row r="727">
      <c r="Q727" s="250"/>
    </row>
    <row r="728">
      <c r="Q728" s="250"/>
    </row>
    <row r="729">
      <c r="Q729" s="250"/>
    </row>
    <row r="730">
      <c r="Q730" s="250"/>
    </row>
    <row r="731">
      <c r="Q731" s="250"/>
    </row>
    <row r="732">
      <c r="Q732" s="250"/>
    </row>
    <row r="733">
      <c r="Q733" s="250"/>
    </row>
    <row r="734">
      <c r="Q734" s="250"/>
    </row>
    <row r="735">
      <c r="Q735" s="250"/>
    </row>
    <row r="736">
      <c r="Q736" s="250"/>
    </row>
    <row r="737">
      <c r="Q737" s="250"/>
    </row>
    <row r="738">
      <c r="Q738" s="250"/>
    </row>
    <row r="739">
      <c r="Q739" s="250"/>
    </row>
    <row r="740">
      <c r="Q740" s="250"/>
    </row>
    <row r="741">
      <c r="Q741" s="250"/>
    </row>
    <row r="742">
      <c r="Q742" s="250"/>
    </row>
    <row r="743">
      <c r="Q743" s="250"/>
    </row>
    <row r="744">
      <c r="Q744" s="250"/>
    </row>
    <row r="745">
      <c r="Q745" s="250"/>
    </row>
    <row r="746">
      <c r="Q746" s="250"/>
    </row>
    <row r="747">
      <c r="Q747" s="250"/>
    </row>
    <row r="748">
      <c r="Q748" s="250"/>
    </row>
    <row r="749">
      <c r="Q749" s="250"/>
    </row>
    <row r="750">
      <c r="Q750" s="250"/>
    </row>
    <row r="751">
      <c r="Q751" s="250"/>
    </row>
    <row r="752">
      <c r="Q752" s="250"/>
    </row>
    <row r="753">
      <c r="Q753" s="250"/>
    </row>
    <row r="754">
      <c r="Q754" s="250"/>
    </row>
    <row r="755">
      <c r="Q755" s="250"/>
    </row>
    <row r="756">
      <c r="Q756" s="250"/>
    </row>
    <row r="757">
      <c r="Q757" s="250"/>
    </row>
    <row r="758">
      <c r="Q758" s="250"/>
    </row>
    <row r="759">
      <c r="Q759" s="250"/>
    </row>
    <row r="760">
      <c r="Q760" s="250"/>
    </row>
    <row r="761">
      <c r="Q761" s="250"/>
    </row>
    <row r="762">
      <c r="Q762" s="250"/>
    </row>
    <row r="763">
      <c r="Q763" s="250"/>
    </row>
    <row r="764">
      <c r="Q764" s="250"/>
    </row>
    <row r="765">
      <c r="Q765" s="250"/>
    </row>
    <row r="766">
      <c r="Q766" s="250"/>
    </row>
    <row r="767">
      <c r="Q767" s="250"/>
    </row>
    <row r="768">
      <c r="Q768" s="250"/>
    </row>
    <row r="769">
      <c r="Q769" s="250"/>
    </row>
    <row r="770">
      <c r="Q770" s="250"/>
    </row>
    <row r="771">
      <c r="Q771" s="250"/>
    </row>
    <row r="772">
      <c r="Q772" s="250"/>
    </row>
    <row r="773">
      <c r="Q773" s="250"/>
    </row>
    <row r="774">
      <c r="Q774" s="250"/>
    </row>
    <row r="775">
      <c r="Q775" s="250"/>
    </row>
    <row r="776">
      <c r="Q776" s="250"/>
    </row>
    <row r="777">
      <c r="Q777" s="250"/>
    </row>
    <row r="778">
      <c r="Q778" s="250"/>
    </row>
    <row r="779">
      <c r="Q779" s="250"/>
    </row>
    <row r="780">
      <c r="Q780" s="250"/>
    </row>
    <row r="781">
      <c r="Q781" s="250"/>
    </row>
    <row r="782">
      <c r="Q782" s="250"/>
    </row>
    <row r="783">
      <c r="Q783" s="250"/>
    </row>
    <row r="784">
      <c r="Q784" s="250"/>
    </row>
    <row r="785">
      <c r="Q785" s="250"/>
    </row>
    <row r="786">
      <c r="Q786" s="250"/>
    </row>
    <row r="787">
      <c r="Q787" s="250"/>
    </row>
    <row r="788">
      <c r="Q788" s="250"/>
    </row>
    <row r="789">
      <c r="Q789" s="250"/>
    </row>
    <row r="790">
      <c r="Q790" s="250"/>
    </row>
    <row r="791">
      <c r="Q791" s="250"/>
    </row>
    <row r="792">
      <c r="Q792" s="250"/>
    </row>
    <row r="793">
      <c r="Q793" s="250"/>
    </row>
    <row r="794">
      <c r="Q794" s="250"/>
    </row>
    <row r="795">
      <c r="Q795" s="250"/>
    </row>
    <row r="796">
      <c r="Q796" s="250"/>
    </row>
    <row r="797">
      <c r="Q797" s="250"/>
    </row>
    <row r="798">
      <c r="Q798" s="250"/>
    </row>
    <row r="799">
      <c r="Q799" s="250"/>
    </row>
    <row r="800">
      <c r="Q800" s="250"/>
    </row>
    <row r="801">
      <c r="Q801" s="250"/>
    </row>
    <row r="802">
      <c r="Q802" s="250"/>
    </row>
    <row r="803">
      <c r="Q803" s="250"/>
    </row>
    <row r="804">
      <c r="Q804" s="250"/>
    </row>
    <row r="805">
      <c r="Q805" s="250"/>
    </row>
    <row r="806">
      <c r="Q806" s="250"/>
    </row>
    <row r="807">
      <c r="Q807" s="250"/>
    </row>
    <row r="808">
      <c r="Q808" s="250"/>
    </row>
    <row r="809">
      <c r="Q809" s="250"/>
    </row>
    <row r="810">
      <c r="Q810" s="250"/>
    </row>
    <row r="811">
      <c r="Q811" s="250"/>
    </row>
    <row r="812">
      <c r="Q812" s="250"/>
    </row>
    <row r="813">
      <c r="Q813" s="250"/>
    </row>
    <row r="814">
      <c r="Q814" s="250"/>
    </row>
    <row r="815">
      <c r="Q815" s="250"/>
    </row>
    <row r="816">
      <c r="Q816" s="250"/>
    </row>
    <row r="817">
      <c r="Q817" s="250"/>
    </row>
    <row r="818">
      <c r="Q818" s="250"/>
    </row>
    <row r="819">
      <c r="Q819" s="250"/>
    </row>
    <row r="820">
      <c r="Q820" s="250"/>
    </row>
    <row r="821">
      <c r="Q821" s="250"/>
    </row>
    <row r="822">
      <c r="Q822" s="250"/>
    </row>
    <row r="823">
      <c r="Q823" s="250"/>
    </row>
    <row r="824">
      <c r="Q824" s="250"/>
    </row>
    <row r="825">
      <c r="Q825" s="250"/>
    </row>
    <row r="826">
      <c r="Q826" s="250"/>
    </row>
    <row r="827">
      <c r="Q827" s="250"/>
    </row>
    <row r="828">
      <c r="Q828" s="250"/>
    </row>
    <row r="829">
      <c r="Q829" s="250"/>
    </row>
    <row r="830">
      <c r="Q830" s="250"/>
    </row>
    <row r="831">
      <c r="Q831" s="250"/>
    </row>
    <row r="832">
      <c r="Q832" s="250"/>
    </row>
    <row r="833">
      <c r="Q833" s="250"/>
    </row>
    <row r="834">
      <c r="Q834" s="250"/>
    </row>
    <row r="835">
      <c r="Q835" s="250"/>
    </row>
    <row r="836">
      <c r="Q836" s="250"/>
    </row>
    <row r="837">
      <c r="Q837" s="250"/>
    </row>
    <row r="838">
      <c r="Q838" s="250"/>
    </row>
    <row r="839">
      <c r="Q839" s="250"/>
    </row>
    <row r="840">
      <c r="Q840" s="250"/>
    </row>
    <row r="841">
      <c r="Q841" s="250"/>
    </row>
    <row r="842">
      <c r="Q842" s="250"/>
    </row>
    <row r="843">
      <c r="Q843" s="250"/>
    </row>
    <row r="844">
      <c r="Q844" s="250"/>
    </row>
    <row r="845">
      <c r="Q845" s="250"/>
    </row>
    <row r="846">
      <c r="Q846" s="250"/>
    </row>
    <row r="847">
      <c r="Q847" s="250"/>
    </row>
    <row r="848">
      <c r="Q848" s="250"/>
    </row>
    <row r="849">
      <c r="Q849" s="250"/>
    </row>
    <row r="850">
      <c r="Q850" s="250"/>
    </row>
    <row r="851">
      <c r="Q851" s="250"/>
    </row>
    <row r="852">
      <c r="Q852" s="250"/>
    </row>
    <row r="853">
      <c r="Q853" s="250"/>
    </row>
    <row r="854">
      <c r="Q854" s="250"/>
    </row>
    <row r="855">
      <c r="Q855" s="250"/>
    </row>
    <row r="856">
      <c r="Q856" s="250"/>
    </row>
    <row r="857">
      <c r="Q857" s="250"/>
    </row>
    <row r="858">
      <c r="Q858" s="250"/>
    </row>
    <row r="859">
      <c r="Q859" s="250"/>
    </row>
    <row r="860">
      <c r="Q860" s="250"/>
    </row>
    <row r="861">
      <c r="Q861" s="250"/>
    </row>
    <row r="862">
      <c r="Q862" s="250"/>
    </row>
    <row r="863">
      <c r="Q863" s="250"/>
    </row>
    <row r="864">
      <c r="Q864" s="250"/>
    </row>
    <row r="865">
      <c r="Q865" s="250"/>
    </row>
    <row r="866">
      <c r="Q866" s="250"/>
    </row>
    <row r="867">
      <c r="Q867" s="250"/>
    </row>
    <row r="868">
      <c r="Q868" s="250"/>
    </row>
    <row r="869">
      <c r="Q869" s="250"/>
    </row>
    <row r="870">
      <c r="Q870" s="250"/>
    </row>
    <row r="871">
      <c r="Q871" s="250"/>
    </row>
    <row r="872">
      <c r="Q872" s="250"/>
    </row>
    <row r="873">
      <c r="Q873" s="250"/>
    </row>
    <row r="874">
      <c r="Q874" s="250"/>
    </row>
    <row r="875">
      <c r="Q875" s="250"/>
    </row>
    <row r="876">
      <c r="Q876" s="250"/>
    </row>
    <row r="877">
      <c r="Q877" s="250"/>
    </row>
    <row r="878">
      <c r="Q878" s="250"/>
    </row>
    <row r="879">
      <c r="Q879" s="250"/>
    </row>
    <row r="880">
      <c r="Q880" s="250"/>
    </row>
    <row r="881">
      <c r="Q881" s="250"/>
    </row>
    <row r="882">
      <c r="Q882" s="250"/>
    </row>
    <row r="883">
      <c r="Q883" s="250"/>
    </row>
    <row r="884">
      <c r="Q884" s="250"/>
    </row>
    <row r="885">
      <c r="Q885" s="250"/>
    </row>
    <row r="886">
      <c r="Q886" s="250"/>
    </row>
    <row r="887">
      <c r="Q887" s="250"/>
    </row>
    <row r="888">
      <c r="Q888" s="250"/>
    </row>
    <row r="889">
      <c r="Q889" s="250"/>
    </row>
    <row r="890">
      <c r="Q890" s="250"/>
    </row>
    <row r="891">
      <c r="Q891" s="250"/>
    </row>
    <row r="892">
      <c r="Q892" s="250"/>
    </row>
    <row r="893">
      <c r="Q893" s="250"/>
    </row>
    <row r="894">
      <c r="Q894" s="250"/>
    </row>
    <row r="895">
      <c r="Q895" s="250"/>
    </row>
    <row r="896">
      <c r="Q896" s="250"/>
    </row>
    <row r="897">
      <c r="Q897" s="250"/>
    </row>
    <row r="898">
      <c r="Q898" s="250"/>
    </row>
    <row r="899">
      <c r="Q899" s="250"/>
    </row>
    <row r="900">
      <c r="Q900" s="250"/>
    </row>
    <row r="901">
      <c r="Q901" s="250"/>
    </row>
    <row r="902">
      <c r="Q902" s="250"/>
    </row>
    <row r="903">
      <c r="Q903" s="250"/>
    </row>
    <row r="904">
      <c r="Q904" s="250"/>
    </row>
    <row r="905">
      <c r="Q905" s="250"/>
    </row>
    <row r="906">
      <c r="Q906" s="250"/>
    </row>
    <row r="907">
      <c r="Q907" s="250"/>
    </row>
    <row r="908">
      <c r="Q908" s="250"/>
    </row>
    <row r="909">
      <c r="Q909" s="250"/>
    </row>
    <row r="910">
      <c r="Q910" s="250"/>
    </row>
    <row r="911">
      <c r="Q911" s="250"/>
    </row>
    <row r="912">
      <c r="Q912" s="250"/>
    </row>
    <row r="913">
      <c r="Q913" s="250"/>
    </row>
    <row r="914">
      <c r="Q914" s="250"/>
    </row>
    <row r="915">
      <c r="Q915" s="250"/>
    </row>
    <row r="916">
      <c r="Q916" s="250"/>
    </row>
    <row r="917">
      <c r="Q917" s="250"/>
    </row>
    <row r="918">
      <c r="Q918" s="250"/>
    </row>
    <row r="919">
      <c r="Q919" s="250"/>
    </row>
    <row r="920">
      <c r="Q920" s="250"/>
    </row>
    <row r="921">
      <c r="Q921" s="250"/>
    </row>
    <row r="922">
      <c r="Q922" s="250"/>
    </row>
    <row r="923">
      <c r="Q923" s="250"/>
    </row>
    <row r="924">
      <c r="Q924" s="250"/>
    </row>
    <row r="925">
      <c r="Q925" s="250"/>
    </row>
    <row r="926">
      <c r="Q926" s="250"/>
    </row>
    <row r="927">
      <c r="Q927" s="250"/>
    </row>
    <row r="928">
      <c r="Q928" s="250"/>
    </row>
    <row r="929">
      <c r="Q929" s="250"/>
    </row>
    <row r="930">
      <c r="Q930" s="250"/>
    </row>
    <row r="931">
      <c r="Q931" s="250"/>
    </row>
    <row r="932">
      <c r="Q932" s="250"/>
    </row>
    <row r="933">
      <c r="Q933" s="250"/>
    </row>
    <row r="934">
      <c r="Q934" s="250"/>
    </row>
    <row r="935">
      <c r="Q935" s="250"/>
    </row>
    <row r="936">
      <c r="Q936" s="250"/>
    </row>
    <row r="937">
      <c r="Q937" s="250"/>
    </row>
    <row r="938">
      <c r="Q938" s="250"/>
    </row>
    <row r="939">
      <c r="Q939" s="250"/>
    </row>
    <row r="940">
      <c r="Q940" s="250"/>
    </row>
    <row r="941">
      <c r="Q941" s="250"/>
    </row>
    <row r="942">
      <c r="Q942" s="250"/>
    </row>
    <row r="943">
      <c r="Q943" s="250"/>
    </row>
    <row r="944">
      <c r="Q944" s="250"/>
    </row>
    <row r="945">
      <c r="Q945" s="250"/>
    </row>
    <row r="946">
      <c r="Q946" s="250"/>
    </row>
    <row r="947">
      <c r="Q947" s="250"/>
    </row>
    <row r="948">
      <c r="Q948" s="250"/>
    </row>
    <row r="949">
      <c r="Q949" s="250"/>
    </row>
    <row r="950">
      <c r="Q950" s="250"/>
    </row>
    <row r="951">
      <c r="Q951" s="250"/>
    </row>
    <row r="952">
      <c r="Q952" s="250"/>
    </row>
    <row r="953">
      <c r="Q953" s="250"/>
    </row>
    <row r="954">
      <c r="Q954" s="250"/>
    </row>
    <row r="955">
      <c r="Q955" s="250"/>
    </row>
    <row r="956">
      <c r="Q956" s="250"/>
    </row>
    <row r="957">
      <c r="Q957" s="250"/>
    </row>
    <row r="958">
      <c r="Q958" s="250"/>
    </row>
    <row r="959">
      <c r="Q959" s="250"/>
    </row>
    <row r="960">
      <c r="Q960" s="250"/>
    </row>
    <row r="961">
      <c r="Q961" s="250"/>
    </row>
    <row r="962">
      <c r="Q962" s="250"/>
    </row>
    <row r="963">
      <c r="Q963" s="250"/>
    </row>
    <row r="964">
      <c r="Q964" s="250"/>
    </row>
    <row r="965">
      <c r="Q965" s="250"/>
    </row>
    <row r="966">
      <c r="Q966" s="250"/>
    </row>
    <row r="967">
      <c r="Q967" s="250"/>
    </row>
    <row r="968">
      <c r="Q968" s="250"/>
    </row>
    <row r="969">
      <c r="Q969" s="250"/>
    </row>
    <row r="970">
      <c r="Q970" s="250"/>
    </row>
    <row r="971">
      <c r="Q971" s="250"/>
    </row>
    <row r="972">
      <c r="Q972" s="250"/>
    </row>
    <row r="973">
      <c r="Q973" s="250"/>
    </row>
    <row r="974">
      <c r="Q974" s="250"/>
    </row>
    <row r="975">
      <c r="Q975" s="250"/>
    </row>
    <row r="976">
      <c r="Q976" s="250"/>
    </row>
    <row r="977">
      <c r="Q977" s="250"/>
    </row>
    <row r="978">
      <c r="Q978" s="250"/>
    </row>
    <row r="979">
      <c r="Q979" s="250"/>
    </row>
    <row r="980">
      <c r="Q980" s="250"/>
    </row>
    <row r="981">
      <c r="Q981" s="250"/>
    </row>
    <row r="982">
      <c r="Q982" s="250"/>
    </row>
    <row r="983">
      <c r="Q983" s="250"/>
    </row>
    <row r="984">
      <c r="Q984" s="250"/>
    </row>
    <row r="985">
      <c r="Q985" s="250"/>
    </row>
    <row r="986">
      <c r="Q986" s="250"/>
    </row>
    <row r="987">
      <c r="Q987" s="250"/>
    </row>
    <row r="988">
      <c r="Q988" s="250"/>
    </row>
    <row r="989">
      <c r="Q989" s="250"/>
    </row>
    <row r="990">
      <c r="Q990" s="250"/>
    </row>
    <row r="991">
      <c r="Q991" s="250"/>
    </row>
    <row r="992">
      <c r="Q992" s="250"/>
    </row>
    <row r="993">
      <c r="Q993" s="250"/>
    </row>
    <row r="994">
      <c r="Q994" s="250"/>
    </row>
    <row r="995">
      <c r="Q995" s="250"/>
    </row>
    <row r="996">
      <c r="Q996" s="250"/>
    </row>
    <row r="997">
      <c r="Q997" s="250"/>
    </row>
    <row r="998">
      <c r="Q998" s="250"/>
    </row>
    <row r="999">
      <c r="Q999" s="250"/>
    </row>
  </sheetData>
  <mergeCells count="2">
    <mergeCell ref="B1:D2"/>
    <mergeCell ref="E1:F2"/>
  </mergeCells>
  <dataValidations>
    <dataValidation type="list" allowBlank="1" showErrorMessage="1" sqref="G4:S123">
      <formula1>"선택,완료"</formula1>
    </dataValidation>
  </dataValidations>
  <hyperlinks>
    <hyperlink r:id="rId1" ref="D5"/>
    <hyperlink r:id="rId2" ref="D25"/>
    <hyperlink r:id="rId3" ref="D31"/>
    <hyperlink r:id="rId4" ref="D37"/>
    <hyperlink r:id="rId5" ref="D71"/>
    <hyperlink r:id="rId6" ref="D87"/>
    <hyperlink r:id="rId7" ref="D94"/>
    <hyperlink r:id="rId8" ref="D96"/>
  </hyperlinks>
  <drawing r:id="rId9"/>
  <tableParts count="1">
    <tablePart r:id="rId1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.88"/>
    <col customWidth="1" min="2" max="2" width="5.13"/>
    <col customWidth="1" min="3" max="3" width="18.63"/>
    <col customWidth="1" min="4" max="4" width="21.13"/>
    <col customWidth="1" min="5" max="5" width="14.25"/>
    <col customWidth="1" min="6" max="6" width="11.5"/>
  </cols>
  <sheetData>
    <row r="1">
      <c r="A1" s="6"/>
      <c r="B1" s="75" t="s">
        <v>0</v>
      </c>
      <c r="E1" s="3" t="s">
        <v>1</v>
      </c>
      <c r="G1" s="143" t="s">
        <v>468</v>
      </c>
      <c r="H1" s="143" t="s">
        <v>469</v>
      </c>
      <c r="I1" s="143" t="s">
        <v>470</v>
      </c>
      <c r="J1" s="143" t="s">
        <v>471</v>
      </c>
      <c r="K1" s="143" t="s">
        <v>472</v>
      </c>
      <c r="L1" s="143" t="s">
        <v>473</v>
      </c>
      <c r="M1" s="143" t="s">
        <v>474</v>
      </c>
      <c r="N1" s="143" t="s">
        <v>475</v>
      </c>
    </row>
    <row r="2">
      <c r="A2" s="1"/>
      <c r="G2" s="78" t="s">
        <v>476</v>
      </c>
      <c r="H2" s="78" t="s">
        <v>477</v>
      </c>
      <c r="I2" s="78" t="s">
        <v>478</v>
      </c>
      <c r="J2" s="78" t="s">
        <v>479</v>
      </c>
      <c r="K2" s="78" t="s">
        <v>480</v>
      </c>
      <c r="L2" s="78" t="s">
        <v>481</v>
      </c>
      <c r="M2" s="78" t="s">
        <v>482</v>
      </c>
      <c r="N2" s="78" t="s">
        <v>483</v>
      </c>
    </row>
    <row r="3">
      <c r="A3" s="1"/>
      <c r="B3" s="1"/>
      <c r="C3" s="1"/>
      <c r="D3" s="1"/>
      <c r="E3" s="9"/>
      <c r="F3" s="9"/>
      <c r="G3" s="11" t="str">
        <f t="shared" ref="G3:N3" si="1">COUNTIF(G5:G199, "완료") &amp; "명 완료"
</f>
        <v>83명 완료</v>
      </c>
      <c r="H3" s="11" t="str">
        <f t="shared" si="1"/>
        <v>76명 완료</v>
      </c>
      <c r="I3" s="11" t="str">
        <f t="shared" si="1"/>
        <v>85명 완료</v>
      </c>
      <c r="J3" s="11" t="str">
        <f t="shared" si="1"/>
        <v>79명 완료</v>
      </c>
      <c r="K3" s="11" t="str">
        <f t="shared" si="1"/>
        <v>79명 완료</v>
      </c>
      <c r="L3" s="11" t="str">
        <f t="shared" si="1"/>
        <v>77명 완료</v>
      </c>
      <c r="M3" s="11" t="str">
        <f t="shared" si="1"/>
        <v>68명 완료</v>
      </c>
      <c r="N3" s="11" t="str">
        <f t="shared" si="1"/>
        <v>71명 완료</v>
      </c>
    </row>
    <row r="4">
      <c r="A4" s="231"/>
      <c r="B4" s="81" t="s">
        <v>20</v>
      </c>
      <c r="C4" s="82" t="s">
        <v>21</v>
      </c>
      <c r="D4" s="82" t="s">
        <v>22</v>
      </c>
      <c r="E4" s="83" t="s">
        <v>23</v>
      </c>
      <c r="F4" s="83" t="s">
        <v>24</v>
      </c>
      <c r="G4" s="84" t="s">
        <v>25</v>
      </c>
      <c r="H4" s="84" t="s">
        <v>25</v>
      </c>
      <c r="I4" s="84" t="s">
        <v>25</v>
      </c>
      <c r="J4" s="84" t="s">
        <v>25</v>
      </c>
      <c r="K4" s="84" t="s">
        <v>25</v>
      </c>
      <c r="L4" s="84" t="s">
        <v>25</v>
      </c>
      <c r="M4" s="84" t="s">
        <v>25</v>
      </c>
      <c r="N4" s="84" t="s">
        <v>25</v>
      </c>
    </row>
    <row r="5">
      <c r="A5" s="21"/>
      <c r="B5" s="22">
        <v>1.0</v>
      </c>
      <c r="C5" s="201" t="s">
        <v>26</v>
      </c>
      <c r="D5" s="202" t="s">
        <v>27</v>
      </c>
      <c r="E5" s="88" t="str">
        <f t="shared" ref="E5:E88" si="2">IF(COUNTIF(G5:N5, "완료")=0, "", COUNTIF($G$4:$N$4, "완료") &amp; "번 중 " &amp; COUNTIF(G5:N5, "완료") &amp; "번 참여")
</f>
        <v>8번 중 8번 참여</v>
      </c>
      <c r="F5" s="89">
        <f t="shared" ref="F5:F123" si="3">IF(COUNTIF($G$4:$N$4, "완료")=0, "", IF(COUNTIF(G5:N5, "완료")=0, "", COUNTIF(G5:N5, "완료") / COUNTIF($G$4:$N$4, "완료")))
</f>
        <v>1</v>
      </c>
      <c r="G5" s="90" t="s">
        <v>25</v>
      </c>
      <c r="H5" s="90" t="s">
        <v>25</v>
      </c>
      <c r="I5" s="90" t="s">
        <v>25</v>
      </c>
      <c r="J5" s="90" t="s">
        <v>25</v>
      </c>
      <c r="K5" s="90" t="s">
        <v>25</v>
      </c>
      <c r="L5" s="90" t="s">
        <v>25</v>
      </c>
      <c r="M5" s="90" t="s">
        <v>25</v>
      </c>
      <c r="N5" s="90" t="s">
        <v>25</v>
      </c>
    </row>
    <row r="6">
      <c r="A6" s="21"/>
      <c r="B6" s="22">
        <v>3.0</v>
      </c>
      <c r="C6" s="201" t="s">
        <v>28</v>
      </c>
      <c r="D6" s="201" t="s">
        <v>29</v>
      </c>
      <c r="E6" s="88" t="str">
        <f t="shared" si="2"/>
        <v>8번 중 8번 참여</v>
      </c>
      <c r="F6" s="89">
        <f t="shared" si="3"/>
        <v>1</v>
      </c>
      <c r="G6" s="90" t="s">
        <v>25</v>
      </c>
      <c r="H6" s="90" t="s">
        <v>25</v>
      </c>
      <c r="I6" s="90" t="s">
        <v>25</v>
      </c>
      <c r="J6" s="90" t="s">
        <v>25</v>
      </c>
      <c r="K6" s="90" t="s">
        <v>25</v>
      </c>
      <c r="L6" s="90" t="s">
        <v>25</v>
      </c>
      <c r="M6" s="90" t="s">
        <v>25</v>
      </c>
      <c r="N6" s="90" t="s">
        <v>25</v>
      </c>
    </row>
    <row r="7">
      <c r="A7" s="29"/>
      <c r="B7" s="30">
        <v>4.0</v>
      </c>
      <c r="C7" s="93" t="s">
        <v>30</v>
      </c>
      <c r="D7" s="93" t="s">
        <v>31</v>
      </c>
      <c r="E7" s="88" t="str">
        <f t="shared" si="2"/>
        <v>8번 중 6번 참여</v>
      </c>
      <c r="F7" s="89">
        <f t="shared" si="3"/>
        <v>0.75</v>
      </c>
      <c r="G7" s="90" t="s">
        <v>25</v>
      </c>
      <c r="H7" s="90" t="s">
        <v>25</v>
      </c>
      <c r="I7" s="90" t="s">
        <v>25</v>
      </c>
      <c r="J7" s="90" t="s">
        <v>25</v>
      </c>
      <c r="K7" s="90" t="s">
        <v>25</v>
      </c>
      <c r="L7" s="90" t="s">
        <v>25</v>
      </c>
      <c r="M7" s="41"/>
      <c r="N7" s="41"/>
    </row>
    <row r="8">
      <c r="A8" s="21"/>
      <c r="B8" s="22">
        <v>5.0</v>
      </c>
      <c r="C8" s="201" t="s">
        <v>32</v>
      </c>
      <c r="D8" s="201" t="s">
        <v>33</v>
      </c>
      <c r="E8" s="88" t="str">
        <f t="shared" si="2"/>
        <v>8번 중 6번 참여</v>
      </c>
      <c r="F8" s="89">
        <f t="shared" si="3"/>
        <v>0.75</v>
      </c>
      <c r="G8" s="90" t="s">
        <v>25</v>
      </c>
      <c r="H8" s="90" t="s">
        <v>25</v>
      </c>
      <c r="I8" s="90" t="s">
        <v>25</v>
      </c>
      <c r="J8" s="90" t="s">
        <v>25</v>
      </c>
      <c r="K8" s="90" t="s">
        <v>25</v>
      </c>
      <c r="L8" s="90" t="s">
        <v>25</v>
      </c>
      <c r="M8" s="41"/>
      <c r="N8" s="41"/>
    </row>
    <row r="9">
      <c r="A9" s="29"/>
      <c r="B9" s="30">
        <v>6.0</v>
      </c>
      <c r="C9" s="93" t="s">
        <v>34</v>
      </c>
      <c r="D9" s="93" t="s">
        <v>35</v>
      </c>
      <c r="E9" s="88" t="str">
        <f t="shared" si="2"/>
        <v>8번 중 8번 참여</v>
      </c>
      <c r="F9" s="89">
        <f t="shared" si="3"/>
        <v>1</v>
      </c>
      <c r="G9" s="90" t="s">
        <v>25</v>
      </c>
      <c r="H9" s="90" t="s">
        <v>25</v>
      </c>
      <c r="I9" s="90" t="s">
        <v>25</v>
      </c>
      <c r="J9" s="90" t="s">
        <v>25</v>
      </c>
      <c r="K9" s="90" t="s">
        <v>25</v>
      </c>
      <c r="L9" s="90" t="s">
        <v>25</v>
      </c>
      <c r="M9" s="90" t="s">
        <v>25</v>
      </c>
      <c r="N9" s="90" t="s">
        <v>25</v>
      </c>
    </row>
    <row r="10">
      <c r="A10" s="21"/>
      <c r="B10" s="22">
        <v>7.0</v>
      </c>
      <c r="C10" s="201" t="s">
        <v>36</v>
      </c>
      <c r="D10" s="201" t="s">
        <v>72</v>
      </c>
      <c r="E10" s="88" t="str">
        <f t="shared" si="2"/>
        <v>8번 중 8번 참여</v>
      </c>
      <c r="F10" s="89">
        <f t="shared" si="3"/>
        <v>1</v>
      </c>
      <c r="G10" s="90" t="s">
        <v>25</v>
      </c>
      <c r="H10" s="90" t="s">
        <v>25</v>
      </c>
      <c r="I10" s="90" t="s">
        <v>25</v>
      </c>
      <c r="J10" s="90" t="s">
        <v>25</v>
      </c>
      <c r="K10" s="90" t="s">
        <v>25</v>
      </c>
      <c r="L10" s="90" t="s">
        <v>25</v>
      </c>
      <c r="M10" s="90" t="s">
        <v>25</v>
      </c>
      <c r="N10" s="90" t="s">
        <v>25</v>
      </c>
    </row>
    <row r="11">
      <c r="A11" s="29"/>
      <c r="B11" s="30">
        <v>8.0</v>
      </c>
      <c r="C11" s="93" t="s">
        <v>38</v>
      </c>
      <c r="D11" s="93" t="s">
        <v>39</v>
      </c>
      <c r="E11" s="88" t="str">
        <f t="shared" si="2"/>
        <v>8번 중 8번 참여</v>
      </c>
      <c r="F11" s="89">
        <f t="shared" si="3"/>
        <v>1</v>
      </c>
      <c r="G11" s="90" t="s">
        <v>25</v>
      </c>
      <c r="H11" s="90" t="s">
        <v>25</v>
      </c>
      <c r="I11" s="90" t="s">
        <v>25</v>
      </c>
      <c r="J11" s="90" t="s">
        <v>25</v>
      </c>
      <c r="K11" s="90" t="s">
        <v>25</v>
      </c>
      <c r="L11" s="90" t="s">
        <v>25</v>
      </c>
      <c r="M11" s="90" t="s">
        <v>25</v>
      </c>
      <c r="N11" s="90" t="s">
        <v>25</v>
      </c>
    </row>
    <row r="12">
      <c r="A12" s="21"/>
      <c r="B12" s="22">
        <v>9.0</v>
      </c>
      <c r="C12" s="201" t="s">
        <v>40</v>
      </c>
      <c r="D12" s="201" t="s">
        <v>41</v>
      </c>
      <c r="E12" s="88" t="str">
        <f t="shared" si="2"/>
        <v>8번 중 8번 참여</v>
      </c>
      <c r="F12" s="89">
        <f t="shared" si="3"/>
        <v>1</v>
      </c>
      <c r="G12" s="90" t="s">
        <v>25</v>
      </c>
      <c r="H12" s="90" t="s">
        <v>25</v>
      </c>
      <c r="I12" s="90" t="s">
        <v>25</v>
      </c>
      <c r="J12" s="90" t="s">
        <v>25</v>
      </c>
      <c r="K12" s="90" t="s">
        <v>25</v>
      </c>
      <c r="L12" s="90" t="s">
        <v>25</v>
      </c>
      <c r="M12" s="90" t="s">
        <v>25</v>
      </c>
      <c r="N12" s="90" t="s">
        <v>25</v>
      </c>
    </row>
    <row r="13">
      <c r="A13" s="29"/>
      <c r="B13" s="30">
        <v>10.0</v>
      </c>
      <c r="C13" s="93" t="s">
        <v>42</v>
      </c>
      <c r="D13" s="93" t="s">
        <v>43</v>
      </c>
      <c r="E13" s="88" t="str">
        <f t="shared" si="2"/>
        <v>8번 중 7번 참여</v>
      </c>
      <c r="F13" s="89">
        <f t="shared" si="3"/>
        <v>0.875</v>
      </c>
      <c r="G13" s="90" t="s">
        <v>25</v>
      </c>
      <c r="H13" s="90" t="s">
        <v>25</v>
      </c>
      <c r="I13" s="90" t="s">
        <v>25</v>
      </c>
      <c r="J13" s="90" t="s">
        <v>25</v>
      </c>
      <c r="K13" s="41"/>
      <c r="L13" s="90" t="s">
        <v>25</v>
      </c>
      <c r="M13" s="90" t="s">
        <v>25</v>
      </c>
      <c r="N13" s="90" t="s">
        <v>25</v>
      </c>
    </row>
    <row r="14">
      <c r="A14" s="21"/>
      <c r="B14" s="22">
        <v>11.0</v>
      </c>
      <c r="C14" s="96" t="s">
        <v>418</v>
      </c>
      <c r="D14" s="201" t="s">
        <v>327</v>
      </c>
      <c r="E14" s="88" t="str">
        <f t="shared" si="2"/>
        <v>8번 중 8번 참여</v>
      </c>
      <c r="F14" s="89">
        <f t="shared" si="3"/>
        <v>1</v>
      </c>
      <c r="G14" s="90" t="s">
        <v>25</v>
      </c>
      <c r="H14" s="90" t="s">
        <v>25</v>
      </c>
      <c r="I14" s="90" t="s">
        <v>25</v>
      </c>
      <c r="J14" s="90" t="s">
        <v>25</v>
      </c>
      <c r="K14" s="90" t="s">
        <v>25</v>
      </c>
      <c r="L14" s="90" t="s">
        <v>25</v>
      </c>
      <c r="M14" s="90" t="s">
        <v>25</v>
      </c>
      <c r="N14" s="90" t="s">
        <v>25</v>
      </c>
    </row>
    <row r="15">
      <c r="A15" s="29"/>
      <c r="B15" s="30">
        <v>12.0</v>
      </c>
      <c r="C15" s="94" t="s">
        <v>419</v>
      </c>
      <c r="D15" s="93" t="s">
        <v>328</v>
      </c>
      <c r="E15" s="88" t="str">
        <f t="shared" si="2"/>
        <v>8번 중 8번 참여</v>
      </c>
      <c r="F15" s="89">
        <f t="shared" si="3"/>
        <v>1</v>
      </c>
      <c r="G15" s="90" t="s">
        <v>25</v>
      </c>
      <c r="H15" s="90" t="s">
        <v>25</v>
      </c>
      <c r="I15" s="90" t="s">
        <v>25</v>
      </c>
      <c r="J15" s="90" t="s">
        <v>25</v>
      </c>
      <c r="K15" s="90" t="s">
        <v>25</v>
      </c>
      <c r="L15" s="90" t="s">
        <v>25</v>
      </c>
      <c r="M15" s="90" t="s">
        <v>25</v>
      </c>
      <c r="N15" s="90" t="s">
        <v>25</v>
      </c>
    </row>
    <row r="16">
      <c r="A16" s="21"/>
      <c r="B16" s="22">
        <v>13.0</v>
      </c>
      <c r="C16" s="201" t="s">
        <v>44</v>
      </c>
      <c r="D16" s="201" t="s">
        <v>45</v>
      </c>
      <c r="E16" s="88" t="str">
        <f t="shared" si="2"/>
        <v>8번 중 8번 참여</v>
      </c>
      <c r="F16" s="89">
        <f t="shared" si="3"/>
        <v>1</v>
      </c>
      <c r="G16" s="90" t="s">
        <v>25</v>
      </c>
      <c r="H16" s="90" t="s">
        <v>25</v>
      </c>
      <c r="I16" s="90" t="s">
        <v>25</v>
      </c>
      <c r="J16" s="90" t="s">
        <v>25</v>
      </c>
      <c r="K16" s="90" t="s">
        <v>25</v>
      </c>
      <c r="L16" s="90" t="s">
        <v>25</v>
      </c>
      <c r="M16" s="90" t="s">
        <v>25</v>
      </c>
      <c r="N16" s="90" t="s">
        <v>25</v>
      </c>
    </row>
    <row r="17">
      <c r="A17" s="29"/>
      <c r="B17" s="30">
        <v>14.0</v>
      </c>
      <c r="C17" s="93" t="s">
        <v>46</v>
      </c>
      <c r="D17" s="93" t="s">
        <v>47</v>
      </c>
      <c r="E17" s="88" t="str">
        <f t="shared" si="2"/>
        <v>8번 중 8번 참여</v>
      </c>
      <c r="F17" s="89">
        <f t="shared" si="3"/>
        <v>1</v>
      </c>
      <c r="G17" s="90" t="s">
        <v>25</v>
      </c>
      <c r="H17" s="90" t="s">
        <v>25</v>
      </c>
      <c r="I17" s="90" t="s">
        <v>25</v>
      </c>
      <c r="J17" s="90" t="s">
        <v>25</v>
      </c>
      <c r="K17" s="90" t="s">
        <v>25</v>
      </c>
      <c r="L17" s="90" t="s">
        <v>25</v>
      </c>
      <c r="M17" s="90" t="s">
        <v>25</v>
      </c>
      <c r="N17" s="90" t="s">
        <v>25</v>
      </c>
    </row>
    <row r="18">
      <c r="A18" s="21"/>
      <c r="B18" s="22">
        <v>15.0</v>
      </c>
      <c r="C18" s="201" t="s">
        <v>48</v>
      </c>
      <c r="D18" s="201" t="s">
        <v>49</v>
      </c>
      <c r="E18" s="88" t="str">
        <f t="shared" si="2"/>
        <v>8번 중 8번 참여</v>
      </c>
      <c r="F18" s="89">
        <f t="shared" si="3"/>
        <v>1</v>
      </c>
      <c r="G18" s="90" t="s">
        <v>25</v>
      </c>
      <c r="H18" s="90" t="s">
        <v>25</v>
      </c>
      <c r="I18" s="90" t="s">
        <v>25</v>
      </c>
      <c r="J18" s="90" t="s">
        <v>25</v>
      </c>
      <c r="K18" s="90" t="s">
        <v>25</v>
      </c>
      <c r="L18" s="90" t="s">
        <v>25</v>
      </c>
      <c r="M18" s="90" t="s">
        <v>25</v>
      </c>
      <c r="N18" s="90" t="s">
        <v>25</v>
      </c>
    </row>
    <row r="19">
      <c r="A19" s="29"/>
      <c r="B19" s="30">
        <v>16.0</v>
      </c>
      <c r="C19" s="93" t="s">
        <v>50</v>
      </c>
      <c r="D19" s="93" t="s">
        <v>51</v>
      </c>
      <c r="E19" s="88" t="str">
        <f t="shared" si="2"/>
        <v>8번 중 8번 참여</v>
      </c>
      <c r="F19" s="89">
        <f t="shared" si="3"/>
        <v>1</v>
      </c>
      <c r="G19" s="90" t="s">
        <v>25</v>
      </c>
      <c r="H19" s="90" t="s">
        <v>25</v>
      </c>
      <c r="I19" s="90" t="s">
        <v>25</v>
      </c>
      <c r="J19" s="90" t="s">
        <v>25</v>
      </c>
      <c r="K19" s="90" t="s">
        <v>25</v>
      </c>
      <c r="L19" s="90" t="s">
        <v>25</v>
      </c>
      <c r="M19" s="90" t="s">
        <v>25</v>
      </c>
      <c r="N19" s="90" t="s">
        <v>25</v>
      </c>
    </row>
    <row r="20">
      <c r="A20" s="21"/>
      <c r="B20" s="22">
        <v>17.0</v>
      </c>
      <c r="C20" s="201" t="s">
        <v>52</v>
      </c>
      <c r="D20" s="201" t="s">
        <v>53</v>
      </c>
      <c r="E20" s="88" t="str">
        <f t="shared" si="2"/>
        <v>8번 중 7번 참여</v>
      </c>
      <c r="F20" s="89">
        <f t="shared" si="3"/>
        <v>0.875</v>
      </c>
      <c r="G20" s="90" t="s">
        <v>25</v>
      </c>
      <c r="H20" s="90" t="s">
        <v>25</v>
      </c>
      <c r="I20" s="90" t="s">
        <v>25</v>
      </c>
      <c r="J20" s="90" t="s">
        <v>25</v>
      </c>
      <c r="K20" s="41"/>
      <c r="L20" s="90" t="s">
        <v>25</v>
      </c>
      <c r="M20" s="90" t="s">
        <v>25</v>
      </c>
      <c r="N20" s="90" t="s">
        <v>25</v>
      </c>
    </row>
    <row r="21">
      <c r="A21" s="29"/>
      <c r="B21" s="30">
        <v>18.0</v>
      </c>
      <c r="C21" s="93" t="s">
        <v>329</v>
      </c>
      <c r="D21" s="93" t="s">
        <v>330</v>
      </c>
      <c r="E21" s="88" t="str">
        <f t="shared" si="2"/>
        <v>8번 중 8번 참여</v>
      </c>
      <c r="F21" s="89">
        <f t="shared" si="3"/>
        <v>1</v>
      </c>
      <c r="G21" s="90" t="s">
        <v>25</v>
      </c>
      <c r="H21" s="90" t="s">
        <v>25</v>
      </c>
      <c r="I21" s="90" t="s">
        <v>25</v>
      </c>
      <c r="J21" s="90" t="s">
        <v>25</v>
      </c>
      <c r="K21" s="90" t="s">
        <v>25</v>
      </c>
      <c r="L21" s="90" t="s">
        <v>25</v>
      </c>
      <c r="M21" s="90" t="s">
        <v>25</v>
      </c>
      <c r="N21" s="90" t="s">
        <v>25</v>
      </c>
    </row>
    <row r="22">
      <c r="A22" s="21"/>
      <c r="B22" s="22">
        <v>19.0</v>
      </c>
      <c r="C22" s="201" t="s">
        <v>56</v>
      </c>
      <c r="D22" s="201" t="s">
        <v>57</v>
      </c>
      <c r="E22" s="88" t="str">
        <f t="shared" si="2"/>
        <v>8번 중 8번 참여</v>
      </c>
      <c r="F22" s="89">
        <f t="shared" si="3"/>
        <v>1</v>
      </c>
      <c r="G22" s="90" t="s">
        <v>25</v>
      </c>
      <c r="H22" s="90" t="s">
        <v>25</v>
      </c>
      <c r="I22" s="90" t="s">
        <v>25</v>
      </c>
      <c r="J22" s="90" t="s">
        <v>25</v>
      </c>
      <c r="K22" s="90" t="s">
        <v>25</v>
      </c>
      <c r="L22" s="90" t="s">
        <v>25</v>
      </c>
      <c r="M22" s="90" t="s">
        <v>25</v>
      </c>
      <c r="N22" s="90" t="s">
        <v>25</v>
      </c>
    </row>
    <row r="23">
      <c r="A23" s="29"/>
      <c r="B23" s="30">
        <v>20.0</v>
      </c>
      <c r="C23" s="93" t="s">
        <v>58</v>
      </c>
      <c r="D23" s="93" t="s">
        <v>59</v>
      </c>
      <c r="E23" s="88" t="str">
        <f t="shared" si="2"/>
        <v>8번 중 8번 참여</v>
      </c>
      <c r="F23" s="89">
        <f t="shared" si="3"/>
        <v>1</v>
      </c>
      <c r="G23" s="90" t="s">
        <v>25</v>
      </c>
      <c r="H23" s="90" t="s">
        <v>25</v>
      </c>
      <c r="I23" s="90" t="s">
        <v>25</v>
      </c>
      <c r="J23" s="90" t="s">
        <v>25</v>
      </c>
      <c r="K23" s="90" t="s">
        <v>25</v>
      </c>
      <c r="L23" s="90" t="s">
        <v>25</v>
      </c>
      <c r="M23" s="90" t="s">
        <v>25</v>
      </c>
      <c r="N23" s="90" t="s">
        <v>25</v>
      </c>
    </row>
    <row r="24">
      <c r="A24" s="21"/>
      <c r="B24" s="22">
        <v>21.0</v>
      </c>
      <c r="C24" s="201" t="s">
        <v>60</v>
      </c>
      <c r="D24" s="206" t="s">
        <v>61</v>
      </c>
      <c r="E24" s="88" t="str">
        <f t="shared" si="2"/>
        <v>8번 중 8번 참여</v>
      </c>
      <c r="F24" s="89">
        <f t="shared" si="3"/>
        <v>1</v>
      </c>
      <c r="G24" s="90" t="s">
        <v>25</v>
      </c>
      <c r="H24" s="90" t="s">
        <v>25</v>
      </c>
      <c r="I24" s="90" t="s">
        <v>25</v>
      </c>
      <c r="J24" s="90" t="s">
        <v>25</v>
      </c>
      <c r="K24" s="90" t="s">
        <v>25</v>
      </c>
      <c r="L24" s="90" t="s">
        <v>25</v>
      </c>
      <c r="M24" s="90" t="s">
        <v>25</v>
      </c>
      <c r="N24" s="90" t="s">
        <v>25</v>
      </c>
    </row>
    <row r="25">
      <c r="A25" s="29"/>
      <c r="B25" s="30">
        <v>22.0</v>
      </c>
      <c r="C25" s="207" t="s">
        <v>62</v>
      </c>
      <c r="D25" s="207" t="s">
        <v>63</v>
      </c>
      <c r="E25" s="88" t="str">
        <f t="shared" si="2"/>
        <v>8번 중 8번 참여</v>
      </c>
      <c r="F25" s="89">
        <f t="shared" si="3"/>
        <v>1</v>
      </c>
      <c r="G25" s="90" t="s">
        <v>25</v>
      </c>
      <c r="H25" s="90" t="s">
        <v>25</v>
      </c>
      <c r="I25" s="90" t="s">
        <v>25</v>
      </c>
      <c r="J25" s="90" t="s">
        <v>25</v>
      </c>
      <c r="K25" s="90" t="s">
        <v>25</v>
      </c>
      <c r="L25" s="90" t="s">
        <v>25</v>
      </c>
      <c r="M25" s="90" t="s">
        <v>25</v>
      </c>
      <c r="N25" s="90" t="s">
        <v>25</v>
      </c>
    </row>
    <row r="26">
      <c r="A26" s="21"/>
      <c r="B26" s="22">
        <v>23.0</v>
      </c>
      <c r="C26" s="201" t="s">
        <v>64</v>
      </c>
      <c r="D26" s="201" t="s">
        <v>65</v>
      </c>
      <c r="E26" s="88" t="str">
        <f t="shared" si="2"/>
        <v>8번 중 8번 참여</v>
      </c>
      <c r="F26" s="89">
        <f t="shared" si="3"/>
        <v>1</v>
      </c>
      <c r="G26" s="90" t="s">
        <v>25</v>
      </c>
      <c r="H26" s="90" t="s">
        <v>25</v>
      </c>
      <c r="I26" s="90" t="s">
        <v>25</v>
      </c>
      <c r="J26" s="90" t="s">
        <v>25</v>
      </c>
      <c r="K26" s="90" t="s">
        <v>25</v>
      </c>
      <c r="L26" s="90" t="s">
        <v>25</v>
      </c>
      <c r="M26" s="90" t="s">
        <v>25</v>
      </c>
      <c r="N26" s="90" t="s">
        <v>25</v>
      </c>
    </row>
    <row r="27">
      <c r="A27" s="29"/>
      <c r="B27" s="30">
        <v>24.0</v>
      </c>
      <c r="C27" s="93" t="s">
        <v>335</v>
      </c>
      <c r="D27" s="93" t="s">
        <v>336</v>
      </c>
      <c r="E27" s="88" t="str">
        <f t="shared" si="2"/>
        <v>8번 중 2번 참여</v>
      </c>
      <c r="F27" s="89">
        <f t="shared" si="3"/>
        <v>0.25</v>
      </c>
      <c r="G27" s="90" t="s">
        <v>25</v>
      </c>
      <c r="H27" s="90" t="s">
        <v>25</v>
      </c>
      <c r="I27" s="41"/>
      <c r="J27" s="41"/>
      <c r="K27" s="41"/>
      <c r="L27" s="41"/>
      <c r="M27" s="41"/>
      <c r="N27" s="41"/>
    </row>
    <row r="28">
      <c r="A28" s="21"/>
      <c r="B28" s="22">
        <v>25.0</v>
      </c>
      <c r="C28" s="96" t="s">
        <v>420</v>
      </c>
      <c r="D28" s="201" t="s">
        <v>337</v>
      </c>
      <c r="E28" s="88" t="str">
        <f t="shared" si="2"/>
        <v>8번 중 2번 참여</v>
      </c>
      <c r="F28" s="89">
        <f t="shared" si="3"/>
        <v>0.25</v>
      </c>
      <c r="G28" s="90" t="s">
        <v>25</v>
      </c>
      <c r="H28" s="90" t="s">
        <v>25</v>
      </c>
      <c r="I28" s="41"/>
      <c r="J28" s="41"/>
      <c r="K28" s="41"/>
      <c r="L28" s="41"/>
      <c r="M28" s="41"/>
      <c r="N28" s="41"/>
    </row>
    <row r="29">
      <c r="A29" s="29"/>
      <c r="B29" s="30">
        <v>26.0</v>
      </c>
      <c r="C29" s="93" t="s">
        <v>74</v>
      </c>
      <c r="D29" s="93" t="s">
        <v>75</v>
      </c>
      <c r="E29" s="88" t="str">
        <f t="shared" si="2"/>
        <v>8번 중 6번 참여</v>
      </c>
      <c r="F29" s="89">
        <f t="shared" si="3"/>
        <v>0.75</v>
      </c>
      <c r="G29" s="90" t="s">
        <v>25</v>
      </c>
      <c r="H29" s="90" t="s">
        <v>25</v>
      </c>
      <c r="I29" s="90" t="s">
        <v>25</v>
      </c>
      <c r="J29" s="41"/>
      <c r="K29" s="90" t="s">
        <v>25</v>
      </c>
      <c r="L29" s="90" t="s">
        <v>25</v>
      </c>
      <c r="M29" s="90" t="s">
        <v>25</v>
      </c>
      <c r="N29" s="41"/>
    </row>
    <row r="30">
      <c r="A30" s="21"/>
      <c r="B30" s="22">
        <v>27.0</v>
      </c>
      <c r="C30" s="201" t="s">
        <v>76</v>
      </c>
      <c r="D30" s="206" t="s">
        <v>77</v>
      </c>
      <c r="E30" s="88" t="str">
        <f t="shared" si="2"/>
        <v>8번 중 8번 참여</v>
      </c>
      <c r="F30" s="89">
        <f t="shared" si="3"/>
        <v>1</v>
      </c>
      <c r="G30" s="90" t="s">
        <v>25</v>
      </c>
      <c r="H30" s="90" t="s">
        <v>25</v>
      </c>
      <c r="I30" s="90" t="s">
        <v>25</v>
      </c>
      <c r="J30" s="90" t="s">
        <v>25</v>
      </c>
      <c r="K30" s="90" t="s">
        <v>25</v>
      </c>
      <c r="L30" s="90" t="s">
        <v>25</v>
      </c>
      <c r="M30" s="90" t="s">
        <v>25</v>
      </c>
      <c r="N30" s="90" t="s">
        <v>25</v>
      </c>
    </row>
    <row r="31">
      <c r="A31" s="29"/>
      <c r="B31" s="30">
        <v>28.0</v>
      </c>
      <c r="C31" s="93" t="s">
        <v>78</v>
      </c>
      <c r="D31" s="93" t="s">
        <v>79</v>
      </c>
      <c r="E31" s="88" t="str">
        <f t="shared" si="2"/>
        <v>8번 중 8번 참여</v>
      </c>
      <c r="F31" s="89">
        <f t="shared" si="3"/>
        <v>1</v>
      </c>
      <c r="G31" s="90" t="s">
        <v>25</v>
      </c>
      <c r="H31" s="90" t="s">
        <v>25</v>
      </c>
      <c r="I31" s="90" t="s">
        <v>25</v>
      </c>
      <c r="J31" s="90" t="s">
        <v>25</v>
      </c>
      <c r="K31" s="90" t="s">
        <v>25</v>
      </c>
      <c r="L31" s="90" t="s">
        <v>25</v>
      </c>
      <c r="M31" s="90" t="s">
        <v>25</v>
      </c>
      <c r="N31" s="90" t="s">
        <v>25</v>
      </c>
    </row>
    <row r="32">
      <c r="A32" s="21"/>
      <c r="B32" s="22">
        <v>29.0</v>
      </c>
      <c r="C32" s="201" t="s">
        <v>130</v>
      </c>
      <c r="D32" s="96" t="s">
        <v>484</v>
      </c>
      <c r="E32" s="88" t="str">
        <f t="shared" si="2"/>
        <v>8번 중 1번 참여</v>
      </c>
      <c r="F32" s="89">
        <f t="shared" si="3"/>
        <v>0.125</v>
      </c>
      <c r="G32" s="41"/>
      <c r="H32" s="41"/>
      <c r="I32" s="90" t="s">
        <v>25</v>
      </c>
      <c r="J32" s="41"/>
      <c r="K32" s="41"/>
      <c r="L32" s="41"/>
      <c r="M32" s="41"/>
      <c r="N32" s="41"/>
    </row>
    <row r="33">
      <c r="A33" s="29"/>
      <c r="B33" s="30">
        <v>30.0</v>
      </c>
      <c r="C33" s="93" t="s">
        <v>81</v>
      </c>
      <c r="D33" s="93" t="s">
        <v>82</v>
      </c>
      <c r="E33" s="88" t="str">
        <f t="shared" si="2"/>
        <v>8번 중 8번 참여</v>
      </c>
      <c r="F33" s="89">
        <f t="shared" si="3"/>
        <v>1</v>
      </c>
      <c r="G33" s="90" t="s">
        <v>25</v>
      </c>
      <c r="H33" s="90" t="s">
        <v>25</v>
      </c>
      <c r="I33" s="90" t="s">
        <v>25</v>
      </c>
      <c r="J33" s="90" t="s">
        <v>25</v>
      </c>
      <c r="K33" s="90" t="s">
        <v>25</v>
      </c>
      <c r="L33" s="90" t="s">
        <v>25</v>
      </c>
      <c r="M33" s="90" t="s">
        <v>25</v>
      </c>
      <c r="N33" s="90" t="s">
        <v>25</v>
      </c>
    </row>
    <row r="34">
      <c r="A34" s="21"/>
      <c r="B34" s="22">
        <v>31.0</v>
      </c>
      <c r="C34" s="201" t="s">
        <v>83</v>
      </c>
      <c r="D34" s="201" t="s">
        <v>84</v>
      </c>
      <c r="E34" s="88" t="str">
        <f t="shared" si="2"/>
        <v>8번 중 8번 참여</v>
      </c>
      <c r="F34" s="89">
        <f t="shared" si="3"/>
        <v>1</v>
      </c>
      <c r="G34" s="90" t="s">
        <v>25</v>
      </c>
      <c r="H34" s="90" t="s">
        <v>25</v>
      </c>
      <c r="I34" s="90" t="s">
        <v>25</v>
      </c>
      <c r="J34" s="90" t="s">
        <v>25</v>
      </c>
      <c r="K34" s="90" t="s">
        <v>25</v>
      </c>
      <c r="L34" s="90" t="s">
        <v>25</v>
      </c>
      <c r="M34" s="90" t="s">
        <v>25</v>
      </c>
      <c r="N34" s="90" t="s">
        <v>25</v>
      </c>
    </row>
    <row r="35">
      <c r="A35" s="29"/>
      <c r="B35" s="30">
        <v>32.0</v>
      </c>
      <c r="C35" s="93" t="s">
        <v>85</v>
      </c>
      <c r="D35" s="93" t="s">
        <v>86</v>
      </c>
      <c r="E35" s="88" t="str">
        <f t="shared" si="2"/>
        <v>8번 중 6번 참여</v>
      </c>
      <c r="F35" s="89">
        <f t="shared" si="3"/>
        <v>0.75</v>
      </c>
      <c r="G35" s="90" t="s">
        <v>25</v>
      </c>
      <c r="H35" s="90" t="s">
        <v>25</v>
      </c>
      <c r="I35" s="90" t="s">
        <v>25</v>
      </c>
      <c r="J35" s="90" t="s">
        <v>25</v>
      </c>
      <c r="K35" s="41"/>
      <c r="L35" s="90" t="s">
        <v>25</v>
      </c>
      <c r="M35" s="41"/>
      <c r="N35" s="90" t="s">
        <v>25</v>
      </c>
    </row>
    <row r="36">
      <c r="A36" s="21"/>
      <c r="B36" s="22">
        <v>33.0</v>
      </c>
      <c r="C36" s="201" t="s">
        <v>87</v>
      </c>
      <c r="D36" s="206" t="s">
        <v>88</v>
      </c>
      <c r="E36" s="88" t="str">
        <f t="shared" si="2"/>
        <v>8번 중 6번 참여</v>
      </c>
      <c r="F36" s="89">
        <f t="shared" si="3"/>
        <v>0.75</v>
      </c>
      <c r="G36" s="90" t="s">
        <v>25</v>
      </c>
      <c r="H36" s="90" t="s">
        <v>25</v>
      </c>
      <c r="I36" s="41"/>
      <c r="J36" s="90" t="s">
        <v>25</v>
      </c>
      <c r="K36" s="41"/>
      <c r="L36" s="90" t="s">
        <v>25</v>
      </c>
      <c r="M36" s="90" t="s">
        <v>25</v>
      </c>
      <c r="N36" s="90" t="s">
        <v>25</v>
      </c>
    </row>
    <row r="37">
      <c r="A37" s="29"/>
      <c r="B37" s="30">
        <v>34.0</v>
      </c>
      <c r="C37" s="94" t="s">
        <v>421</v>
      </c>
      <c r="D37" s="93" t="s">
        <v>389</v>
      </c>
      <c r="E37" s="88" t="str">
        <f t="shared" si="2"/>
        <v>8번 중 3번 참여</v>
      </c>
      <c r="F37" s="89">
        <f t="shared" si="3"/>
        <v>0.375</v>
      </c>
      <c r="G37" s="90" t="s">
        <v>25</v>
      </c>
      <c r="H37" s="90" t="s">
        <v>80</v>
      </c>
      <c r="I37" s="90" t="s">
        <v>25</v>
      </c>
      <c r="J37" s="90" t="s">
        <v>25</v>
      </c>
      <c r="K37" s="41"/>
      <c r="L37" s="41"/>
      <c r="M37" s="41"/>
      <c r="N37" s="41"/>
    </row>
    <row r="38">
      <c r="A38" s="21"/>
      <c r="B38" s="22">
        <v>35.0</v>
      </c>
      <c r="C38" s="113" t="s">
        <v>91</v>
      </c>
      <c r="D38" s="113" t="s">
        <v>92</v>
      </c>
      <c r="E38" s="88" t="str">
        <f t="shared" si="2"/>
        <v>8번 중 8번 참여</v>
      </c>
      <c r="F38" s="89">
        <f t="shared" si="3"/>
        <v>1</v>
      </c>
      <c r="G38" s="90" t="s">
        <v>25</v>
      </c>
      <c r="H38" s="90" t="s">
        <v>25</v>
      </c>
      <c r="I38" s="90" t="s">
        <v>25</v>
      </c>
      <c r="J38" s="90" t="s">
        <v>25</v>
      </c>
      <c r="K38" s="90" t="s">
        <v>25</v>
      </c>
      <c r="L38" s="90" t="s">
        <v>25</v>
      </c>
      <c r="M38" s="90" t="s">
        <v>25</v>
      </c>
      <c r="N38" s="90" t="s">
        <v>25</v>
      </c>
    </row>
    <row r="39">
      <c r="A39" s="29"/>
      <c r="B39" s="30">
        <v>36.0</v>
      </c>
      <c r="C39" s="208" t="s">
        <v>93</v>
      </c>
      <c r="D39" s="208" t="s">
        <v>94</v>
      </c>
      <c r="E39" s="88" t="str">
        <f t="shared" si="2"/>
        <v>8번 중 8번 참여</v>
      </c>
      <c r="F39" s="89">
        <f t="shared" si="3"/>
        <v>1</v>
      </c>
      <c r="G39" s="90" t="s">
        <v>25</v>
      </c>
      <c r="H39" s="90" t="s">
        <v>25</v>
      </c>
      <c r="I39" s="90" t="s">
        <v>25</v>
      </c>
      <c r="J39" s="90" t="s">
        <v>25</v>
      </c>
      <c r="K39" s="90" t="s">
        <v>25</v>
      </c>
      <c r="L39" s="90" t="s">
        <v>25</v>
      </c>
      <c r="M39" s="90" t="s">
        <v>25</v>
      </c>
      <c r="N39" s="90" t="s">
        <v>25</v>
      </c>
    </row>
    <row r="40">
      <c r="A40" s="21"/>
      <c r="B40" s="22">
        <v>37.0</v>
      </c>
      <c r="C40" s="201" t="s">
        <v>124</v>
      </c>
      <c r="D40" s="201" t="s">
        <v>125</v>
      </c>
      <c r="E40" s="88" t="str">
        <f t="shared" si="2"/>
        <v>8번 중 8번 참여</v>
      </c>
      <c r="F40" s="89">
        <f t="shared" si="3"/>
        <v>1</v>
      </c>
      <c r="G40" s="90" t="s">
        <v>25</v>
      </c>
      <c r="H40" s="90" t="s">
        <v>25</v>
      </c>
      <c r="I40" s="90" t="s">
        <v>25</v>
      </c>
      <c r="J40" s="90" t="s">
        <v>25</v>
      </c>
      <c r="K40" s="90" t="s">
        <v>25</v>
      </c>
      <c r="L40" s="90" t="s">
        <v>25</v>
      </c>
      <c r="M40" s="90" t="s">
        <v>25</v>
      </c>
      <c r="N40" s="90" t="s">
        <v>25</v>
      </c>
    </row>
    <row r="41">
      <c r="A41" s="29"/>
      <c r="B41" s="30">
        <v>38.0</v>
      </c>
      <c r="C41" s="93" t="s">
        <v>128</v>
      </c>
      <c r="D41" s="93" t="s">
        <v>129</v>
      </c>
      <c r="E41" s="88" t="str">
        <f t="shared" si="2"/>
        <v>8번 중 8번 참여</v>
      </c>
      <c r="F41" s="89">
        <f t="shared" si="3"/>
        <v>1</v>
      </c>
      <c r="G41" s="90" t="s">
        <v>25</v>
      </c>
      <c r="H41" s="90" t="s">
        <v>25</v>
      </c>
      <c r="I41" s="90" t="s">
        <v>25</v>
      </c>
      <c r="J41" s="90" t="s">
        <v>25</v>
      </c>
      <c r="K41" s="90" t="s">
        <v>25</v>
      </c>
      <c r="L41" s="90" t="s">
        <v>25</v>
      </c>
      <c r="M41" s="90" t="s">
        <v>25</v>
      </c>
      <c r="N41" s="90" t="s">
        <v>25</v>
      </c>
    </row>
    <row r="42">
      <c r="A42" s="21"/>
      <c r="B42" s="22">
        <v>39.0</v>
      </c>
      <c r="C42" s="201" t="s">
        <v>99</v>
      </c>
      <c r="D42" s="201" t="s">
        <v>100</v>
      </c>
      <c r="E42" s="88" t="str">
        <f t="shared" si="2"/>
        <v>8번 중 7번 참여</v>
      </c>
      <c r="F42" s="89">
        <f t="shared" si="3"/>
        <v>0.875</v>
      </c>
      <c r="G42" s="90" t="s">
        <v>25</v>
      </c>
      <c r="H42" s="41"/>
      <c r="I42" s="90" t="s">
        <v>25</v>
      </c>
      <c r="J42" s="90" t="s">
        <v>25</v>
      </c>
      <c r="K42" s="90" t="s">
        <v>25</v>
      </c>
      <c r="L42" s="90" t="s">
        <v>25</v>
      </c>
      <c r="M42" s="90" t="s">
        <v>25</v>
      </c>
      <c r="N42" s="90" t="s">
        <v>25</v>
      </c>
    </row>
    <row r="43">
      <c r="A43" s="29"/>
      <c r="B43" s="30">
        <v>40.0</v>
      </c>
      <c r="C43" s="93" t="s">
        <v>347</v>
      </c>
      <c r="D43" s="93" t="s">
        <v>348</v>
      </c>
      <c r="E43" s="88" t="str">
        <f t="shared" si="2"/>
        <v>8번 중 8번 참여</v>
      </c>
      <c r="F43" s="89">
        <f t="shared" si="3"/>
        <v>1</v>
      </c>
      <c r="G43" s="90" t="s">
        <v>25</v>
      </c>
      <c r="H43" s="90" t="s">
        <v>25</v>
      </c>
      <c r="I43" s="90" t="s">
        <v>25</v>
      </c>
      <c r="J43" s="90" t="s">
        <v>25</v>
      </c>
      <c r="K43" s="90" t="s">
        <v>25</v>
      </c>
      <c r="L43" s="90" t="s">
        <v>25</v>
      </c>
      <c r="M43" s="90" t="s">
        <v>25</v>
      </c>
      <c r="N43" s="90" t="s">
        <v>25</v>
      </c>
    </row>
    <row r="44">
      <c r="A44" s="21"/>
      <c r="B44" s="22">
        <v>41.0</v>
      </c>
      <c r="C44" s="154" t="s">
        <v>95</v>
      </c>
      <c r="D44" s="154" t="s">
        <v>96</v>
      </c>
      <c r="E44" s="88" t="str">
        <f t="shared" si="2"/>
        <v>8번 중 8번 참여</v>
      </c>
      <c r="F44" s="89">
        <f t="shared" si="3"/>
        <v>1</v>
      </c>
      <c r="G44" s="90" t="s">
        <v>25</v>
      </c>
      <c r="H44" s="90" t="s">
        <v>25</v>
      </c>
      <c r="I44" s="90" t="s">
        <v>25</v>
      </c>
      <c r="J44" s="90" t="s">
        <v>25</v>
      </c>
      <c r="K44" s="90" t="s">
        <v>25</v>
      </c>
      <c r="L44" s="90" t="s">
        <v>25</v>
      </c>
      <c r="M44" s="90" t="s">
        <v>25</v>
      </c>
      <c r="N44" s="90" t="s">
        <v>25</v>
      </c>
    </row>
    <row r="45">
      <c r="A45" s="29"/>
      <c r="B45" s="121">
        <v>42.0</v>
      </c>
      <c r="C45" s="93" t="s">
        <v>97</v>
      </c>
      <c r="D45" s="93" t="s">
        <v>98</v>
      </c>
      <c r="E45" s="88" t="str">
        <f t="shared" si="2"/>
        <v>8번 중 8번 참여</v>
      </c>
      <c r="F45" s="89">
        <f t="shared" si="3"/>
        <v>1</v>
      </c>
      <c r="G45" s="90" t="s">
        <v>25</v>
      </c>
      <c r="H45" s="90" t="s">
        <v>25</v>
      </c>
      <c r="I45" s="90" t="s">
        <v>25</v>
      </c>
      <c r="J45" s="90" t="s">
        <v>25</v>
      </c>
      <c r="K45" s="90" t="s">
        <v>25</v>
      </c>
      <c r="L45" s="90" t="s">
        <v>25</v>
      </c>
      <c r="M45" s="90" t="s">
        <v>25</v>
      </c>
      <c r="N45" s="90" t="s">
        <v>25</v>
      </c>
    </row>
    <row r="46">
      <c r="A46" s="21"/>
      <c r="B46" s="251">
        <v>43.0</v>
      </c>
      <c r="C46" s="154" t="s">
        <v>349</v>
      </c>
      <c r="D46" s="154" t="s">
        <v>350</v>
      </c>
      <c r="E46" s="88" t="str">
        <f t="shared" si="2"/>
        <v>8번 중 1번 참여</v>
      </c>
      <c r="F46" s="89">
        <f t="shared" si="3"/>
        <v>0.125</v>
      </c>
      <c r="G46" s="90" t="s">
        <v>25</v>
      </c>
      <c r="H46" s="41"/>
      <c r="I46" s="41"/>
      <c r="J46" s="41"/>
      <c r="K46" s="41"/>
      <c r="L46" s="41"/>
      <c r="M46" s="41"/>
      <c r="N46" s="41"/>
    </row>
    <row r="47">
      <c r="A47" s="29"/>
      <c r="B47" s="30">
        <v>44.0</v>
      </c>
      <c r="C47" s="201" t="s">
        <v>103</v>
      </c>
      <c r="D47" s="201" t="s">
        <v>104</v>
      </c>
      <c r="E47" s="88" t="str">
        <f t="shared" si="2"/>
        <v>8번 중 8번 참여</v>
      </c>
      <c r="F47" s="89">
        <f t="shared" si="3"/>
        <v>1</v>
      </c>
      <c r="G47" s="90" t="s">
        <v>25</v>
      </c>
      <c r="H47" s="90" t="s">
        <v>25</v>
      </c>
      <c r="I47" s="90" t="s">
        <v>25</v>
      </c>
      <c r="J47" s="90" t="s">
        <v>25</v>
      </c>
      <c r="K47" s="90" t="s">
        <v>25</v>
      </c>
      <c r="L47" s="90" t="s">
        <v>25</v>
      </c>
      <c r="M47" s="90" t="s">
        <v>25</v>
      </c>
      <c r="N47" s="90" t="s">
        <v>25</v>
      </c>
    </row>
    <row r="48">
      <c r="A48" s="21"/>
      <c r="B48" s="22">
        <v>45.0</v>
      </c>
      <c r="C48" s="93" t="s">
        <v>351</v>
      </c>
      <c r="D48" s="93" t="s">
        <v>352</v>
      </c>
      <c r="E48" s="88" t="str">
        <f t="shared" si="2"/>
        <v>8번 중 8번 참여</v>
      </c>
      <c r="F48" s="89">
        <f t="shared" si="3"/>
        <v>1</v>
      </c>
      <c r="G48" s="90" t="s">
        <v>25</v>
      </c>
      <c r="H48" s="90" t="s">
        <v>25</v>
      </c>
      <c r="I48" s="90" t="s">
        <v>25</v>
      </c>
      <c r="J48" s="90" t="s">
        <v>25</v>
      </c>
      <c r="K48" s="90" t="s">
        <v>25</v>
      </c>
      <c r="L48" s="90" t="s">
        <v>25</v>
      </c>
      <c r="M48" s="90" t="s">
        <v>25</v>
      </c>
      <c r="N48" s="90" t="s">
        <v>25</v>
      </c>
    </row>
    <row r="49">
      <c r="A49" s="29"/>
      <c r="B49" s="30">
        <v>46.0</v>
      </c>
      <c r="C49" s="201" t="s">
        <v>284</v>
      </c>
      <c r="D49" s="201" t="s">
        <v>121</v>
      </c>
      <c r="E49" s="88" t="str">
        <f t="shared" si="2"/>
        <v>8번 중 8번 참여</v>
      </c>
      <c r="F49" s="89">
        <f t="shared" si="3"/>
        <v>1</v>
      </c>
      <c r="G49" s="90" t="s">
        <v>25</v>
      </c>
      <c r="H49" s="90" t="s">
        <v>25</v>
      </c>
      <c r="I49" s="90" t="s">
        <v>25</v>
      </c>
      <c r="J49" s="90" t="s">
        <v>25</v>
      </c>
      <c r="K49" s="90" t="s">
        <v>25</v>
      </c>
      <c r="L49" s="90" t="s">
        <v>25</v>
      </c>
      <c r="M49" s="90" t="s">
        <v>25</v>
      </c>
      <c r="N49" s="90" t="s">
        <v>25</v>
      </c>
    </row>
    <row r="50">
      <c r="A50" s="21"/>
      <c r="B50" s="22">
        <v>47.0</v>
      </c>
      <c r="C50" s="93" t="s">
        <v>101</v>
      </c>
      <c r="D50" s="93" t="s">
        <v>102</v>
      </c>
      <c r="E50" s="88" t="str">
        <f t="shared" si="2"/>
        <v>8번 중 7번 참여</v>
      </c>
      <c r="F50" s="89">
        <f t="shared" si="3"/>
        <v>0.875</v>
      </c>
      <c r="G50" s="90" t="s">
        <v>25</v>
      </c>
      <c r="H50" s="41"/>
      <c r="I50" s="90" t="s">
        <v>25</v>
      </c>
      <c r="J50" s="90" t="s">
        <v>25</v>
      </c>
      <c r="K50" s="90" t="s">
        <v>25</v>
      </c>
      <c r="L50" s="90" t="s">
        <v>25</v>
      </c>
      <c r="M50" s="90" t="s">
        <v>25</v>
      </c>
      <c r="N50" s="90" t="s">
        <v>25</v>
      </c>
    </row>
    <row r="51">
      <c r="A51" s="29"/>
      <c r="B51" s="30">
        <v>48.0</v>
      </c>
      <c r="C51" s="252" t="s">
        <v>281</v>
      </c>
      <c r="D51" s="253" t="s">
        <v>282</v>
      </c>
      <c r="E51" s="88" t="str">
        <f t="shared" si="2"/>
        <v>8번 중 8번 참여</v>
      </c>
      <c r="F51" s="89">
        <f t="shared" si="3"/>
        <v>1</v>
      </c>
      <c r="G51" s="90" t="s">
        <v>25</v>
      </c>
      <c r="H51" s="90" t="s">
        <v>25</v>
      </c>
      <c r="I51" s="90" t="s">
        <v>25</v>
      </c>
      <c r="J51" s="90" t="s">
        <v>25</v>
      </c>
      <c r="K51" s="90" t="s">
        <v>25</v>
      </c>
      <c r="L51" s="90" t="s">
        <v>25</v>
      </c>
      <c r="M51" s="90" t="s">
        <v>25</v>
      </c>
      <c r="N51" s="90" t="s">
        <v>25</v>
      </c>
    </row>
    <row r="52">
      <c r="A52" s="21"/>
      <c r="B52" s="22">
        <v>49.0</v>
      </c>
      <c r="C52" s="254" t="s">
        <v>357</v>
      </c>
      <c r="D52" s="254" t="s">
        <v>358</v>
      </c>
      <c r="E52" s="88" t="str">
        <f t="shared" si="2"/>
        <v/>
      </c>
      <c r="F52" s="89" t="str">
        <f t="shared" si="3"/>
        <v/>
      </c>
      <c r="G52" s="41"/>
      <c r="H52" s="41"/>
      <c r="I52" s="41"/>
      <c r="J52" s="41"/>
      <c r="K52" s="41"/>
      <c r="L52" s="41"/>
      <c r="M52" s="41"/>
      <c r="N52" s="41"/>
    </row>
    <row r="53">
      <c r="A53" s="29"/>
      <c r="B53" s="30">
        <v>50.0</v>
      </c>
      <c r="C53" s="201" t="s">
        <v>359</v>
      </c>
      <c r="D53" s="201" t="s">
        <v>360</v>
      </c>
      <c r="E53" s="88" t="str">
        <f t="shared" si="2"/>
        <v>8번 중 7번 참여</v>
      </c>
      <c r="F53" s="89">
        <f t="shared" si="3"/>
        <v>0.875</v>
      </c>
      <c r="G53" s="90" t="s">
        <v>25</v>
      </c>
      <c r="H53" s="90" t="s">
        <v>25</v>
      </c>
      <c r="I53" s="41"/>
      <c r="J53" s="90" t="s">
        <v>25</v>
      </c>
      <c r="K53" s="90" t="s">
        <v>25</v>
      </c>
      <c r="L53" s="90" t="s">
        <v>25</v>
      </c>
      <c r="M53" s="90" t="s">
        <v>25</v>
      </c>
      <c r="N53" s="90" t="s">
        <v>25</v>
      </c>
    </row>
    <row r="54">
      <c r="A54" s="21"/>
      <c r="B54" s="22">
        <v>51.0</v>
      </c>
      <c r="C54" s="93" t="s">
        <v>111</v>
      </c>
      <c r="D54" s="93" t="s">
        <v>112</v>
      </c>
      <c r="E54" s="88" t="str">
        <f t="shared" si="2"/>
        <v>8번 중 8번 참여</v>
      </c>
      <c r="F54" s="89">
        <f t="shared" si="3"/>
        <v>1</v>
      </c>
      <c r="G54" s="90" t="s">
        <v>25</v>
      </c>
      <c r="H54" s="90" t="s">
        <v>25</v>
      </c>
      <c r="I54" s="90" t="s">
        <v>25</v>
      </c>
      <c r="J54" s="90" t="s">
        <v>25</v>
      </c>
      <c r="K54" s="90" t="s">
        <v>25</v>
      </c>
      <c r="L54" s="90" t="s">
        <v>25</v>
      </c>
      <c r="M54" s="90" t="s">
        <v>25</v>
      </c>
      <c r="N54" s="90" t="s">
        <v>25</v>
      </c>
    </row>
    <row r="55">
      <c r="A55" s="255"/>
      <c r="B55" s="30">
        <v>52.0</v>
      </c>
      <c r="C55" s="201" t="s">
        <v>113</v>
      </c>
      <c r="D55" s="201" t="s">
        <v>114</v>
      </c>
      <c r="E55" s="88" t="str">
        <f t="shared" si="2"/>
        <v>8번 중 8번 참여</v>
      </c>
      <c r="F55" s="89">
        <f t="shared" si="3"/>
        <v>1</v>
      </c>
      <c r="G55" s="90" t="s">
        <v>25</v>
      </c>
      <c r="H55" s="90" t="s">
        <v>25</v>
      </c>
      <c r="I55" s="90" t="s">
        <v>25</v>
      </c>
      <c r="J55" s="90" t="s">
        <v>25</v>
      </c>
      <c r="K55" s="90" t="s">
        <v>25</v>
      </c>
      <c r="L55" s="90" t="s">
        <v>25</v>
      </c>
      <c r="M55" s="90" t="s">
        <v>25</v>
      </c>
      <c r="N55" s="90" t="s">
        <v>25</v>
      </c>
    </row>
    <row r="56">
      <c r="A56" s="21"/>
      <c r="B56" s="22">
        <v>53.0</v>
      </c>
      <c r="C56" s="93" t="s">
        <v>361</v>
      </c>
      <c r="D56" s="93" t="s">
        <v>362</v>
      </c>
      <c r="E56" s="88" t="str">
        <f t="shared" si="2"/>
        <v>8번 중 5번 참여</v>
      </c>
      <c r="F56" s="89">
        <f t="shared" si="3"/>
        <v>0.625</v>
      </c>
      <c r="G56" s="90" t="s">
        <v>25</v>
      </c>
      <c r="H56" s="41"/>
      <c r="I56" s="90" t="s">
        <v>25</v>
      </c>
      <c r="J56" s="90" t="s">
        <v>25</v>
      </c>
      <c r="K56" s="90" t="s">
        <v>25</v>
      </c>
      <c r="L56" s="41"/>
      <c r="M56" s="41"/>
      <c r="N56" s="90" t="s">
        <v>25</v>
      </c>
    </row>
    <row r="57">
      <c r="A57" s="29"/>
      <c r="B57" s="30">
        <v>54.0</v>
      </c>
      <c r="C57" s="201" t="s">
        <v>132</v>
      </c>
      <c r="D57" s="201" t="s">
        <v>133</v>
      </c>
      <c r="E57" s="88" t="str">
        <f t="shared" si="2"/>
        <v>8번 중 8번 참여</v>
      </c>
      <c r="F57" s="89">
        <f t="shared" si="3"/>
        <v>1</v>
      </c>
      <c r="G57" s="90" t="s">
        <v>25</v>
      </c>
      <c r="H57" s="90" t="s">
        <v>25</v>
      </c>
      <c r="I57" s="90" t="s">
        <v>25</v>
      </c>
      <c r="J57" s="90" t="s">
        <v>25</v>
      </c>
      <c r="K57" s="90" t="s">
        <v>25</v>
      </c>
      <c r="L57" s="90" t="s">
        <v>25</v>
      </c>
      <c r="M57" s="90" t="s">
        <v>25</v>
      </c>
      <c r="N57" s="90" t="s">
        <v>25</v>
      </c>
    </row>
    <row r="58">
      <c r="A58" s="235" t="s">
        <v>485</v>
      </c>
      <c r="B58" s="22">
        <v>55.0</v>
      </c>
      <c r="C58" s="93" t="s">
        <v>283</v>
      </c>
      <c r="D58" s="93" t="s">
        <v>119</v>
      </c>
      <c r="E58" s="88" t="str">
        <f t="shared" si="2"/>
        <v>8번 중 8번 참여</v>
      </c>
      <c r="F58" s="89">
        <f t="shared" si="3"/>
        <v>1</v>
      </c>
      <c r="G58" s="90" t="s">
        <v>25</v>
      </c>
      <c r="H58" s="90" t="s">
        <v>25</v>
      </c>
      <c r="I58" s="90" t="s">
        <v>25</v>
      </c>
      <c r="J58" s="90" t="s">
        <v>25</v>
      </c>
      <c r="K58" s="90" t="s">
        <v>25</v>
      </c>
      <c r="L58" s="90" t="s">
        <v>25</v>
      </c>
      <c r="M58" s="90" t="s">
        <v>25</v>
      </c>
      <c r="N58" s="90" t="s">
        <v>25</v>
      </c>
    </row>
    <row r="59">
      <c r="A59" s="29"/>
      <c r="B59" s="30">
        <v>56.0</v>
      </c>
      <c r="C59" s="201" t="s">
        <v>363</v>
      </c>
      <c r="D59" s="201" t="s">
        <v>364</v>
      </c>
      <c r="E59" s="88" t="str">
        <f t="shared" si="2"/>
        <v>8번 중 7번 참여</v>
      </c>
      <c r="F59" s="89">
        <f t="shared" si="3"/>
        <v>0.875</v>
      </c>
      <c r="G59" s="90" t="s">
        <v>25</v>
      </c>
      <c r="H59" s="90" t="s">
        <v>25</v>
      </c>
      <c r="I59" s="90" t="s">
        <v>25</v>
      </c>
      <c r="J59" s="90" t="s">
        <v>25</v>
      </c>
      <c r="K59" s="90" t="s">
        <v>25</v>
      </c>
      <c r="L59" s="41"/>
      <c r="M59" s="90" t="s">
        <v>25</v>
      </c>
      <c r="N59" s="90" t="s">
        <v>25</v>
      </c>
    </row>
    <row r="60">
      <c r="A60" s="21"/>
      <c r="B60" s="22">
        <v>57.0</v>
      </c>
      <c r="C60" s="98" t="s">
        <v>28</v>
      </c>
      <c r="D60" s="98" t="s">
        <v>70</v>
      </c>
      <c r="E60" s="88" t="str">
        <f t="shared" si="2"/>
        <v>8번 중 8번 참여</v>
      </c>
      <c r="F60" s="89">
        <f t="shared" si="3"/>
        <v>1</v>
      </c>
      <c r="G60" s="90" t="s">
        <v>25</v>
      </c>
      <c r="H60" s="90" t="s">
        <v>25</v>
      </c>
      <c r="I60" s="90" t="s">
        <v>25</v>
      </c>
      <c r="J60" s="90" t="s">
        <v>25</v>
      </c>
      <c r="K60" s="90" t="s">
        <v>25</v>
      </c>
      <c r="L60" s="90" t="s">
        <v>25</v>
      </c>
      <c r="M60" s="90" t="s">
        <v>25</v>
      </c>
      <c r="N60" s="90" t="s">
        <v>25</v>
      </c>
    </row>
    <row r="61">
      <c r="A61" s="29"/>
      <c r="B61" s="30">
        <v>58.0</v>
      </c>
      <c r="C61" s="93" t="s">
        <v>369</v>
      </c>
      <c r="D61" s="93" t="s">
        <v>108</v>
      </c>
      <c r="E61" s="88" t="str">
        <f t="shared" si="2"/>
        <v>8번 중 6번 참여</v>
      </c>
      <c r="F61" s="89">
        <f t="shared" si="3"/>
        <v>0.75</v>
      </c>
      <c r="G61" s="90" t="s">
        <v>25</v>
      </c>
      <c r="H61" s="41"/>
      <c r="I61" s="90" t="s">
        <v>25</v>
      </c>
      <c r="J61" s="90" t="s">
        <v>25</v>
      </c>
      <c r="K61" s="90" t="s">
        <v>25</v>
      </c>
      <c r="L61" s="41"/>
      <c r="M61" s="90" t="s">
        <v>25</v>
      </c>
      <c r="N61" s="90" t="s">
        <v>25</v>
      </c>
    </row>
    <row r="62">
      <c r="A62" s="21"/>
      <c r="B62" s="22">
        <v>59.0</v>
      </c>
      <c r="C62" s="201" t="s">
        <v>370</v>
      </c>
      <c r="D62" s="201" t="s">
        <v>139</v>
      </c>
      <c r="E62" s="88" t="str">
        <f t="shared" si="2"/>
        <v>8번 중 6번 참여</v>
      </c>
      <c r="F62" s="89">
        <f t="shared" si="3"/>
        <v>0.75</v>
      </c>
      <c r="G62" s="41"/>
      <c r="H62" s="41"/>
      <c r="I62" s="90" t="s">
        <v>25</v>
      </c>
      <c r="J62" s="90" t="s">
        <v>25</v>
      </c>
      <c r="K62" s="90" t="s">
        <v>25</v>
      </c>
      <c r="L62" s="90" t="s">
        <v>25</v>
      </c>
      <c r="M62" s="90" t="s">
        <v>25</v>
      </c>
      <c r="N62" s="90" t="s">
        <v>25</v>
      </c>
    </row>
    <row r="63">
      <c r="A63" s="29"/>
      <c r="B63" s="30">
        <v>60.0</v>
      </c>
      <c r="C63" s="93" t="s">
        <v>371</v>
      </c>
      <c r="D63" s="93" t="s">
        <v>137</v>
      </c>
      <c r="E63" s="88" t="str">
        <f t="shared" si="2"/>
        <v>8번 중 6번 참여</v>
      </c>
      <c r="F63" s="89">
        <f t="shared" si="3"/>
        <v>0.75</v>
      </c>
      <c r="G63" s="41"/>
      <c r="H63" s="41"/>
      <c r="I63" s="90" t="s">
        <v>25</v>
      </c>
      <c r="J63" s="90" t="s">
        <v>25</v>
      </c>
      <c r="K63" s="90" t="s">
        <v>25</v>
      </c>
      <c r="L63" s="90" t="s">
        <v>25</v>
      </c>
      <c r="M63" s="90" t="s">
        <v>25</v>
      </c>
      <c r="N63" s="90" t="s">
        <v>25</v>
      </c>
    </row>
    <row r="64">
      <c r="A64" s="21"/>
      <c r="B64" s="22">
        <v>61.0</v>
      </c>
      <c r="C64" s="201" t="s">
        <v>142</v>
      </c>
      <c r="D64" s="201" t="s">
        <v>143</v>
      </c>
      <c r="E64" s="88" t="str">
        <f t="shared" si="2"/>
        <v>8번 중 5번 참여</v>
      </c>
      <c r="F64" s="89">
        <f t="shared" si="3"/>
        <v>0.625</v>
      </c>
      <c r="G64" s="90" t="s">
        <v>25</v>
      </c>
      <c r="H64" s="90" t="s">
        <v>25</v>
      </c>
      <c r="I64" s="90" t="s">
        <v>25</v>
      </c>
      <c r="J64" s="90" t="s">
        <v>25</v>
      </c>
      <c r="K64" s="90" t="s">
        <v>25</v>
      </c>
      <c r="L64" s="41"/>
      <c r="M64" s="41"/>
      <c r="N64" s="41"/>
    </row>
    <row r="65">
      <c r="A65" s="29"/>
      <c r="B65" s="30">
        <v>62.0</v>
      </c>
      <c r="C65" s="93" t="s">
        <v>144</v>
      </c>
      <c r="D65" s="93" t="s">
        <v>145</v>
      </c>
      <c r="E65" s="88" t="str">
        <f t="shared" si="2"/>
        <v>8번 중 5번 참여</v>
      </c>
      <c r="F65" s="89">
        <f t="shared" si="3"/>
        <v>0.625</v>
      </c>
      <c r="G65" s="90" t="s">
        <v>25</v>
      </c>
      <c r="H65" s="90" t="s">
        <v>25</v>
      </c>
      <c r="I65" s="90" t="s">
        <v>25</v>
      </c>
      <c r="J65" s="90" t="s">
        <v>25</v>
      </c>
      <c r="K65" s="90" t="s">
        <v>25</v>
      </c>
      <c r="L65" s="41"/>
      <c r="M65" s="41"/>
      <c r="N65" s="41"/>
    </row>
    <row r="66">
      <c r="A66" s="21"/>
      <c r="B66" s="22">
        <v>63.0</v>
      </c>
      <c r="C66" s="201" t="s">
        <v>146</v>
      </c>
      <c r="D66" s="201" t="s">
        <v>147</v>
      </c>
      <c r="E66" s="88" t="str">
        <f t="shared" si="2"/>
        <v>8번 중 8번 참여</v>
      </c>
      <c r="F66" s="89">
        <f t="shared" si="3"/>
        <v>1</v>
      </c>
      <c r="G66" s="90" t="s">
        <v>25</v>
      </c>
      <c r="H66" s="90" t="s">
        <v>25</v>
      </c>
      <c r="I66" s="90" t="s">
        <v>25</v>
      </c>
      <c r="J66" s="90" t="s">
        <v>25</v>
      </c>
      <c r="K66" s="90" t="s">
        <v>25</v>
      </c>
      <c r="L66" s="90" t="s">
        <v>25</v>
      </c>
      <c r="M66" s="90" t="s">
        <v>25</v>
      </c>
      <c r="N66" s="90" t="s">
        <v>25</v>
      </c>
    </row>
    <row r="67">
      <c r="A67" s="29"/>
      <c r="B67" s="30">
        <v>64.0</v>
      </c>
      <c r="C67" s="93" t="s">
        <v>148</v>
      </c>
      <c r="D67" s="93" t="s">
        <v>149</v>
      </c>
      <c r="E67" s="88" t="str">
        <f t="shared" si="2"/>
        <v>8번 중 8번 참여</v>
      </c>
      <c r="F67" s="89">
        <f t="shared" si="3"/>
        <v>1</v>
      </c>
      <c r="G67" s="90" t="s">
        <v>25</v>
      </c>
      <c r="H67" s="90" t="s">
        <v>25</v>
      </c>
      <c r="I67" s="90" t="s">
        <v>25</v>
      </c>
      <c r="J67" s="90" t="s">
        <v>25</v>
      </c>
      <c r="K67" s="90" t="s">
        <v>25</v>
      </c>
      <c r="L67" s="90" t="s">
        <v>25</v>
      </c>
      <c r="M67" s="90" t="s">
        <v>25</v>
      </c>
      <c r="N67" s="90" t="s">
        <v>25</v>
      </c>
    </row>
    <row r="68">
      <c r="A68" s="21"/>
      <c r="B68" s="22">
        <v>65.0</v>
      </c>
      <c r="C68" s="201" t="s">
        <v>378</v>
      </c>
      <c r="D68" s="201" t="s">
        <v>379</v>
      </c>
      <c r="E68" s="88" t="str">
        <f t="shared" si="2"/>
        <v>8번 중 5번 참여</v>
      </c>
      <c r="F68" s="89">
        <f t="shared" si="3"/>
        <v>0.625</v>
      </c>
      <c r="G68" s="90" t="s">
        <v>25</v>
      </c>
      <c r="H68" s="90" t="s">
        <v>25</v>
      </c>
      <c r="I68" s="90" t="s">
        <v>25</v>
      </c>
      <c r="J68" s="41"/>
      <c r="K68" s="90" t="s">
        <v>25</v>
      </c>
      <c r="L68" s="90" t="s">
        <v>25</v>
      </c>
      <c r="M68" s="41"/>
      <c r="N68" s="41"/>
    </row>
    <row r="69">
      <c r="A69" s="29"/>
      <c r="B69" s="30">
        <v>66.0</v>
      </c>
      <c r="C69" s="101" t="s">
        <v>140</v>
      </c>
      <c r="D69" s="101" t="s">
        <v>141</v>
      </c>
      <c r="E69" s="88" t="str">
        <f t="shared" si="2"/>
        <v>8번 중 8번 참여</v>
      </c>
      <c r="F69" s="89">
        <f t="shared" si="3"/>
        <v>1</v>
      </c>
      <c r="G69" s="90" t="s">
        <v>25</v>
      </c>
      <c r="H69" s="90" t="s">
        <v>25</v>
      </c>
      <c r="I69" s="90" t="s">
        <v>25</v>
      </c>
      <c r="J69" s="90" t="s">
        <v>25</v>
      </c>
      <c r="K69" s="90" t="s">
        <v>25</v>
      </c>
      <c r="L69" s="90" t="s">
        <v>25</v>
      </c>
      <c r="M69" s="90" t="s">
        <v>25</v>
      </c>
      <c r="N69" s="90" t="s">
        <v>25</v>
      </c>
    </row>
    <row r="70">
      <c r="A70" s="21"/>
      <c r="B70" s="22">
        <v>67.0</v>
      </c>
      <c r="C70" s="95" t="s">
        <v>150</v>
      </c>
      <c r="D70" s="211" t="s">
        <v>151</v>
      </c>
      <c r="E70" s="88" t="str">
        <f t="shared" si="2"/>
        <v>8번 중 4번 참여</v>
      </c>
      <c r="F70" s="89">
        <f t="shared" si="3"/>
        <v>0.5</v>
      </c>
      <c r="G70" s="41"/>
      <c r="H70" s="90" t="s">
        <v>25</v>
      </c>
      <c r="I70" s="90" t="s">
        <v>25</v>
      </c>
      <c r="J70" s="41"/>
      <c r="K70" s="90" t="s">
        <v>25</v>
      </c>
      <c r="L70" s="90" t="s">
        <v>25</v>
      </c>
      <c r="M70" s="41"/>
      <c r="N70" s="41"/>
    </row>
    <row r="71">
      <c r="A71" s="29"/>
      <c r="B71" s="30">
        <v>68.0</v>
      </c>
      <c r="C71" s="101" t="s">
        <v>152</v>
      </c>
      <c r="D71" s="101" t="s">
        <v>153</v>
      </c>
      <c r="E71" s="88" t="str">
        <f t="shared" si="2"/>
        <v>8번 중 7번 참여</v>
      </c>
      <c r="F71" s="89">
        <f t="shared" si="3"/>
        <v>0.875</v>
      </c>
      <c r="G71" s="90" t="s">
        <v>25</v>
      </c>
      <c r="H71" s="90" t="s">
        <v>25</v>
      </c>
      <c r="I71" s="90" t="s">
        <v>25</v>
      </c>
      <c r="J71" s="41"/>
      <c r="K71" s="90" t="s">
        <v>25</v>
      </c>
      <c r="L71" s="90" t="s">
        <v>25</v>
      </c>
      <c r="M71" s="90" t="s">
        <v>25</v>
      </c>
      <c r="N71" s="90" t="s">
        <v>25</v>
      </c>
    </row>
    <row r="72">
      <c r="A72" s="21"/>
      <c r="B72" s="22">
        <v>69.0</v>
      </c>
      <c r="C72" s="95" t="s">
        <v>386</v>
      </c>
      <c r="D72" s="101" t="s">
        <v>387</v>
      </c>
      <c r="E72" s="88" t="str">
        <f t="shared" si="2"/>
        <v>8번 중 7번 참여</v>
      </c>
      <c r="F72" s="89">
        <f t="shared" si="3"/>
        <v>0.875</v>
      </c>
      <c r="G72" s="90" t="s">
        <v>25</v>
      </c>
      <c r="H72" s="90" t="s">
        <v>25</v>
      </c>
      <c r="I72" s="90" t="s">
        <v>25</v>
      </c>
      <c r="J72" s="90" t="s">
        <v>25</v>
      </c>
      <c r="K72" s="90" t="s">
        <v>25</v>
      </c>
      <c r="L72" s="90" t="s">
        <v>25</v>
      </c>
      <c r="M72" s="41"/>
      <c r="N72" s="90" t="s">
        <v>25</v>
      </c>
    </row>
    <row r="73">
      <c r="A73" s="29"/>
      <c r="B73" s="30">
        <v>70.0</v>
      </c>
      <c r="C73" s="101" t="s">
        <v>156</v>
      </c>
      <c r="D73" s="101" t="s">
        <v>157</v>
      </c>
      <c r="E73" s="88" t="str">
        <f t="shared" si="2"/>
        <v>8번 중 8번 참여</v>
      </c>
      <c r="F73" s="89">
        <f t="shared" si="3"/>
        <v>1</v>
      </c>
      <c r="G73" s="90" t="s">
        <v>25</v>
      </c>
      <c r="H73" s="90" t="s">
        <v>25</v>
      </c>
      <c r="I73" s="90" t="s">
        <v>25</v>
      </c>
      <c r="J73" s="90" t="s">
        <v>25</v>
      </c>
      <c r="K73" s="90" t="s">
        <v>25</v>
      </c>
      <c r="L73" s="90" t="s">
        <v>25</v>
      </c>
      <c r="M73" s="90" t="s">
        <v>25</v>
      </c>
      <c r="N73" s="90" t="s">
        <v>25</v>
      </c>
    </row>
    <row r="74">
      <c r="A74" s="21"/>
      <c r="B74" s="22">
        <v>71.0</v>
      </c>
      <c r="C74" s="213" t="s">
        <v>425</v>
      </c>
      <c r="D74" s="213" t="s">
        <v>426</v>
      </c>
      <c r="E74" s="88" t="str">
        <f t="shared" si="2"/>
        <v>8번 중 6번 참여</v>
      </c>
      <c r="F74" s="89">
        <f t="shared" si="3"/>
        <v>0.75</v>
      </c>
      <c r="G74" s="41"/>
      <c r="H74" s="41"/>
      <c r="I74" s="90" t="s">
        <v>25</v>
      </c>
      <c r="J74" s="90" t="s">
        <v>25</v>
      </c>
      <c r="K74" s="90" t="s">
        <v>25</v>
      </c>
      <c r="L74" s="90" t="s">
        <v>25</v>
      </c>
      <c r="M74" s="90" t="s">
        <v>25</v>
      </c>
      <c r="N74" s="90" t="s">
        <v>25</v>
      </c>
    </row>
    <row r="75">
      <c r="A75" s="29"/>
      <c r="B75" s="30">
        <v>72.0</v>
      </c>
      <c r="C75" s="256" t="s">
        <v>427</v>
      </c>
      <c r="D75" s="256" t="s">
        <v>428</v>
      </c>
      <c r="E75" s="88" t="str">
        <f t="shared" si="2"/>
        <v/>
      </c>
      <c r="F75" s="89" t="str">
        <f t="shared" si="3"/>
        <v/>
      </c>
      <c r="G75" s="90"/>
      <c r="H75" s="41"/>
      <c r="I75" s="41"/>
      <c r="J75" s="41"/>
      <c r="K75" s="41"/>
      <c r="L75" s="41"/>
      <c r="M75" s="41"/>
      <c r="N75" s="41"/>
    </row>
    <row r="76">
      <c r="A76" s="21"/>
      <c r="B76" s="22">
        <v>73.0</v>
      </c>
      <c r="C76" s="95" t="s">
        <v>162</v>
      </c>
      <c r="D76" s="95" t="s">
        <v>163</v>
      </c>
      <c r="E76" s="88" t="str">
        <f t="shared" si="2"/>
        <v>8번 중 8번 참여</v>
      </c>
      <c r="F76" s="89">
        <f t="shared" si="3"/>
        <v>1</v>
      </c>
      <c r="G76" s="90" t="s">
        <v>25</v>
      </c>
      <c r="H76" s="90" t="s">
        <v>25</v>
      </c>
      <c r="I76" s="90" t="s">
        <v>25</v>
      </c>
      <c r="J76" s="90" t="s">
        <v>25</v>
      </c>
      <c r="K76" s="90" t="s">
        <v>25</v>
      </c>
      <c r="L76" s="90" t="s">
        <v>25</v>
      </c>
      <c r="M76" s="90" t="s">
        <v>25</v>
      </c>
      <c r="N76" s="90" t="s">
        <v>25</v>
      </c>
    </row>
    <row r="77">
      <c r="A77" s="29"/>
      <c r="B77" s="30">
        <v>74.0</v>
      </c>
      <c r="C77" s="95" t="s">
        <v>164</v>
      </c>
      <c r="D77" s="95" t="s">
        <v>165</v>
      </c>
      <c r="E77" s="88" t="str">
        <f t="shared" si="2"/>
        <v>8번 중 8번 참여</v>
      </c>
      <c r="F77" s="89">
        <f t="shared" si="3"/>
        <v>1</v>
      </c>
      <c r="G77" s="90" t="s">
        <v>25</v>
      </c>
      <c r="H77" s="90" t="s">
        <v>25</v>
      </c>
      <c r="I77" s="90" t="s">
        <v>25</v>
      </c>
      <c r="J77" s="90" t="s">
        <v>25</v>
      </c>
      <c r="K77" s="90" t="s">
        <v>25</v>
      </c>
      <c r="L77" s="90" t="s">
        <v>25</v>
      </c>
      <c r="M77" s="90" t="s">
        <v>25</v>
      </c>
      <c r="N77" s="90" t="s">
        <v>25</v>
      </c>
    </row>
    <row r="78">
      <c r="A78" s="21"/>
      <c r="B78" s="22">
        <v>75.0</v>
      </c>
      <c r="C78" s="95" t="s">
        <v>66</v>
      </c>
      <c r="D78" s="101" t="s">
        <v>67</v>
      </c>
      <c r="E78" s="88" t="str">
        <f t="shared" si="2"/>
        <v>8번 중 8번 참여</v>
      </c>
      <c r="F78" s="89">
        <f t="shared" si="3"/>
        <v>1</v>
      </c>
      <c r="G78" s="90" t="s">
        <v>25</v>
      </c>
      <c r="H78" s="90" t="s">
        <v>25</v>
      </c>
      <c r="I78" s="90" t="s">
        <v>25</v>
      </c>
      <c r="J78" s="90" t="s">
        <v>25</v>
      </c>
      <c r="K78" s="90" t="s">
        <v>25</v>
      </c>
      <c r="L78" s="90" t="s">
        <v>25</v>
      </c>
      <c r="M78" s="90" t="s">
        <v>25</v>
      </c>
      <c r="N78" s="90" t="s">
        <v>25</v>
      </c>
    </row>
    <row r="79">
      <c r="A79" s="29"/>
      <c r="B79" s="30">
        <v>76.0</v>
      </c>
      <c r="C79" s="101" t="s">
        <v>134</v>
      </c>
      <c r="D79" s="214" t="s">
        <v>429</v>
      </c>
      <c r="E79" s="88" t="str">
        <f t="shared" si="2"/>
        <v>8번 중 8번 참여</v>
      </c>
      <c r="F79" s="89">
        <f t="shared" si="3"/>
        <v>1</v>
      </c>
      <c r="G79" s="126" t="s">
        <v>25</v>
      </c>
      <c r="H79" s="90" t="s">
        <v>25</v>
      </c>
      <c r="I79" s="90" t="s">
        <v>25</v>
      </c>
      <c r="J79" s="90" t="s">
        <v>25</v>
      </c>
      <c r="K79" s="90" t="s">
        <v>25</v>
      </c>
      <c r="L79" s="90" t="s">
        <v>25</v>
      </c>
      <c r="M79" s="90" t="s">
        <v>25</v>
      </c>
      <c r="N79" s="90" t="s">
        <v>25</v>
      </c>
    </row>
    <row r="80">
      <c r="A80" s="21"/>
      <c r="B80" s="22">
        <v>77.0</v>
      </c>
      <c r="C80" s="95" t="s">
        <v>154</v>
      </c>
      <c r="D80" s="95" t="s">
        <v>155</v>
      </c>
      <c r="E80" s="88" t="str">
        <f t="shared" si="2"/>
        <v>8번 중 8번 참여</v>
      </c>
      <c r="F80" s="89">
        <f t="shared" si="3"/>
        <v>1</v>
      </c>
      <c r="G80" s="90" t="s">
        <v>25</v>
      </c>
      <c r="H80" s="90" t="s">
        <v>25</v>
      </c>
      <c r="I80" s="90" t="s">
        <v>25</v>
      </c>
      <c r="J80" s="90" t="s">
        <v>25</v>
      </c>
      <c r="K80" s="90" t="s">
        <v>25</v>
      </c>
      <c r="L80" s="90" t="s">
        <v>25</v>
      </c>
      <c r="M80" s="90" t="s">
        <v>25</v>
      </c>
      <c r="N80" s="90" t="s">
        <v>25</v>
      </c>
    </row>
    <row r="81">
      <c r="A81" s="29"/>
      <c r="B81" s="30">
        <v>78.0</v>
      </c>
      <c r="C81" s="256" t="s">
        <v>430</v>
      </c>
      <c r="D81" s="256" t="s">
        <v>431</v>
      </c>
      <c r="E81" s="88" t="str">
        <f t="shared" si="2"/>
        <v/>
      </c>
      <c r="F81" s="89" t="str">
        <f t="shared" si="3"/>
        <v/>
      </c>
      <c r="G81" s="41"/>
      <c r="H81" s="41"/>
      <c r="I81" s="41"/>
      <c r="J81" s="41"/>
      <c r="K81" s="41"/>
      <c r="L81" s="41"/>
      <c r="M81" s="41"/>
      <c r="N81" s="41"/>
    </row>
    <row r="82">
      <c r="A82" s="21"/>
      <c r="B82" s="22">
        <v>79.0</v>
      </c>
      <c r="C82" s="101" t="s">
        <v>170</v>
      </c>
      <c r="D82" s="101" t="s">
        <v>171</v>
      </c>
      <c r="E82" s="88" t="str">
        <f t="shared" si="2"/>
        <v>8번 중 8번 참여</v>
      </c>
      <c r="F82" s="89">
        <f t="shared" si="3"/>
        <v>1</v>
      </c>
      <c r="G82" s="90" t="s">
        <v>25</v>
      </c>
      <c r="H82" s="90" t="s">
        <v>25</v>
      </c>
      <c r="I82" s="90" t="s">
        <v>25</v>
      </c>
      <c r="J82" s="90" t="s">
        <v>25</v>
      </c>
      <c r="K82" s="90" t="s">
        <v>25</v>
      </c>
      <c r="L82" s="90" t="s">
        <v>25</v>
      </c>
      <c r="M82" s="90" t="s">
        <v>25</v>
      </c>
      <c r="N82" s="90" t="s">
        <v>25</v>
      </c>
    </row>
    <row r="83">
      <c r="A83" s="29"/>
      <c r="B83" s="30">
        <v>80.0</v>
      </c>
      <c r="C83" s="101" t="s">
        <v>172</v>
      </c>
      <c r="D83" s="101" t="s">
        <v>173</v>
      </c>
      <c r="E83" s="88" t="str">
        <f t="shared" si="2"/>
        <v>8번 중 8번 참여</v>
      </c>
      <c r="F83" s="89">
        <f t="shared" si="3"/>
        <v>1</v>
      </c>
      <c r="G83" s="90" t="s">
        <v>25</v>
      </c>
      <c r="H83" s="90" t="s">
        <v>25</v>
      </c>
      <c r="I83" s="90" t="s">
        <v>25</v>
      </c>
      <c r="J83" s="90" t="s">
        <v>25</v>
      </c>
      <c r="K83" s="90" t="s">
        <v>25</v>
      </c>
      <c r="L83" s="90" t="s">
        <v>25</v>
      </c>
      <c r="M83" s="90" t="s">
        <v>25</v>
      </c>
      <c r="N83" s="90" t="s">
        <v>25</v>
      </c>
    </row>
    <row r="84">
      <c r="A84" s="21"/>
      <c r="B84" s="22">
        <v>81.0</v>
      </c>
      <c r="C84" s="216" t="s">
        <v>422</v>
      </c>
      <c r="D84" s="95" t="s">
        <v>423</v>
      </c>
      <c r="E84" s="88" t="str">
        <f t="shared" si="2"/>
        <v>8번 중 5번 참여</v>
      </c>
      <c r="F84" s="89">
        <f t="shared" si="3"/>
        <v>0.625</v>
      </c>
      <c r="G84" s="90" t="s">
        <v>25</v>
      </c>
      <c r="H84" s="90" t="s">
        <v>25</v>
      </c>
      <c r="I84" s="90" t="s">
        <v>25</v>
      </c>
      <c r="J84" s="41"/>
      <c r="K84" s="90" t="s">
        <v>25</v>
      </c>
      <c r="L84" s="90" t="s">
        <v>25</v>
      </c>
      <c r="M84" s="41"/>
      <c r="N84" s="41"/>
    </row>
    <row r="85">
      <c r="A85" s="29"/>
      <c r="B85" s="30">
        <v>82.0</v>
      </c>
      <c r="C85" s="218" t="s">
        <v>339</v>
      </c>
      <c r="D85" s="219" t="s">
        <v>340</v>
      </c>
      <c r="E85" s="88" t="str">
        <f t="shared" si="2"/>
        <v>8번 중 4번 참여</v>
      </c>
      <c r="F85" s="89">
        <f t="shared" si="3"/>
        <v>0.5</v>
      </c>
      <c r="G85" s="41"/>
      <c r="H85" s="41"/>
      <c r="I85" s="90" t="s">
        <v>25</v>
      </c>
      <c r="J85" s="90" t="s">
        <v>25</v>
      </c>
      <c r="K85" s="41"/>
      <c r="L85" s="90" t="s">
        <v>25</v>
      </c>
      <c r="M85" s="41"/>
      <c r="N85" s="90" t="s">
        <v>25</v>
      </c>
    </row>
    <row r="86">
      <c r="A86" s="21"/>
      <c r="B86" s="22">
        <v>83.0</v>
      </c>
      <c r="C86" s="95" t="s">
        <v>174</v>
      </c>
      <c r="D86" s="211" t="s">
        <v>175</v>
      </c>
      <c r="E86" s="88" t="str">
        <f t="shared" si="2"/>
        <v>8번 중 5번 참여</v>
      </c>
      <c r="F86" s="89">
        <f t="shared" si="3"/>
        <v>0.625</v>
      </c>
      <c r="G86" s="90" t="s">
        <v>25</v>
      </c>
      <c r="H86" s="90" t="s">
        <v>25</v>
      </c>
      <c r="I86" s="90" t="s">
        <v>25</v>
      </c>
      <c r="J86" s="90" t="s">
        <v>25</v>
      </c>
      <c r="K86" s="90" t="s">
        <v>25</v>
      </c>
      <c r="L86" s="41"/>
      <c r="M86" s="41"/>
      <c r="N86" s="41"/>
    </row>
    <row r="87">
      <c r="A87" s="29"/>
      <c r="B87" s="30">
        <v>84.0</v>
      </c>
      <c r="C87" s="101" t="s">
        <v>168</v>
      </c>
      <c r="D87" s="101" t="s">
        <v>169</v>
      </c>
      <c r="E87" s="88" t="str">
        <f t="shared" si="2"/>
        <v>8번 중 5번 참여</v>
      </c>
      <c r="F87" s="89">
        <f t="shared" si="3"/>
        <v>0.625</v>
      </c>
      <c r="G87" s="90" t="s">
        <v>25</v>
      </c>
      <c r="H87" s="41"/>
      <c r="I87" s="90" t="s">
        <v>25</v>
      </c>
      <c r="J87" s="90" t="s">
        <v>25</v>
      </c>
      <c r="K87" s="90" t="s">
        <v>25</v>
      </c>
      <c r="L87" s="90" t="s">
        <v>25</v>
      </c>
      <c r="M87" s="41"/>
      <c r="N87" s="90" t="s">
        <v>80</v>
      </c>
    </row>
    <row r="88">
      <c r="A88" s="21"/>
      <c r="B88" s="22">
        <v>85.0</v>
      </c>
      <c r="C88" s="201" t="s">
        <v>384</v>
      </c>
      <c r="D88" s="201" t="s">
        <v>385</v>
      </c>
      <c r="E88" s="88" t="str">
        <f t="shared" si="2"/>
        <v>8번 중 6번 참여</v>
      </c>
      <c r="F88" s="89">
        <f t="shared" si="3"/>
        <v>0.75</v>
      </c>
      <c r="G88" s="90" t="s">
        <v>25</v>
      </c>
      <c r="H88" s="90" t="s">
        <v>25</v>
      </c>
      <c r="I88" s="90" t="s">
        <v>25</v>
      </c>
      <c r="J88" s="41"/>
      <c r="K88" s="90" t="s">
        <v>25</v>
      </c>
      <c r="L88" s="90" t="s">
        <v>25</v>
      </c>
      <c r="M88" s="90" t="s">
        <v>25</v>
      </c>
      <c r="N88" s="41"/>
    </row>
    <row r="89">
      <c r="A89" s="29"/>
      <c r="B89" s="30">
        <v>86.0</v>
      </c>
      <c r="C89" s="101" t="s">
        <v>456</v>
      </c>
      <c r="D89" s="101" t="s">
        <v>457</v>
      </c>
      <c r="E89" s="236" t="s">
        <v>486</v>
      </c>
      <c r="F89" s="89">
        <f t="shared" si="3"/>
        <v>0.375</v>
      </c>
      <c r="G89" s="90" t="s">
        <v>25</v>
      </c>
      <c r="H89" s="41"/>
      <c r="I89" s="41"/>
      <c r="J89" s="90" t="s">
        <v>25</v>
      </c>
      <c r="K89" s="90" t="s">
        <v>25</v>
      </c>
      <c r="L89" s="41"/>
      <c r="M89" s="41"/>
      <c r="N89" s="41"/>
    </row>
    <row r="90">
      <c r="A90" s="21"/>
      <c r="B90" s="22">
        <v>87.0</v>
      </c>
      <c r="C90" s="95" t="s">
        <v>459</v>
      </c>
      <c r="D90" s="95" t="s">
        <v>375</v>
      </c>
      <c r="E90" s="88" t="str">
        <f t="shared" ref="E90:E123" si="4">IF(COUNTIF(G90:N90, "완료")=0, "", COUNTIF($G$4:$N$4, "완료") &amp; "번 중 " &amp; COUNTIF(G90:N90, "완료") &amp; "번 참여")
</f>
        <v>8번 중 5번 참여</v>
      </c>
      <c r="F90" s="89">
        <f t="shared" si="3"/>
        <v>0.625</v>
      </c>
      <c r="G90" s="90" t="s">
        <v>25</v>
      </c>
      <c r="H90" s="90" t="s">
        <v>25</v>
      </c>
      <c r="I90" s="90" t="s">
        <v>25</v>
      </c>
      <c r="J90" s="90" t="s">
        <v>25</v>
      </c>
      <c r="K90" s="90" t="s">
        <v>25</v>
      </c>
      <c r="L90" s="41"/>
      <c r="M90" s="41"/>
      <c r="N90" s="41"/>
    </row>
    <row r="91">
      <c r="A91" s="29"/>
      <c r="B91" s="30">
        <v>88.0</v>
      </c>
      <c r="C91" s="237" t="s">
        <v>180</v>
      </c>
      <c r="D91" s="237" t="s">
        <v>181</v>
      </c>
      <c r="E91" s="88" t="str">
        <f t="shared" si="4"/>
        <v>8번 중 8번 참여</v>
      </c>
      <c r="F91" s="89">
        <f t="shared" si="3"/>
        <v>1</v>
      </c>
      <c r="G91" s="90" t="s">
        <v>25</v>
      </c>
      <c r="H91" s="90" t="s">
        <v>25</v>
      </c>
      <c r="I91" s="90" t="s">
        <v>25</v>
      </c>
      <c r="J91" s="90" t="s">
        <v>25</v>
      </c>
      <c r="K91" s="90" t="s">
        <v>25</v>
      </c>
      <c r="L91" s="90" t="s">
        <v>25</v>
      </c>
      <c r="M91" s="90" t="s">
        <v>25</v>
      </c>
      <c r="N91" s="90" t="s">
        <v>25</v>
      </c>
    </row>
    <row r="92">
      <c r="A92" s="21"/>
      <c r="B92" s="22">
        <v>89.0</v>
      </c>
      <c r="C92" s="238" t="s">
        <v>460</v>
      </c>
      <c r="D92" s="238" t="s">
        <v>461</v>
      </c>
      <c r="E92" s="88" t="str">
        <f t="shared" si="4"/>
        <v>8번 중 6번 참여</v>
      </c>
      <c r="F92" s="89">
        <f t="shared" si="3"/>
        <v>0.75</v>
      </c>
      <c r="G92" s="41"/>
      <c r="H92" s="41"/>
      <c r="I92" s="90" t="s">
        <v>25</v>
      </c>
      <c r="J92" s="90" t="s">
        <v>25</v>
      </c>
      <c r="K92" s="90" t="s">
        <v>25</v>
      </c>
      <c r="L92" s="90" t="s">
        <v>25</v>
      </c>
      <c r="M92" s="90" t="s">
        <v>25</v>
      </c>
      <c r="N92" s="90" t="s">
        <v>25</v>
      </c>
    </row>
    <row r="93">
      <c r="A93" s="29"/>
      <c r="B93" s="30">
        <v>90.0</v>
      </c>
      <c r="C93" s="239" t="s">
        <v>462</v>
      </c>
      <c r="D93" s="240" t="s">
        <v>463</v>
      </c>
      <c r="E93" s="88" t="str">
        <f t="shared" si="4"/>
        <v>8번 중 4번 참여</v>
      </c>
      <c r="F93" s="89">
        <f t="shared" si="3"/>
        <v>0.5</v>
      </c>
      <c r="G93" s="90" t="s">
        <v>25</v>
      </c>
      <c r="H93" s="90" t="s">
        <v>25</v>
      </c>
      <c r="I93" s="41"/>
      <c r="J93" s="41"/>
      <c r="K93" s="41"/>
      <c r="L93" s="90" t="s">
        <v>25</v>
      </c>
      <c r="M93" s="41"/>
      <c r="N93" s="90" t="s">
        <v>25</v>
      </c>
    </row>
    <row r="94">
      <c r="A94" s="21"/>
      <c r="B94" s="145">
        <v>91.0</v>
      </c>
      <c r="C94" s="238" t="s">
        <v>464</v>
      </c>
      <c r="D94" s="238" t="s">
        <v>465</v>
      </c>
      <c r="E94" s="88" t="str">
        <f t="shared" si="4"/>
        <v>8번 중 1번 참여</v>
      </c>
      <c r="F94" s="89">
        <f t="shared" si="3"/>
        <v>0.125</v>
      </c>
      <c r="G94" s="41"/>
      <c r="H94" s="41"/>
      <c r="I94" s="90" t="s">
        <v>25</v>
      </c>
      <c r="J94" s="90" t="s">
        <v>80</v>
      </c>
      <c r="K94" s="41"/>
      <c r="L94" s="41"/>
      <c r="M94" s="41"/>
      <c r="N94" s="41"/>
    </row>
    <row r="95">
      <c r="A95" s="29"/>
      <c r="B95" s="30">
        <v>92.0</v>
      </c>
      <c r="C95" s="256" t="s">
        <v>487</v>
      </c>
      <c r="D95" s="256" t="s">
        <v>488</v>
      </c>
      <c r="E95" s="88" t="str">
        <f t="shared" si="4"/>
        <v/>
      </c>
      <c r="F95" s="89" t="str">
        <f t="shared" si="3"/>
        <v/>
      </c>
      <c r="G95" s="41"/>
      <c r="H95" s="41"/>
      <c r="I95" s="41"/>
      <c r="J95" s="41"/>
      <c r="K95" s="41"/>
      <c r="L95" s="41"/>
      <c r="M95" s="41"/>
      <c r="N95" s="41"/>
    </row>
    <row r="96">
      <c r="A96" s="21"/>
      <c r="B96" s="22">
        <v>93.0</v>
      </c>
      <c r="C96" s="111" t="s">
        <v>489</v>
      </c>
      <c r="D96" s="257" t="s">
        <v>490</v>
      </c>
      <c r="E96" s="88" t="str">
        <f t="shared" si="4"/>
        <v>8번 중 8번 참여</v>
      </c>
      <c r="F96" s="89">
        <f t="shared" si="3"/>
        <v>1</v>
      </c>
      <c r="G96" s="90" t="s">
        <v>25</v>
      </c>
      <c r="H96" s="90" t="s">
        <v>25</v>
      </c>
      <c r="I96" s="90" t="s">
        <v>25</v>
      </c>
      <c r="J96" s="90" t="s">
        <v>25</v>
      </c>
      <c r="K96" s="90" t="s">
        <v>25</v>
      </c>
      <c r="L96" s="90" t="s">
        <v>25</v>
      </c>
      <c r="M96" s="90" t="s">
        <v>25</v>
      </c>
      <c r="N96" s="90" t="s">
        <v>25</v>
      </c>
    </row>
    <row r="97">
      <c r="A97" s="29"/>
      <c r="B97" s="30">
        <v>94.0</v>
      </c>
      <c r="C97" s="113" t="s">
        <v>491</v>
      </c>
      <c r="D97" s="258" t="s">
        <v>492</v>
      </c>
      <c r="E97" s="88" t="str">
        <f t="shared" si="4"/>
        <v>8번 중 5번 참여</v>
      </c>
      <c r="F97" s="89">
        <f t="shared" si="3"/>
        <v>0.625</v>
      </c>
      <c r="G97" s="90" t="s">
        <v>25</v>
      </c>
      <c r="H97" s="41"/>
      <c r="I97" s="90" t="s">
        <v>25</v>
      </c>
      <c r="J97" s="90" t="s">
        <v>25</v>
      </c>
      <c r="K97" s="90" t="s">
        <v>25</v>
      </c>
      <c r="L97" s="90" t="s">
        <v>25</v>
      </c>
      <c r="M97" s="41"/>
      <c r="N97" s="41"/>
    </row>
    <row r="98">
      <c r="A98" s="21"/>
      <c r="B98" s="22">
        <v>95.0</v>
      </c>
      <c r="C98" s="111" t="s">
        <v>126</v>
      </c>
      <c r="D98" s="259" t="s">
        <v>127</v>
      </c>
      <c r="E98" s="88" t="str">
        <f t="shared" si="4"/>
        <v>8번 중 8번 참여</v>
      </c>
      <c r="F98" s="89">
        <f t="shared" si="3"/>
        <v>1</v>
      </c>
      <c r="G98" s="90" t="s">
        <v>25</v>
      </c>
      <c r="H98" s="90" t="s">
        <v>25</v>
      </c>
      <c r="I98" s="90" t="s">
        <v>25</v>
      </c>
      <c r="J98" s="90" t="s">
        <v>25</v>
      </c>
      <c r="K98" s="90" t="s">
        <v>25</v>
      </c>
      <c r="L98" s="90" t="s">
        <v>25</v>
      </c>
      <c r="M98" s="90" t="s">
        <v>25</v>
      </c>
      <c r="N98" s="90" t="s">
        <v>25</v>
      </c>
    </row>
    <row r="99">
      <c r="A99" s="29"/>
      <c r="B99" s="30">
        <v>96.0</v>
      </c>
      <c r="C99" s="239" t="s">
        <v>493</v>
      </c>
      <c r="D99" s="260" t="s">
        <v>206</v>
      </c>
      <c r="E99" s="88" t="str">
        <f t="shared" si="4"/>
        <v>8번 중 3번 참여</v>
      </c>
      <c r="F99" s="89">
        <f t="shared" si="3"/>
        <v>0.375</v>
      </c>
      <c r="G99" s="90" t="s">
        <v>25</v>
      </c>
      <c r="H99" s="90" t="s">
        <v>25</v>
      </c>
      <c r="I99" s="90" t="s">
        <v>25</v>
      </c>
      <c r="J99" s="41"/>
      <c r="K99" s="41"/>
      <c r="L99" s="41"/>
      <c r="M99" s="41"/>
      <c r="N99" s="41"/>
    </row>
    <row r="100">
      <c r="A100" s="21"/>
      <c r="B100" s="22">
        <v>97.0</v>
      </c>
      <c r="C100" s="238" t="s">
        <v>182</v>
      </c>
      <c r="D100" s="238" t="s">
        <v>183</v>
      </c>
      <c r="E100" s="88" t="str">
        <f t="shared" si="4"/>
        <v>8번 중 7번 참여</v>
      </c>
      <c r="F100" s="89">
        <f t="shared" si="3"/>
        <v>0.875</v>
      </c>
      <c r="G100" s="41"/>
      <c r="H100" s="90" t="s">
        <v>25</v>
      </c>
      <c r="I100" s="90" t="s">
        <v>25</v>
      </c>
      <c r="J100" s="90" t="s">
        <v>25</v>
      </c>
      <c r="K100" s="90" t="s">
        <v>25</v>
      </c>
      <c r="L100" s="90" t="s">
        <v>25</v>
      </c>
      <c r="M100" s="90" t="s">
        <v>25</v>
      </c>
      <c r="N100" s="90" t="s">
        <v>25</v>
      </c>
    </row>
    <row r="101">
      <c r="A101" s="29"/>
      <c r="B101" s="30">
        <v>98.0</v>
      </c>
      <c r="C101" s="261"/>
      <c r="D101" s="261"/>
      <c r="E101" s="88" t="str">
        <f t="shared" si="4"/>
        <v/>
      </c>
      <c r="F101" s="89" t="str">
        <f t="shared" si="3"/>
        <v/>
      </c>
      <c r="G101" s="41"/>
      <c r="H101" s="41"/>
      <c r="I101" s="41"/>
      <c r="J101" s="41"/>
      <c r="K101" s="41"/>
      <c r="L101" s="41"/>
      <c r="M101" s="41"/>
      <c r="N101" s="41"/>
    </row>
    <row r="102">
      <c r="A102" s="21"/>
      <c r="B102" s="22">
        <v>99.0</v>
      </c>
      <c r="C102" s="262"/>
      <c r="D102" s="262"/>
      <c r="E102" s="88" t="str">
        <f t="shared" si="4"/>
        <v/>
      </c>
      <c r="F102" s="89" t="str">
        <f t="shared" si="3"/>
        <v/>
      </c>
      <c r="G102" s="41"/>
      <c r="H102" s="41"/>
      <c r="I102" s="41"/>
      <c r="J102" s="41"/>
      <c r="K102" s="41"/>
      <c r="L102" s="41"/>
      <c r="M102" s="41"/>
      <c r="N102" s="41"/>
    </row>
    <row r="103">
      <c r="A103" s="29"/>
      <c r="B103" s="30">
        <v>100.0</v>
      </c>
      <c r="C103" s="261"/>
      <c r="D103" s="261"/>
      <c r="E103" s="88" t="str">
        <f t="shared" si="4"/>
        <v/>
      </c>
      <c r="F103" s="89" t="str">
        <f t="shared" si="3"/>
        <v/>
      </c>
      <c r="G103" s="41"/>
      <c r="H103" s="41"/>
      <c r="I103" s="41"/>
      <c r="J103" s="41"/>
      <c r="K103" s="41"/>
      <c r="L103" s="41"/>
      <c r="M103" s="41"/>
      <c r="N103" s="41"/>
    </row>
    <row r="104">
      <c r="A104" s="21"/>
      <c r="B104" s="22">
        <v>101.0</v>
      </c>
      <c r="C104" s="262"/>
      <c r="D104" s="262"/>
      <c r="E104" s="88" t="str">
        <f t="shared" si="4"/>
        <v/>
      </c>
      <c r="F104" s="89" t="str">
        <f t="shared" si="3"/>
        <v/>
      </c>
      <c r="G104" s="41"/>
      <c r="H104" s="41"/>
      <c r="I104" s="41"/>
      <c r="J104" s="41"/>
      <c r="K104" s="41"/>
      <c r="L104" s="41"/>
      <c r="M104" s="41"/>
      <c r="N104" s="41"/>
    </row>
    <row r="105">
      <c r="A105" s="29"/>
      <c r="B105" s="30">
        <v>102.0</v>
      </c>
      <c r="C105" s="261"/>
      <c r="D105" s="261"/>
      <c r="E105" s="88" t="str">
        <f t="shared" si="4"/>
        <v/>
      </c>
      <c r="F105" s="89" t="str">
        <f t="shared" si="3"/>
        <v/>
      </c>
      <c r="G105" s="41"/>
      <c r="H105" s="41"/>
      <c r="I105" s="41"/>
      <c r="J105" s="41"/>
      <c r="K105" s="41"/>
      <c r="L105" s="41"/>
      <c r="M105" s="41"/>
      <c r="N105" s="41"/>
    </row>
    <row r="106">
      <c r="A106" s="21"/>
      <c r="B106" s="22">
        <v>103.0</v>
      </c>
      <c r="C106" s="68"/>
      <c r="D106" s="68"/>
      <c r="E106" s="88" t="str">
        <f t="shared" si="4"/>
        <v/>
      </c>
      <c r="F106" s="89" t="str">
        <f t="shared" si="3"/>
        <v/>
      </c>
      <c r="G106" s="41"/>
      <c r="H106" s="41"/>
      <c r="I106" s="41"/>
      <c r="J106" s="41"/>
      <c r="K106" s="41"/>
      <c r="L106" s="41"/>
      <c r="M106" s="41"/>
      <c r="N106" s="41"/>
    </row>
    <row r="107">
      <c r="A107" s="29"/>
      <c r="B107" s="30">
        <v>104.0</v>
      </c>
      <c r="C107" s="67"/>
      <c r="D107" s="67"/>
      <c r="E107" s="88" t="str">
        <f t="shared" si="4"/>
        <v/>
      </c>
      <c r="F107" s="89" t="str">
        <f t="shared" si="3"/>
        <v/>
      </c>
      <c r="G107" s="41"/>
      <c r="H107" s="41"/>
      <c r="I107" s="41"/>
      <c r="J107" s="41"/>
      <c r="K107" s="41"/>
      <c r="L107" s="41"/>
      <c r="M107" s="41"/>
      <c r="N107" s="41"/>
    </row>
    <row r="108">
      <c r="A108" s="21"/>
      <c r="B108" s="22">
        <v>105.0</v>
      </c>
      <c r="C108" s="68"/>
      <c r="D108" s="68"/>
      <c r="E108" s="88" t="str">
        <f t="shared" si="4"/>
        <v/>
      </c>
      <c r="F108" s="89" t="str">
        <f t="shared" si="3"/>
        <v/>
      </c>
      <c r="G108" s="41"/>
      <c r="H108" s="41"/>
      <c r="I108" s="41"/>
      <c r="J108" s="41"/>
      <c r="K108" s="41"/>
      <c r="L108" s="41"/>
      <c r="M108" s="41"/>
      <c r="N108" s="41"/>
    </row>
    <row r="109">
      <c r="A109" s="29"/>
      <c r="B109" s="30">
        <v>106.0</v>
      </c>
      <c r="C109" s="67"/>
      <c r="D109" s="67"/>
      <c r="E109" s="88" t="str">
        <f t="shared" si="4"/>
        <v/>
      </c>
      <c r="F109" s="89" t="str">
        <f t="shared" si="3"/>
        <v/>
      </c>
      <c r="G109" s="41"/>
      <c r="H109" s="41"/>
      <c r="I109" s="41"/>
      <c r="J109" s="41"/>
      <c r="K109" s="41"/>
      <c r="L109" s="41"/>
      <c r="M109" s="41"/>
      <c r="N109" s="41"/>
    </row>
    <row r="110">
      <c r="A110" s="21"/>
      <c r="B110" s="22">
        <v>107.0</v>
      </c>
      <c r="C110" s="68"/>
      <c r="D110" s="68"/>
      <c r="E110" s="88" t="str">
        <f t="shared" si="4"/>
        <v/>
      </c>
      <c r="F110" s="89" t="str">
        <f t="shared" si="3"/>
        <v/>
      </c>
      <c r="G110" s="41"/>
      <c r="H110" s="41"/>
      <c r="I110" s="41"/>
      <c r="J110" s="41"/>
      <c r="K110" s="41"/>
      <c r="L110" s="41"/>
      <c r="M110" s="41"/>
      <c r="N110" s="41"/>
    </row>
    <row r="111">
      <c r="A111" s="29"/>
      <c r="B111" s="30">
        <v>108.0</v>
      </c>
      <c r="C111" s="67"/>
      <c r="D111" s="67"/>
      <c r="E111" s="88" t="str">
        <f t="shared" si="4"/>
        <v/>
      </c>
      <c r="F111" s="89" t="str">
        <f t="shared" si="3"/>
        <v/>
      </c>
      <c r="G111" s="41"/>
      <c r="H111" s="41"/>
      <c r="I111" s="41"/>
      <c r="J111" s="41"/>
      <c r="K111" s="41"/>
      <c r="L111" s="41"/>
      <c r="M111" s="41"/>
      <c r="N111" s="41"/>
    </row>
    <row r="112">
      <c r="A112" s="21"/>
      <c r="B112" s="22">
        <v>109.0</v>
      </c>
      <c r="C112" s="68"/>
      <c r="D112" s="68"/>
      <c r="E112" s="88" t="str">
        <f t="shared" si="4"/>
        <v/>
      </c>
      <c r="F112" s="89" t="str">
        <f t="shared" si="3"/>
        <v/>
      </c>
      <c r="G112" s="41"/>
      <c r="H112" s="41"/>
      <c r="I112" s="41"/>
      <c r="J112" s="41"/>
      <c r="K112" s="41"/>
      <c r="L112" s="41"/>
      <c r="M112" s="41"/>
      <c r="N112" s="41"/>
    </row>
    <row r="113">
      <c r="A113" s="29"/>
      <c r="B113" s="30">
        <v>110.0</v>
      </c>
      <c r="C113" s="67"/>
      <c r="D113" s="67"/>
      <c r="E113" s="88" t="str">
        <f t="shared" si="4"/>
        <v/>
      </c>
      <c r="F113" s="89" t="str">
        <f t="shared" si="3"/>
        <v/>
      </c>
      <c r="G113" s="41"/>
      <c r="H113" s="41"/>
      <c r="I113" s="41"/>
      <c r="J113" s="41"/>
      <c r="K113" s="41"/>
      <c r="L113" s="41"/>
      <c r="M113" s="41"/>
      <c r="N113" s="41"/>
    </row>
    <row r="114">
      <c r="A114" s="21"/>
      <c r="B114" s="22">
        <v>111.0</v>
      </c>
      <c r="C114" s="68"/>
      <c r="D114" s="68"/>
      <c r="E114" s="88" t="str">
        <f t="shared" si="4"/>
        <v/>
      </c>
      <c r="F114" s="89" t="str">
        <f t="shared" si="3"/>
        <v/>
      </c>
      <c r="G114" s="41"/>
      <c r="H114" s="41"/>
      <c r="I114" s="41"/>
      <c r="J114" s="41"/>
      <c r="K114" s="41"/>
      <c r="L114" s="41"/>
      <c r="M114" s="41"/>
      <c r="N114" s="41"/>
    </row>
    <row r="115">
      <c r="A115" s="29"/>
      <c r="B115" s="30">
        <v>112.0</v>
      </c>
      <c r="C115" s="67"/>
      <c r="D115" s="67"/>
      <c r="E115" s="88" t="str">
        <f t="shared" si="4"/>
        <v/>
      </c>
      <c r="F115" s="89" t="str">
        <f t="shared" si="3"/>
        <v/>
      </c>
      <c r="G115" s="41"/>
      <c r="H115" s="41"/>
      <c r="I115" s="41"/>
      <c r="J115" s="41"/>
      <c r="K115" s="41"/>
      <c r="L115" s="41"/>
      <c r="M115" s="41"/>
      <c r="N115" s="41"/>
    </row>
    <row r="116">
      <c r="A116" s="21"/>
      <c r="B116" s="22">
        <v>113.0</v>
      </c>
      <c r="C116" s="68"/>
      <c r="D116" s="68"/>
      <c r="E116" s="88" t="str">
        <f t="shared" si="4"/>
        <v/>
      </c>
      <c r="F116" s="89" t="str">
        <f t="shared" si="3"/>
        <v/>
      </c>
      <c r="G116" s="41"/>
      <c r="H116" s="41"/>
      <c r="I116" s="41"/>
      <c r="J116" s="41"/>
      <c r="K116" s="41"/>
      <c r="L116" s="41"/>
      <c r="M116" s="41"/>
      <c r="N116" s="41"/>
    </row>
    <row r="117">
      <c r="A117" s="29"/>
      <c r="B117" s="30">
        <v>114.0</v>
      </c>
      <c r="C117" s="67"/>
      <c r="D117" s="67"/>
      <c r="E117" s="88" t="str">
        <f t="shared" si="4"/>
        <v/>
      </c>
      <c r="F117" s="89" t="str">
        <f t="shared" si="3"/>
        <v/>
      </c>
      <c r="G117" s="41"/>
      <c r="H117" s="41"/>
      <c r="I117" s="41"/>
      <c r="J117" s="41"/>
      <c r="K117" s="41"/>
      <c r="L117" s="41"/>
      <c r="M117" s="41"/>
      <c r="N117" s="41"/>
    </row>
    <row r="118">
      <c r="A118" s="21"/>
      <c r="B118" s="22">
        <v>115.0</v>
      </c>
      <c r="C118" s="68"/>
      <c r="D118" s="68"/>
      <c r="E118" s="88" t="str">
        <f t="shared" si="4"/>
        <v/>
      </c>
      <c r="F118" s="89" t="str">
        <f t="shared" si="3"/>
        <v/>
      </c>
      <c r="G118" s="41"/>
      <c r="H118" s="41"/>
      <c r="I118" s="41"/>
      <c r="J118" s="41"/>
      <c r="K118" s="41"/>
      <c r="L118" s="41"/>
      <c r="M118" s="41"/>
      <c r="N118" s="41"/>
    </row>
    <row r="119">
      <c r="A119" s="29"/>
      <c r="B119" s="30">
        <v>116.0</v>
      </c>
      <c r="C119" s="67"/>
      <c r="D119" s="67"/>
      <c r="E119" s="88" t="str">
        <f t="shared" si="4"/>
        <v/>
      </c>
      <c r="F119" s="89" t="str">
        <f t="shared" si="3"/>
        <v/>
      </c>
      <c r="G119" s="41"/>
      <c r="H119" s="41"/>
      <c r="I119" s="41"/>
      <c r="J119" s="41"/>
      <c r="K119" s="41"/>
      <c r="L119" s="41"/>
      <c r="M119" s="41"/>
      <c r="N119" s="41"/>
    </row>
    <row r="120">
      <c r="A120" s="21"/>
      <c r="B120" s="22">
        <v>117.0</v>
      </c>
      <c r="C120" s="68"/>
      <c r="D120" s="68"/>
      <c r="E120" s="88" t="str">
        <f t="shared" si="4"/>
        <v/>
      </c>
      <c r="F120" s="89" t="str">
        <f t="shared" si="3"/>
        <v/>
      </c>
      <c r="G120" s="41"/>
      <c r="H120" s="41"/>
      <c r="I120" s="41"/>
      <c r="J120" s="41"/>
      <c r="K120" s="41"/>
      <c r="L120" s="41"/>
      <c r="M120" s="41"/>
      <c r="N120" s="41"/>
    </row>
    <row r="121">
      <c r="A121" s="14"/>
      <c r="B121" s="69">
        <v>118.0</v>
      </c>
      <c r="C121" s="70"/>
      <c r="D121" s="70"/>
      <c r="E121" s="88" t="str">
        <f t="shared" si="4"/>
        <v/>
      </c>
      <c r="F121" s="89" t="str">
        <f t="shared" si="3"/>
        <v/>
      </c>
      <c r="G121" s="73"/>
      <c r="H121" s="73"/>
      <c r="I121" s="73"/>
      <c r="J121" s="73"/>
      <c r="K121" s="73"/>
      <c r="L121" s="73"/>
      <c r="M121" s="73"/>
      <c r="N121" s="73"/>
    </row>
    <row r="122">
      <c r="A122" s="14"/>
      <c r="B122" s="69">
        <v>119.0</v>
      </c>
      <c r="C122" s="70"/>
      <c r="D122" s="70"/>
      <c r="E122" s="88" t="str">
        <f t="shared" si="4"/>
        <v/>
      </c>
      <c r="F122" s="89" t="str">
        <f t="shared" si="3"/>
        <v/>
      </c>
      <c r="G122" s="73"/>
      <c r="H122" s="73"/>
      <c r="I122" s="73"/>
      <c r="J122" s="73"/>
      <c r="K122" s="73"/>
      <c r="L122" s="73"/>
      <c r="M122" s="73"/>
      <c r="N122" s="73"/>
    </row>
    <row r="123">
      <c r="A123" s="14"/>
      <c r="B123" s="69">
        <v>120.0</v>
      </c>
      <c r="C123" s="70"/>
      <c r="D123" s="70"/>
      <c r="E123" s="88" t="str">
        <f t="shared" si="4"/>
        <v/>
      </c>
      <c r="F123" s="89" t="str">
        <f t="shared" si="3"/>
        <v/>
      </c>
      <c r="G123" s="73"/>
      <c r="H123" s="73"/>
      <c r="I123" s="73"/>
      <c r="J123" s="73"/>
      <c r="K123" s="73"/>
      <c r="L123" s="73"/>
      <c r="M123" s="73"/>
      <c r="N123" s="73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</row>
  </sheetData>
  <mergeCells count="2">
    <mergeCell ref="B1:D2"/>
    <mergeCell ref="E1:F2"/>
  </mergeCells>
  <dataValidations>
    <dataValidation type="list" allowBlank="1" showErrorMessage="1" sqref="G4:N123">
      <formula1>"선택,완료"</formula1>
    </dataValidation>
  </dataValidations>
  <hyperlinks>
    <hyperlink r:id="rId1" ref="D5"/>
    <hyperlink r:id="rId2" ref="D24"/>
    <hyperlink r:id="rId3" ref="D30"/>
    <hyperlink r:id="rId4" ref="D36"/>
    <hyperlink r:id="rId5" ref="D51"/>
    <hyperlink r:id="rId6" ref="D70"/>
    <hyperlink r:id="rId7" ref="D86"/>
    <hyperlink r:id="rId8" ref="D93"/>
    <hyperlink r:id="rId9" ref="D96"/>
    <hyperlink r:id="rId10" ref="D97"/>
  </hyperlinks>
  <drawing r:id="rId11"/>
  <tableParts count="1">
    <tablePart r:id="rId1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3.25"/>
    <col customWidth="1" min="2" max="2" width="8.13"/>
    <col customWidth="1" min="3" max="3" width="18.63"/>
    <col customWidth="1" min="4" max="4" width="21.13"/>
    <col customWidth="1" min="5" max="5" width="15.38"/>
    <col customWidth="1" min="6" max="6" width="10.13"/>
  </cols>
  <sheetData>
    <row r="1">
      <c r="A1" s="1"/>
      <c r="B1" s="74"/>
      <c r="C1" s="75" t="s">
        <v>0</v>
      </c>
      <c r="E1" s="3" t="s">
        <v>1</v>
      </c>
      <c r="G1" s="143" t="s">
        <v>494</v>
      </c>
      <c r="H1" s="143" t="s">
        <v>495</v>
      </c>
      <c r="I1" s="143" t="s">
        <v>496</v>
      </c>
      <c r="J1" s="143" t="s">
        <v>497</v>
      </c>
      <c r="K1" s="143" t="s">
        <v>498</v>
      </c>
      <c r="L1" s="143" t="s">
        <v>499</v>
      </c>
      <c r="M1" s="143" t="s">
        <v>500</v>
      </c>
      <c r="N1" s="143" t="s">
        <v>501</v>
      </c>
      <c r="O1" s="143" t="s">
        <v>502</v>
      </c>
    </row>
    <row r="2">
      <c r="A2" s="1"/>
      <c r="G2" s="78" t="s">
        <v>503</v>
      </c>
      <c r="H2" s="78" t="s">
        <v>504</v>
      </c>
      <c r="I2" s="78" t="s">
        <v>505</v>
      </c>
      <c r="J2" s="78" t="s">
        <v>506</v>
      </c>
      <c r="K2" s="78" t="s">
        <v>507</v>
      </c>
      <c r="L2" s="78" t="s">
        <v>508</v>
      </c>
      <c r="M2" s="78" t="s">
        <v>509</v>
      </c>
      <c r="N2" s="78" t="s">
        <v>510</v>
      </c>
      <c r="O2" s="78" t="s">
        <v>511</v>
      </c>
    </row>
    <row r="3" ht="21.75" customHeight="1">
      <c r="A3" s="1"/>
      <c r="B3" s="1"/>
      <c r="C3" s="263" t="s">
        <v>512</v>
      </c>
      <c r="E3" s="9"/>
      <c r="F3" s="9"/>
      <c r="G3" s="264" t="str">
        <f t="shared" ref="G3:O3" si="1">COUNTIF(G5:G200, "완료") &amp; "명 완료"
</f>
        <v>79명 완료</v>
      </c>
      <c r="H3" s="264" t="str">
        <f t="shared" si="1"/>
        <v>78명 완료</v>
      </c>
      <c r="I3" s="264" t="str">
        <f t="shared" si="1"/>
        <v>73명 완료</v>
      </c>
      <c r="J3" s="264" t="str">
        <f t="shared" si="1"/>
        <v>73명 완료</v>
      </c>
      <c r="K3" s="264" t="str">
        <f t="shared" si="1"/>
        <v>72명 완료</v>
      </c>
      <c r="L3" s="264" t="str">
        <f t="shared" si="1"/>
        <v>69명 완료</v>
      </c>
      <c r="M3" s="264" t="str">
        <f t="shared" si="1"/>
        <v>67명 완료</v>
      </c>
      <c r="N3" s="264" t="str">
        <f t="shared" si="1"/>
        <v>67명 완료</v>
      </c>
      <c r="O3" s="264" t="str">
        <f t="shared" si="1"/>
        <v>64명 완료</v>
      </c>
    </row>
    <row r="4">
      <c r="A4" s="220"/>
      <c r="B4" s="81" t="s">
        <v>20</v>
      </c>
      <c r="C4" s="82" t="s">
        <v>21</v>
      </c>
      <c r="D4" s="82" t="s">
        <v>22</v>
      </c>
      <c r="E4" s="83" t="s">
        <v>23</v>
      </c>
      <c r="F4" s="83" t="s">
        <v>24</v>
      </c>
      <c r="G4" s="84" t="s">
        <v>25</v>
      </c>
      <c r="H4" s="84" t="s">
        <v>25</v>
      </c>
      <c r="I4" s="84" t="s">
        <v>25</v>
      </c>
      <c r="J4" s="84" t="s">
        <v>25</v>
      </c>
      <c r="K4" s="84" t="s">
        <v>25</v>
      </c>
      <c r="L4" s="84" t="s">
        <v>25</v>
      </c>
      <c r="M4" s="84" t="s">
        <v>25</v>
      </c>
      <c r="N4" s="84" t="s">
        <v>25</v>
      </c>
      <c r="O4" s="84" t="s">
        <v>25</v>
      </c>
    </row>
    <row r="5">
      <c r="A5" s="21"/>
      <c r="B5" s="22">
        <v>1.0</v>
      </c>
      <c r="C5" s="201" t="s">
        <v>26</v>
      </c>
      <c r="D5" s="202" t="s">
        <v>27</v>
      </c>
      <c r="E5" s="88" t="str">
        <f t="shared" ref="E5:E124" si="2">IF(COUNTIF(G5:O5, "완료")=0, "", COUNTIF($G$4:$O$4, "완료") &amp; "번 중 " &amp; COUNTIF(G5:O5, "완료") &amp; "번 참여")
</f>
        <v>9번 중 9번 참여</v>
      </c>
      <c r="F5" s="89">
        <f t="shared" ref="F5:F124" si="3">IF(COUNTIF($G$4:$CP$4, "완료")=0, "", IF(COUNTIF(G5:O5, "완료")=0, "", COUNTIF(G5:O5, "완료") / COUNTIF($G$4:$O$4, "완료")))
</f>
        <v>1</v>
      </c>
      <c r="G5" s="90" t="s">
        <v>25</v>
      </c>
      <c r="H5" s="90" t="s">
        <v>25</v>
      </c>
      <c r="I5" s="90" t="s">
        <v>25</v>
      </c>
      <c r="J5" s="90" t="s">
        <v>25</v>
      </c>
      <c r="K5" s="90" t="s">
        <v>25</v>
      </c>
      <c r="L5" s="90" t="s">
        <v>25</v>
      </c>
      <c r="M5" s="90" t="s">
        <v>25</v>
      </c>
      <c r="N5" s="90" t="s">
        <v>25</v>
      </c>
      <c r="O5" s="90" t="s">
        <v>25</v>
      </c>
    </row>
    <row r="6">
      <c r="A6" s="29"/>
      <c r="B6" s="30">
        <v>2.0</v>
      </c>
      <c r="C6" s="201" t="s">
        <v>28</v>
      </c>
      <c r="D6" s="201" t="s">
        <v>29</v>
      </c>
      <c r="E6" s="88" t="str">
        <f t="shared" si="2"/>
        <v>9번 중 9번 참여</v>
      </c>
      <c r="F6" s="89">
        <f t="shared" si="3"/>
        <v>1</v>
      </c>
      <c r="G6" s="90" t="s">
        <v>25</v>
      </c>
      <c r="H6" s="90" t="s">
        <v>25</v>
      </c>
      <c r="I6" s="90" t="s">
        <v>25</v>
      </c>
      <c r="J6" s="90" t="s">
        <v>25</v>
      </c>
      <c r="K6" s="90" t="s">
        <v>25</v>
      </c>
      <c r="L6" s="90" t="s">
        <v>25</v>
      </c>
      <c r="M6" s="90" t="s">
        <v>25</v>
      </c>
      <c r="N6" s="90" t="s">
        <v>25</v>
      </c>
      <c r="O6" s="90" t="s">
        <v>25</v>
      </c>
    </row>
    <row r="7">
      <c r="A7" s="21"/>
      <c r="B7" s="22">
        <v>3.0</v>
      </c>
      <c r="C7" s="93" t="s">
        <v>30</v>
      </c>
      <c r="D7" s="93" t="s">
        <v>31</v>
      </c>
      <c r="E7" s="88" t="str">
        <f t="shared" si="2"/>
        <v>9번 중 9번 참여</v>
      </c>
      <c r="F7" s="89">
        <f t="shared" si="3"/>
        <v>1</v>
      </c>
      <c r="G7" s="90" t="s">
        <v>25</v>
      </c>
      <c r="H7" s="90" t="s">
        <v>25</v>
      </c>
      <c r="I7" s="90" t="s">
        <v>25</v>
      </c>
      <c r="J7" s="90" t="s">
        <v>25</v>
      </c>
      <c r="K7" s="90" t="s">
        <v>25</v>
      </c>
      <c r="L7" s="90" t="s">
        <v>25</v>
      </c>
      <c r="M7" s="90" t="s">
        <v>25</v>
      </c>
      <c r="N7" s="90" t="s">
        <v>25</v>
      </c>
      <c r="O7" s="90" t="s">
        <v>25</v>
      </c>
    </row>
    <row r="8">
      <c r="A8" s="29"/>
      <c r="B8" s="30">
        <v>4.0</v>
      </c>
      <c r="C8" s="201" t="s">
        <v>32</v>
      </c>
      <c r="D8" s="201" t="s">
        <v>33</v>
      </c>
      <c r="E8" s="88" t="str">
        <f t="shared" si="2"/>
        <v>9번 중 9번 참여</v>
      </c>
      <c r="F8" s="89">
        <f t="shared" si="3"/>
        <v>1</v>
      </c>
      <c r="G8" s="90" t="s">
        <v>25</v>
      </c>
      <c r="H8" s="90" t="s">
        <v>25</v>
      </c>
      <c r="I8" s="90" t="s">
        <v>25</v>
      </c>
      <c r="J8" s="90" t="s">
        <v>25</v>
      </c>
      <c r="K8" s="90" t="s">
        <v>25</v>
      </c>
      <c r="L8" s="90" t="s">
        <v>25</v>
      </c>
      <c r="M8" s="90" t="s">
        <v>25</v>
      </c>
      <c r="N8" s="90" t="s">
        <v>25</v>
      </c>
      <c r="O8" s="90" t="s">
        <v>25</v>
      </c>
    </row>
    <row r="9">
      <c r="A9" s="21"/>
      <c r="B9" s="22">
        <v>5.0</v>
      </c>
      <c r="C9" s="93" t="s">
        <v>34</v>
      </c>
      <c r="D9" s="93" t="s">
        <v>35</v>
      </c>
      <c r="E9" s="88" t="str">
        <f t="shared" si="2"/>
        <v>9번 중 9번 참여</v>
      </c>
      <c r="F9" s="89">
        <f t="shared" si="3"/>
        <v>1</v>
      </c>
      <c r="G9" s="90" t="s">
        <v>25</v>
      </c>
      <c r="H9" s="90" t="s">
        <v>25</v>
      </c>
      <c r="I9" s="90" t="s">
        <v>25</v>
      </c>
      <c r="J9" s="90" t="s">
        <v>25</v>
      </c>
      <c r="K9" s="90" t="s">
        <v>25</v>
      </c>
      <c r="L9" s="90" t="s">
        <v>25</v>
      </c>
      <c r="M9" s="90" t="s">
        <v>25</v>
      </c>
      <c r="N9" s="90" t="s">
        <v>25</v>
      </c>
      <c r="O9" s="90" t="s">
        <v>25</v>
      </c>
    </row>
    <row r="10">
      <c r="A10" s="29"/>
      <c r="B10" s="30">
        <v>6.0</v>
      </c>
      <c r="C10" s="201" t="s">
        <v>36</v>
      </c>
      <c r="D10" s="201" t="s">
        <v>72</v>
      </c>
      <c r="E10" s="88" t="str">
        <f t="shared" si="2"/>
        <v>9번 중 9번 참여</v>
      </c>
      <c r="F10" s="89">
        <f t="shared" si="3"/>
        <v>1</v>
      </c>
      <c r="G10" s="90" t="s">
        <v>25</v>
      </c>
      <c r="H10" s="90" t="s">
        <v>25</v>
      </c>
      <c r="I10" s="90" t="s">
        <v>25</v>
      </c>
      <c r="J10" s="90" t="s">
        <v>25</v>
      </c>
      <c r="K10" s="90" t="s">
        <v>25</v>
      </c>
      <c r="L10" s="90" t="s">
        <v>25</v>
      </c>
      <c r="M10" s="90" t="s">
        <v>25</v>
      </c>
      <c r="N10" s="90" t="s">
        <v>25</v>
      </c>
      <c r="O10" s="90" t="s">
        <v>25</v>
      </c>
    </row>
    <row r="11">
      <c r="A11" s="21"/>
      <c r="B11" s="22">
        <v>7.0</v>
      </c>
      <c r="C11" s="93" t="s">
        <v>38</v>
      </c>
      <c r="D11" s="93" t="s">
        <v>39</v>
      </c>
      <c r="E11" s="88" t="str">
        <f t="shared" si="2"/>
        <v>9번 중 9번 참여</v>
      </c>
      <c r="F11" s="89">
        <f t="shared" si="3"/>
        <v>1</v>
      </c>
      <c r="G11" s="90" t="s">
        <v>25</v>
      </c>
      <c r="H11" s="90" t="s">
        <v>25</v>
      </c>
      <c r="I11" s="90" t="s">
        <v>25</v>
      </c>
      <c r="J11" s="90" t="s">
        <v>25</v>
      </c>
      <c r="K11" s="90" t="s">
        <v>25</v>
      </c>
      <c r="L11" s="90" t="s">
        <v>25</v>
      </c>
      <c r="M11" s="90" t="s">
        <v>25</v>
      </c>
      <c r="N11" s="90" t="s">
        <v>25</v>
      </c>
      <c r="O11" s="90" t="s">
        <v>25</v>
      </c>
    </row>
    <row r="12">
      <c r="A12" s="29"/>
      <c r="B12" s="30">
        <v>8.0</v>
      </c>
      <c r="C12" s="201" t="s">
        <v>40</v>
      </c>
      <c r="D12" s="201" t="s">
        <v>41</v>
      </c>
      <c r="E12" s="88" t="str">
        <f t="shared" si="2"/>
        <v>9번 중 9번 참여</v>
      </c>
      <c r="F12" s="89">
        <f t="shared" si="3"/>
        <v>1</v>
      </c>
      <c r="G12" s="90" t="s">
        <v>25</v>
      </c>
      <c r="H12" s="90" t="s">
        <v>25</v>
      </c>
      <c r="I12" s="90" t="s">
        <v>25</v>
      </c>
      <c r="J12" s="90" t="s">
        <v>25</v>
      </c>
      <c r="K12" s="90" t="s">
        <v>25</v>
      </c>
      <c r="L12" s="90" t="s">
        <v>25</v>
      </c>
      <c r="M12" s="90" t="s">
        <v>25</v>
      </c>
      <c r="N12" s="90" t="s">
        <v>25</v>
      </c>
      <c r="O12" s="90" t="s">
        <v>25</v>
      </c>
    </row>
    <row r="13">
      <c r="A13" s="21"/>
      <c r="B13" s="22">
        <v>9.0</v>
      </c>
      <c r="C13" s="93" t="s">
        <v>42</v>
      </c>
      <c r="D13" s="93" t="s">
        <v>43</v>
      </c>
      <c r="E13" s="88" t="str">
        <f t="shared" si="2"/>
        <v>9번 중 6번 참여</v>
      </c>
      <c r="F13" s="89">
        <f t="shared" si="3"/>
        <v>0.6666666667</v>
      </c>
      <c r="G13" s="90" t="s">
        <v>25</v>
      </c>
      <c r="H13" s="90" t="s">
        <v>25</v>
      </c>
      <c r="I13" s="90" t="s">
        <v>25</v>
      </c>
      <c r="J13" s="90" t="s">
        <v>25</v>
      </c>
      <c r="K13" s="90" t="s">
        <v>25</v>
      </c>
      <c r="L13" s="41"/>
      <c r="M13" s="90" t="s">
        <v>25</v>
      </c>
      <c r="N13" s="41"/>
      <c r="O13" s="41"/>
    </row>
    <row r="14">
      <c r="A14" s="29"/>
      <c r="B14" s="30">
        <v>10.0</v>
      </c>
      <c r="C14" s="96" t="s">
        <v>418</v>
      </c>
      <c r="D14" s="201" t="s">
        <v>327</v>
      </c>
      <c r="E14" s="88" t="str">
        <f t="shared" si="2"/>
        <v>9번 중 9번 참여</v>
      </c>
      <c r="F14" s="89">
        <f t="shared" si="3"/>
        <v>1</v>
      </c>
      <c r="G14" s="90" t="s">
        <v>25</v>
      </c>
      <c r="H14" s="90" t="s">
        <v>25</v>
      </c>
      <c r="I14" s="90" t="s">
        <v>25</v>
      </c>
      <c r="J14" s="90" t="s">
        <v>25</v>
      </c>
      <c r="K14" s="90" t="s">
        <v>25</v>
      </c>
      <c r="L14" s="90" t="s">
        <v>25</v>
      </c>
      <c r="M14" s="90" t="s">
        <v>25</v>
      </c>
      <c r="N14" s="90" t="s">
        <v>25</v>
      </c>
      <c r="O14" s="90" t="s">
        <v>25</v>
      </c>
    </row>
    <row r="15">
      <c r="A15" s="21"/>
      <c r="B15" s="22">
        <v>11.0</v>
      </c>
      <c r="C15" s="94" t="s">
        <v>419</v>
      </c>
      <c r="D15" s="93" t="s">
        <v>328</v>
      </c>
      <c r="E15" s="88" t="str">
        <f t="shared" si="2"/>
        <v>9번 중 9번 참여</v>
      </c>
      <c r="F15" s="89">
        <f t="shared" si="3"/>
        <v>1</v>
      </c>
      <c r="G15" s="90" t="s">
        <v>25</v>
      </c>
      <c r="H15" s="90" t="s">
        <v>25</v>
      </c>
      <c r="I15" s="90" t="s">
        <v>25</v>
      </c>
      <c r="J15" s="90" t="s">
        <v>25</v>
      </c>
      <c r="K15" s="90" t="s">
        <v>25</v>
      </c>
      <c r="L15" s="90" t="s">
        <v>25</v>
      </c>
      <c r="M15" s="90" t="s">
        <v>25</v>
      </c>
      <c r="N15" s="90" t="s">
        <v>25</v>
      </c>
      <c r="O15" s="90" t="s">
        <v>25</v>
      </c>
    </row>
    <row r="16">
      <c r="A16" s="29"/>
      <c r="B16" s="30">
        <v>12.0</v>
      </c>
      <c r="C16" s="201" t="s">
        <v>44</v>
      </c>
      <c r="D16" s="201" t="s">
        <v>45</v>
      </c>
      <c r="E16" s="88" t="str">
        <f t="shared" si="2"/>
        <v>9번 중 9번 참여</v>
      </c>
      <c r="F16" s="89">
        <f t="shared" si="3"/>
        <v>1</v>
      </c>
      <c r="G16" s="90" t="s">
        <v>25</v>
      </c>
      <c r="H16" s="90" t="s">
        <v>25</v>
      </c>
      <c r="I16" s="90" t="s">
        <v>25</v>
      </c>
      <c r="J16" s="90" t="s">
        <v>25</v>
      </c>
      <c r="K16" s="90" t="s">
        <v>25</v>
      </c>
      <c r="L16" s="90" t="s">
        <v>25</v>
      </c>
      <c r="M16" s="90" t="s">
        <v>25</v>
      </c>
      <c r="N16" s="90" t="s">
        <v>25</v>
      </c>
      <c r="O16" s="90" t="s">
        <v>25</v>
      </c>
    </row>
    <row r="17">
      <c r="A17" s="21"/>
      <c r="B17" s="22">
        <v>13.0</v>
      </c>
      <c r="C17" s="93" t="s">
        <v>46</v>
      </c>
      <c r="D17" s="93" t="s">
        <v>47</v>
      </c>
      <c r="E17" s="88" t="str">
        <f t="shared" si="2"/>
        <v>9번 중 9번 참여</v>
      </c>
      <c r="F17" s="89">
        <f t="shared" si="3"/>
        <v>1</v>
      </c>
      <c r="G17" s="90" t="s">
        <v>25</v>
      </c>
      <c r="H17" s="90" t="s">
        <v>25</v>
      </c>
      <c r="I17" s="90" t="s">
        <v>25</v>
      </c>
      <c r="J17" s="90" t="s">
        <v>25</v>
      </c>
      <c r="K17" s="90" t="s">
        <v>25</v>
      </c>
      <c r="L17" s="90" t="s">
        <v>25</v>
      </c>
      <c r="M17" s="90" t="s">
        <v>25</v>
      </c>
      <c r="N17" s="90" t="s">
        <v>25</v>
      </c>
      <c r="O17" s="90" t="s">
        <v>25</v>
      </c>
    </row>
    <row r="18">
      <c r="A18" s="29"/>
      <c r="B18" s="30">
        <v>14.0</v>
      </c>
      <c r="C18" s="201" t="s">
        <v>48</v>
      </c>
      <c r="D18" s="201" t="s">
        <v>49</v>
      </c>
      <c r="E18" s="88" t="str">
        <f t="shared" si="2"/>
        <v>9번 중 8번 참여</v>
      </c>
      <c r="F18" s="89">
        <f t="shared" si="3"/>
        <v>0.8888888889</v>
      </c>
      <c r="G18" s="90" t="s">
        <v>25</v>
      </c>
      <c r="H18" s="90" t="s">
        <v>25</v>
      </c>
      <c r="I18" s="90" t="s">
        <v>25</v>
      </c>
      <c r="J18" s="90" t="s">
        <v>25</v>
      </c>
      <c r="K18" s="90" t="s">
        <v>25</v>
      </c>
      <c r="L18" s="90" t="s">
        <v>25</v>
      </c>
      <c r="M18" s="90" t="s">
        <v>25</v>
      </c>
      <c r="N18" s="41"/>
      <c r="O18" s="90" t="s">
        <v>25</v>
      </c>
    </row>
    <row r="19">
      <c r="A19" s="21"/>
      <c r="B19" s="22">
        <v>15.0</v>
      </c>
      <c r="C19" s="93" t="s">
        <v>50</v>
      </c>
      <c r="D19" s="93" t="s">
        <v>51</v>
      </c>
      <c r="E19" s="88" t="str">
        <f t="shared" si="2"/>
        <v>9번 중 9번 참여</v>
      </c>
      <c r="F19" s="89">
        <f t="shared" si="3"/>
        <v>1</v>
      </c>
      <c r="G19" s="90" t="s">
        <v>25</v>
      </c>
      <c r="H19" s="90" t="s">
        <v>25</v>
      </c>
      <c r="I19" s="90" t="s">
        <v>25</v>
      </c>
      <c r="J19" s="90" t="s">
        <v>25</v>
      </c>
      <c r="K19" s="90" t="s">
        <v>25</v>
      </c>
      <c r="L19" s="90" t="s">
        <v>25</v>
      </c>
      <c r="M19" s="90" t="s">
        <v>25</v>
      </c>
      <c r="N19" s="90" t="s">
        <v>25</v>
      </c>
      <c r="O19" s="90" t="s">
        <v>25</v>
      </c>
    </row>
    <row r="20">
      <c r="A20" s="29"/>
      <c r="B20" s="30">
        <v>16.0</v>
      </c>
      <c r="C20" s="201" t="s">
        <v>52</v>
      </c>
      <c r="D20" s="201" t="s">
        <v>53</v>
      </c>
      <c r="E20" s="88" t="str">
        <f t="shared" si="2"/>
        <v>9번 중 7번 참여</v>
      </c>
      <c r="F20" s="89">
        <f t="shared" si="3"/>
        <v>0.7777777778</v>
      </c>
      <c r="G20" s="90" t="s">
        <v>25</v>
      </c>
      <c r="H20" s="90" t="s">
        <v>25</v>
      </c>
      <c r="I20" s="90" t="s">
        <v>25</v>
      </c>
      <c r="J20" s="90" t="s">
        <v>25</v>
      </c>
      <c r="K20" s="90" t="s">
        <v>25</v>
      </c>
      <c r="L20" s="90" t="s">
        <v>25</v>
      </c>
      <c r="M20" s="90" t="s">
        <v>25</v>
      </c>
      <c r="N20" s="41"/>
      <c r="O20" s="41"/>
    </row>
    <row r="21">
      <c r="A21" s="21"/>
      <c r="B21" s="22">
        <v>17.0</v>
      </c>
      <c r="C21" s="93" t="s">
        <v>329</v>
      </c>
      <c r="D21" s="93" t="s">
        <v>330</v>
      </c>
      <c r="E21" s="88" t="str">
        <f t="shared" si="2"/>
        <v>9번 중 9번 참여</v>
      </c>
      <c r="F21" s="89">
        <f t="shared" si="3"/>
        <v>1</v>
      </c>
      <c r="G21" s="90" t="s">
        <v>25</v>
      </c>
      <c r="H21" s="90" t="s">
        <v>25</v>
      </c>
      <c r="I21" s="90" t="s">
        <v>25</v>
      </c>
      <c r="J21" s="90" t="s">
        <v>25</v>
      </c>
      <c r="K21" s="90" t="s">
        <v>25</v>
      </c>
      <c r="L21" s="90" t="s">
        <v>25</v>
      </c>
      <c r="M21" s="90" t="s">
        <v>25</v>
      </c>
      <c r="N21" s="90" t="s">
        <v>25</v>
      </c>
      <c r="O21" s="90" t="s">
        <v>25</v>
      </c>
    </row>
    <row r="22">
      <c r="A22" s="29"/>
      <c r="B22" s="30">
        <v>18.0</v>
      </c>
      <c r="C22" s="201" t="s">
        <v>56</v>
      </c>
      <c r="D22" s="201" t="s">
        <v>57</v>
      </c>
      <c r="E22" s="88" t="str">
        <f t="shared" si="2"/>
        <v>9번 중 9번 참여</v>
      </c>
      <c r="F22" s="89">
        <f t="shared" si="3"/>
        <v>1</v>
      </c>
      <c r="G22" s="90" t="s">
        <v>25</v>
      </c>
      <c r="H22" s="90" t="s">
        <v>25</v>
      </c>
      <c r="I22" s="90" t="s">
        <v>25</v>
      </c>
      <c r="J22" s="90" t="s">
        <v>25</v>
      </c>
      <c r="K22" s="90" t="s">
        <v>25</v>
      </c>
      <c r="L22" s="90" t="s">
        <v>25</v>
      </c>
      <c r="M22" s="90" t="s">
        <v>25</v>
      </c>
      <c r="N22" s="90" t="s">
        <v>25</v>
      </c>
      <c r="O22" s="90" t="s">
        <v>25</v>
      </c>
    </row>
    <row r="23">
      <c r="A23" s="21"/>
      <c r="B23" s="22">
        <v>19.0</v>
      </c>
      <c r="C23" s="93" t="s">
        <v>58</v>
      </c>
      <c r="D23" s="93" t="s">
        <v>59</v>
      </c>
      <c r="E23" s="88" t="str">
        <f t="shared" si="2"/>
        <v>9번 중 7번 참여</v>
      </c>
      <c r="F23" s="89">
        <f t="shared" si="3"/>
        <v>0.7777777778</v>
      </c>
      <c r="G23" s="90" t="s">
        <v>25</v>
      </c>
      <c r="H23" s="90" t="s">
        <v>25</v>
      </c>
      <c r="I23" s="90" t="s">
        <v>25</v>
      </c>
      <c r="J23" s="90" t="s">
        <v>25</v>
      </c>
      <c r="K23" s="90" t="s">
        <v>25</v>
      </c>
      <c r="L23" s="90" t="s">
        <v>25</v>
      </c>
      <c r="M23" s="90" t="s">
        <v>25</v>
      </c>
      <c r="N23" s="41"/>
      <c r="O23" s="41"/>
    </row>
    <row r="24">
      <c r="A24" s="29"/>
      <c r="B24" s="30">
        <v>20.0</v>
      </c>
      <c r="C24" s="201" t="s">
        <v>60</v>
      </c>
      <c r="D24" s="206" t="s">
        <v>61</v>
      </c>
      <c r="E24" s="88" t="str">
        <f t="shared" si="2"/>
        <v>9번 중 7번 참여</v>
      </c>
      <c r="F24" s="89">
        <f t="shared" si="3"/>
        <v>0.7777777778</v>
      </c>
      <c r="G24" s="90" t="s">
        <v>25</v>
      </c>
      <c r="H24" s="90" t="s">
        <v>25</v>
      </c>
      <c r="I24" s="90" t="s">
        <v>25</v>
      </c>
      <c r="J24" s="90" t="s">
        <v>25</v>
      </c>
      <c r="K24" s="41"/>
      <c r="L24" s="41"/>
      <c r="M24" s="90" t="s">
        <v>25</v>
      </c>
      <c r="N24" s="90" t="s">
        <v>25</v>
      </c>
      <c r="O24" s="90" t="s">
        <v>25</v>
      </c>
    </row>
    <row r="25">
      <c r="A25" s="21"/>
      <c r="B25" s="22">
        <v>21.0</v>
      </c>
      <c r="C25" s="207" t="s">
        <v>62</v>
      </c>
      <c r="D25" s="207" t="s">
        <v>63</v>
      </c>
      <c r="E25" s="88" t="str">
        <f t="shared" si="2"/>
        <v>9번 중 9번 참여</v>
      </c>
      <c r="F25" s="89">
        <f t="shared" si="3"/>
        <v>1</v>
      </c>
      <c r="G25" s="90" t="s">
        <v>25</v>
      </c>
      <c r="H25" s="90" t="s">
        <v>25</v>
      </c>
      <c r="I25" s="90" t="s">
        <v>25</v>
      </c>
      <c r="J25" s="90" t="s">
        <v>25</v>
      </c>
      <c r="K25" s="90" t="s">
        <v>25</v>
      </c>
      <c r="L25" s="90" t="s">
        <v>25</v>
      </c>
      <c r="M25" s="90" t="s">
        <v>25</v>
      </c>
      <c r="N25" s="90" t="s">
        <v>25</v>
      </c>
      <c r="O25" s="90" t="s">
        <v>25</v>
      </c>
    </row>
    <row r="26">
      <c r="A26" s="29"/>
      <c r="B26" s="30">
        <v>22.0</v>
      </c>
      <c r="C26" s="201" t="s">
        <v>64</v>
      </c>
      <c r="D26" s="201" t="s">
        <v>65</v>
      </c>
      <c r="E26" s="88" t="str">
        <f t="shared" si="2"/>
        <v>9번 중 9번 참여</v>
      </c>
      <c r="F26" s="89">
        <f t="shared" si="3"/>
        <v>1</v>
      </c>
      <c r="G26" s="90" t="s">
        <v>25</v>
      </c>
      <c r="H26" s="90" t="s">
        <v>25</v>
      </c>
      <c r="I26" s="90" t="s">
        <v>25</v>
      </c>
      <c r="J26" s="90" t="s">
        <v>25</v>
      </c>
      <c r="K26" s="90" t="s">
        <v>25</v>
      </c>
      <c r="L26" s="90" t="s">
        <v>25</v>
      </c>
      <c r="M26" s="90" t="s">
        <v>25</v>
      </c>
      <c r="N26" s="90" t="s">
        <v>25</v>
      </c>
      <c r="O26" s="90" t="s">
        <v>25</v>
      </c>
    </row>
    <row r="27">
      <c r="A27" s="21"/>
      <c r="B27" s="22">
        <v>23.0</v>
      </c>
      <c r="C27" s="94" t="s">
        <v>513</v>
      </c>
      <c r="D27" s="94" t="s">
        <v>514</v>
      </c>
      <c r="E27" s="88" t="str">
        <f t="shared" si="2"/>
        <v/>
      </c>
      <c r="F27" s="89" t="str">
        <f t="shared" si="3"/>
        <v/>
      </c>
      <c r="G27" s="41"/>
      <c r="H27" s="41"/>
      <c r="I27" s="41"/>
      <c r="J27" s="41"/>
      <c r="K27" s="41"/>
      <c r="L27" s="41"/>
      <c r="M27" s="41"/>
      <c r="N27" s="41"/>
      <c r="O27" s="41"/>
    </row>
    <row r="28">
      <c r="A28" s="29"/>
      <c r="B28" s="30">
        <v>24.0</v>
      </c>
      <c r="C28" s="96"/>
      <c r="D28" s="201"/>
      <c r="E28" s="88" t="str">
        <f t="shared" si="2"/>
        <v/>
      </c>
      <c r="F28" s="89" t="str">
        <f t="shared" si="3"/>
        <v/>
      </c>
      <c r="G28" s="41"/>
      <c r="H28" s="41"/>
      <c r="I28" s="41"/>
      <c r="J28" s="41"/>
      <c r="K28" s="41"/>
      <c r="L28" s="41"/>
      <c r="M28" s="41"/>
      <c r="N28" s="41"/>
      <c r="O28" s="41"/>
    </row>
    <row r="29">
      <c r="A29" s="21"/>
      <c r="B29" s="22">
        <v>25.0</v>
      </c>
      <c r="C29" s="93" t="s">
        <v>74</v>
      </c>
      <c r="D29" s="93" t="s">
        <v>75</v>
      </c>
      <c r="E29" s="88" t="str">
        <f t="shared" si="2"/>
        <v>9번 중 8번 참여</v>
      </c>
      <c r="F29" s="89">
        <f t="shared" si="3"/>
        <v>0.8888888889</v>
      </c>
      <c r="G29" s="90" t="s">
        <v>25</v>
      </c>
      <c r="H29" s="90" t="s">
        <v>25</v>
      </c>
      <c r="I29" s="90" t="s">
        <v>25</v>
      </c>
      <c r="J29" s="90" t="s">
        <v>25</v>
      </c>
      <c r="K29" s="90" t="s">
        <v>25</v>
      </c>
      <c r="L29" s="90" t="s">
        <v>25</v>
      </c>
      <c r="M29" s="41"/>
      <c r="N29" s="90" t="s">
        <v>25</v>
      </c>
      <c r="O29" s="90" t="s">
        <v>25</v>
      </c>
    </row>
    <row r="30">
      <c r="A30" s="29"/>
      <c r="B30" s="30">
        <v>26.0</v>
      </c>
      <c r="C30" s="201" t="s">
        <v>76</v>
      </c>
      <c r="D30" s="206" t="s">
        <v>77</v>
      </c>
      <c r="E30" s="88" t="str">
        <f t="shared" si="2"/>
        <v>9번 중 9번 참여</v>
      </c>
      <c r="F30" s="89">
        <f t="shared" si="3"/>
        <v>1</v>
      </c>
      <c r="G30" s="90" t="s">
        <v>25</v>
      </c>
      <c r="H30" s="90" t="s">
        <v>25</v>
      </c>
      <c r="I30" s="90" t="s">
        <v>25</v>
      </c>
      <c r="J30" s="90" t="s">
        <v>25</v>
      </c>
      <c r="K30" s="90" t="s">
        <v>25</v>
      </c>
      <c r="L30" s="90" t="s">
        <v>25</v>
      </c>
      <c r="M30" s="90" t="s">
        <v>25</v>
      </c>
      <c r="N30" s="90" t="s">
        <v>25</v>
      </c>
      <c r="O30" s="90" t="s">
        <v>25</v>
      </c>
    </row>
    <row r="31">
      <c r="A31" s="21"/>
      <c r="B31" s="22">
        <v>27.0</v>
      </c>
      <c r="C31" s="93" t="s">
        <v>78</v>
      </c>
      <c r="D31" s="93" t="s">
        <v>79</v>
      </c>
      <c r="E31" s="88" t="str">
        <f t="shared" si="2"/>
        <v>9번 중 9번 참여</v>
      </c>
      <c r="F31" s="89">
        <f t="shared" si="3"/>
        <v>1</v>
      </c>
      <c r="G31" s="90" t="s">
        <v>25</v>
      </c>
      <c r="H31" s="90" t="s">
        <v>25</v>
      </c>
      <c r="I31" s="90" t="s">
        <v>25</v>
      </c>
      <c r="J31" s="90" t="s">
        <v>25</v>
      </c>
      <c r="K31" s="90" t="s">
        <v>25</v>
      </c>
      <c r="L31" s="90" t="s">
        <v>25</v>
      </c>
      <c r="M31" s="90" t="s">
        <v>25</v>
      </c>
      <c r="N31" s="90" t="s">
        <v>25</v>
      </c>
      <c r="O31" s="90" t="s">
        <v>25</v>
      </c>
    </row>
    <row r="32">
      <c r="A32" s="29"/>
      <c r="B32" s="30">
        <v>28.0</v>
      </c>
      <c r="C32" s="201" t="s">
        <v>130</v>
      </c>
      <c r="D32" s="201" t="s">
        <v>338</v>
      </c>
      <c r="E32" s="88" t="str">
        <f t="shared" si="2"/>
        <v/>
      </c>
      <c r="F32" s="89" t="str">
        <f t="shared" si="3"/>
        <v/>
      </c>
      <c r="G32" s="41"/>
      <c r="H32" s="41"/>
      <c r="I32" s="41"/>
      <c r="J32" s="41"/>
      <c r="K32" s="41"/>
      <c r="L32" s="41"/>
      <c r="M32" s="41"/>
      <c r="N32" s="41"/>
      <c r="O32" s="41"/>
    </row>
    <row r="33">
      <c r="A33" s="21"/>
      <c r="B33" s="22">
        <v>29.0</v>
      </c>
      <c r="C33" s="93" t="s">
        <v>81</v>
      </c>
      <c r="D33" s="93" t="s">
        <v>82</v>
      </c>
      <c r="E33" s="88" t="str">
        <f t="shared" si="2"/>
        <v>9번 중 8번 참여</v>
      </c>
      <c r="F33" s="89">
        <f t="shared" si="3"/>
        <v>0.8888888889</v>
      </c>
      <c r="G33" s="90" t="s">
        <v>25</v>
      </c>
      <c r="H33" s="90" t="s">
        <v>25</v>
      </c>
      <c r="I33" s="90" t="s">
        <v>25</v>
      </c>
      <c r="J33" s="90" t="s">
        <v>25</v>
      </c>
      <c r="K33" s="90" t="s">
        <v>25</v>
      </c>
      <c r="L33" s="90" t="s">
        <v>25</v>
      </c>
      <c r="M33" s="41"/>
      <c r="N33" s="90" t="s">
        <v>25</v>
      </c>
      <c r="O33" s="90" t="s">
        <v>25</v>
      </c>
    </row>
    <row r="34">
      <c r="A34" s="29"/>
      <c r="B34" s="30">
        <v>30.0</v>
      </c>
      <c r="C34" s="201" t="s">
        <v>83</v>
      </c>
      <c r="D34" s="201" t="s">
        <v>84</v>
      </c>
      <c r="E34" s="88" t="str">
        <f t="shared" si="2"/>
        <v>9번 중 7번 참여</v>
      </c>
      <c r="F34" s="89">
        <f t="shared" si="3"/>
        <v>0.7777777778</v>
      </c>
      <c r="G34" s="90" t="s">
        <v>25</v>
      </c>
      <c r="H34" s="90" t="s">
        <v>25</v>
      </c>
      <c r="I34" s="90" t="s">
        <v>25</v>
      </c>
      <c r="J34" s="90" t="s">
        <v>25</v>
      </c>
      <c r="K34" s="90" t="s">
        <v>25</v>
      </c>
      <c r="L34" s="90" t="s">
        <v>25</v>
      </c>
      <c r="M34" s="41"/>
      <c r="N34" s="90" t="s">
        <v>25</v>
      </c>
      <c r="O34" s="41"/>
    </row>
    <row r="35">
      <c r="A35" s="21"/>
      <c r="B35" s="22">
        <v>31.0</v>
      </c>
      <c r="C35" s="93" t="s">
        <v>85</v>
      </c>
      <c r="D35" s="93" t="s">
        <v>86</v>
      </c>
      <c r="E35" s="88" t="str">
        <f t="shared" si="2"/>
        <v>9번 중 8번 참여</v>
      </c>
      <c r="F35" s="89">
        <f t="shared" si="3"/>
        <v>0.8888888889</v>
      </c>
      <c r="G35" s="90" t="s">
        <v>25</v>
      </c>
      <c r="H35" s="90" t="s">
        <v>25</v>
      </c>
      <c r="I35" s="90" t="s">
        <v>25</v>
      </c>
      <c r="J35" s="90" t="s">
        <v>25</v>
      </c>
      <c r="K35" s="90" t="s">
        <v>25</v>
      </c>
      <c r="L35" s="90" t="s">
        <v>25</v>
      </c>
      <c r="M35" s="90" t="s">
        <v>25</v>
      </c>
      <c r="N35" s="90" t="s">
        <v>25</v>
      </c>
      <c r="O35" s="41"/>
    </row>
    <row r="36">
      <c r="A36" s="29"/>
      <c r="B36" s="30">
        <v>32.0</v>
      </c>
      <c r="C36" s="201" t="s">
        <v>87</v>
      </c>
      <c r="D36" s="206" t="s">
        <v>88</v>
      </c>
      <c r="E36" s="88" t="str">
        <f t="shared" si="2"/>
        <v>9번 중 7번 참여</v>
      </c>
      <c r="F36" s="89">
        <f t="shared" si="3"/>
        <v>0.7777777778</v>
      </c>
      <c r="G36" s="41"/>
      <c r="H36" s="90" t="s">
        <v>25</v>
      </c>
      <c r="I36" s="90" t="s">
        <v>25</v>
      </c>
      <c r="J36" s="90" t="s">
        <v>25</v>
      </c>
      <c r="K36" s="90" t="s">
        <v>25</v>
      </c>
      <c r="L36" s="41"/>
      <c r="M36" s="90" t="s">
        <v>25</v>
      </c>
      <c r="N36" s="90" t="s">
        <v>25</v>
      </c>
      <c r="O36" s="90" t="s">
        <v>25</v>
      </c>
    </row>
    <row r="37">
      <c r="A37" s="21"/>
      <c r="B37" s="22">
        <v>33.0</v>
      </c>
      <c r="C37" s="94" t="s">
        <v>421</v>
      </c>
      <c r="D37" s="93" t="s">
        <v>389</v>
      </c>
      <c r="E37" s="88" t="str">
        <f t="shared" si="2"/>
        <v/>
      </c>
      <c r="F37" s="89" t="str">
        <f t="shared" si="3"/>
        <v/>
      </c>
      <c r="G37" s="41"/>
      <c r="H37" s="41"/>
      <c r="I37" s="41"/>
      <c r="J37" s="41"/>
      <c r="K37" s="41"/>
      <c r="L37" s="41"/>
      <c r="M37" s="41"/>
      <c r="N37" s="41"/>
      <c r="O37" s="41"/>
    </row>
    <row r="38">
      <c r="A38" s="29"/>
      <c r="B38" s="30">
        <v>34.0</v>
      </c>
      <c r="C38" s="113" t="s">
        <v>91</v>
      </c>
      <c r="D38" s="113" t="s">
        <v>92</v>
      </c>
      <c r="E38" s="88" t="str">
        <f t="shared" si="2"/>
        <v>9번 중 9번 참여</v>
      </c>
      <c r="F38" s="89">
        <f t="shared" si="3"/>
        <v>1</v>
      </c>
      <c r="G38" s="90" t="s">
        <v>25</v>
      </c>
      <c r="H38" s="90" t="s">
        <v>25</v>
      </c>
      <c r="I38" s="90" t="s">
        <v>25</v>
      </c>
      <c r="J38" s="90" t="s">
        <v>25</v>
      </c>
      <c r="K38" s="90" t="s">
        <v>25</v>
      </c>
      <c r="L38" s="90" t="s">
        <v>25</v>
      </c>
      <c r="M38" s="90" t="s">
        <v>25</v>
      </c>
      <c r="N38" s="90" t="s">
        <v>25</v>
      </c>
      <c r="O38" s="90" t="s">
        <v>25</v>
      </c>
    </row>
    <row r="39">
      <c r="A39" s="21"/>
      <c r="B39" s="22">
        <v>35.0</v>
      </c>
      <c r="C39" s="208" t="s">
        <v>93</v>
      </c>
      <c r="D39" s="208" t="s">
        <v>94</v>
      </c>
      <c r="E39" s="88" t="str">
        <f t="shared" si="2"/>
        <v>9번 중 9번 참여</v>
      </c>
      <c r="F39" s="89">
        <f t="shared" si="3"/>
        <v>1</v>
      </c>
      <c r="G39" s="90" t="s">
        <v>25</v>
      </c>
      <c r="H39" s="90" t="s">
        <v>25</v>
      </c>
      <c r="I39" s="90" t="s">
        <v>25</v>
      </c>
      <c r="J39" s="90" t="s">
        <v>25</v>
      </c>
      <c r="K39" s="90" t="s">
        <v>25</v>
      </c>
      <c r="L39" s="90" t="s">
        <v>25</v>
      </c>
      <c r="M39" s="90" t="s">
        <v>25</v>
      </c>
      <c r="N39" s="90" t="s">
        <v>25</v>
      </c>
      <c r="O39" s="90" t="s">
        <v>25</v>
      </c>
    </row>
    <row r="40">
      <c r="A40" s="29"/>
      <c r="B40" s="30">
        <v>36.0</v>
      </c>
      <c r="C40" s="201" t="s">
        <v>124</v>
      </c>
      <c r="D40" s="201" t="s">
        <v>125</v>
      </c>
      <c r="E40" s="88" t="str">
        <f t="shared" si="2"/>
        <v>9번 중 9번 참여</v>
      </c>
      <c r="F40" s="89">
        <f t="shared" si="3"/>
        <v>1</v>
      </c>
      <c r="G40" s="90" t="s">
        <v>25</v>
      </c>
      <c r="H40" s="90" t="s">
        <v>25</v>
      </c>
      <c r="I40" s="90" t="s">
        <v>25</v>
      </c>
      <c r="J40" s="90" t="s">
        <v>25</v>
      </c>
      <c r="K40" s="90" t="s">
        <v>25</v>
      </c>
      <c r="L40" s="90" t="s">
        <v>25</v>
      </c>
      <c r="M40" s="90" t="s">
        <v>25</v>
      </c>
      <c r="N40" s="90" t="s">
        <v>25</v>
      </c>
      <c r="O40" s="90" t="s">
        <v>25</v>
      </c>
    </row>
    <row r="41">
      <c r="A41" s="21"/>
      <c r="B41" s="22">
        <v>37.0</v>
      </c>
      <c r="C41" s="93" t="s">
        <v>128</v>
      </c>
      <c r="D41" s="93" t="s">
        <v>129</v>
      </c>
      <c r="E41" s="88" t="str">
        <f t="shared" si="2"/>
        <v>9번 중 9번 참여</v>
      </c>
      <c r="F41" s="89">
        <f t="shared" si="3"/>
        <v>1</v>
      </c>
      <c r="G41" s="90" t="s">
        <v>25</v>
      </c>
      <c r="H41" s="90" t="s">
        <v>25</v>
      </c>
      <c r="I41" s="90" t="s">
        <v>25</v>
      </c>
      <c r="J41" s="90" t="s">
        <v>25</v>
      </c>
      <c r="K41" s="90" t="s">
        <v>25</v>
      </c>
      <c r="L41" s="90" t="s">
        <v>25</v>
      </c>
      <c r="M41" s="90" t="s">
        <v>25</v>
      </c>
      <c r="N41" s="90" t="s">
        <v>25</v>
      </c>
      <c r="O41" s="90" t="s">
        <v>25</v>
      </c>
    </row>
    <row r="42">
      <c r="A42" s="29"/>
      <c r="B42" s="30">
        <v>38.0</v>
      </c>
      <c r="C42" s="201" t="s">
        <v>99</v>
      </c>
      <c r="D42" s="201" t="s">
        <v>100</v>
      </c>
      <c r="E42" s="88" t="str">
        <f t="shared" si="2"/>
        <v>9번 중 7번 참여</v>
      </c>
      <c r="F42" s="89">
        <f t="shared" si="3"/>
        <v>0.7777777778</v>
      </c>
      <c r="G42" s="90" t="s">
        <v>25</v>
      </c>
      <c r="H42" s="90" t="s">
        <v>25</v>
      </c>
      <c r="I42" s="41"/>
      <c r="J42" s="90" t="s">
        <v>25</v>
      </c>
      <c r="K42" s="41"/>
      <c r="L42" s="90" t="s">
        <v>25</v>
      </c>
      <c r="M42" s="90" t="s">
        <v>25</v>
      </c>
      <c r="N42" s="90" t="s">
        <v>25</v>
      </c>
      <c r="O42" s="90" t="s">
        <v>25</v>
      </c>
    </row>
    <row r="43">
      <c r="A43" s="21"/>
      <c r="B43" s="22">
        <v>39.0</v>
      </c>
      <c r="C43" s="93" t="s">
        <v>347</v>
      </c>
      <c r="D43" s="93" t="s">
        <v>348</v>
      </c>
      <c r="E43" s="88" t="str">
        <f t="shared" si="2"/>
        <v>9번 중 9번 참여</v>
      </c>
      <c r="F43" s="89">
        <f t="shared" si="3"/>
        <v>1</v>
      </c>
      <c r="G43" s="90" t="s">
        <v>25</v>
      </c>
      <c r="H43" s="90" t="s">
        <v>25</v>
      </c>
      <c r="I43" s="90" t="s">
        <v>25</v>
      </c>
      <c r="J43" s="90" t="s">
        <v>25</v>
      </c>
      <c r="K43" s="90" t="s">
        <v>25</v>
      </c>
      <c r="L43" s="90" t="s">
        <v>25</v>
      </c>
      <c r="M43" s="90" t="s">
        <v>25</v>
      </c>
      <c r="N43" s="90" t="s">
        <v>25</v>
      </c>
      <c r="O43" s="90" t="s">
        <v>25</v>
      </c>
    </row>
    <row r="44">
      <c r="A44" s="29"/>
      <c r="B44" s="30">
        <v>40.0</v>
      </c>
      <c r="C44" s="154" t="s">
        <v>95</v>
      </c>
      <c r="D44" s="154" t="s">
        <v>96</v>
      </c>
      <c r="E44" s="88" t="str">
        <f t="shared" si="2"/>
        <v>9번 중 9번 참여</v>
      </c>
      <c r="F44" s="89">
        <f t="shared" si="3"/>
        <v>1</v>
      </c>
      <c r="G44" s="90" t="s">
        <v>25</v>
      </c>
      <c r="H44" s="90" t="s">
        <v>25</v>
      </c>
      <c r="I44" s="90" t="s">
        <v>25</v>
      </c>
      <c r="J44" s="90" t="s">
        <v>25</v>
      </c>
      <c r="K44" s="90" t="s">
        <v>25</v>
      </c>
      <c r="L44" s="90" t="s">
        <v>25</v>
      </c>
      <c r="M44" s="90" t="s">
        <v>25</v>
      </c>
      <c r="N44" s="90" t="s">
        <v>25</v>
      </c>
      <c r="O44" s="90" t="s">
        <v>25</v>
      </c>
    </row>
    <row r="45">
      <c r="A45" s="21"/>
      <c r="B45" s="22">
        <v>41.0</v>
      </c>
      <c r="C45" s="93" t="s">
        <v>97</v>
      </c>
      <c r="D45" s="93" t="s">
        <v>98</v>
      </c>
      <c r="E45" s="88" t="str">
        <f t="shared" si="2"/>
        <v>9번 중 9번 참여</v>
      </c>
      <c r="F45" s="89">
        <f t="shared" si="3"/>
        <v>1</v>
      </c>
      <c r="G45" s="90" t="s">
        <v>25</v>
      </c>
      <c r="H45" s="90" t="s">
        <v>25</v>
      </c>
      <c r="I45" s="90" t="s">
        <v>25</v>
      </c>
      <c r="J45" s="90" t="s">
        <v>25</v>
      </c>
      <c r="K45" s="90" t="s">
        <v>25</v>
      </c>
      <c r="L45" s="90" t="s">
        <v>25</v>
      </c>
      <c r="M45" s="90" t="s">
        <v>25</v>
      </c>
      <c r="N45" s="90" t="s">
        <v>25</v>
      </c>
      <c r="O45" s="90" t="s">
        <v>25</v>
      </c>
    </row>
    <row r="46">
      <c r="A46" s="29"/>
      <c r="B46" s="30">
        <v>42.0</v>
      </c>
      <c r="C46" s="154" t="s">
        <v>349</v>
      </c>
      <c r="D46" s="154" t="s">
        <v>350</v>
      </c>
      <c r="E46" s="88" t="str">
        <f t="shared" si="2"/>
        <v/>
      </c>
      <c r="F46" s="89" t="str">
        <f t="shared" si="3"/>
        <v/>
      </c>
      <c r="G46" s="41"/>
      <c r="H46" s="41"/>
      <c r="I46" s="41"/>
      <c r="J46" s="41"/>
      <c r="K46" s="41"/>
      <c r="L46" s="41"/>
      <c r="M46" s="41"/>
      <c r="N46" s="41"/>
      <c r="O46" s="41"/>
    </row>
    <row r="47">
      <c r="A47" s="21"/>
      <c r="B47" s="22">
        <v>43.0</v>
      </c>
      <c r="C47" s="201" t="s">
        <v>103</v>
      </c>
      <c r="D47" s="201" t="s">
        <v>104</v>
      </c>
      <c r="E47" s="88" t="str">
        <f t="shared" si="2"/>
        <v>9번 중 9번 참여</v>
      </c>
      <c r="F47" s="89">
        <f t="shared" si="3"/>
        <v>1</v>
      </c>
      <c r="G47" s="90" t="s">
        <v>25</v>
      </c>
      <c r="H47" s="90" t="s">
        <v>25</v>
      </c>
      <c r="I47" s="90" t="s">
        <v>25</v>
      </c>
      <c r="J47" s="90" t="s">
        <v>25</v>
      </c>
      <c r="K47" s="90" t="s">
        <v>25</v>
      </c>
      <c r="L47" s="90" t="s">
        <v>25</v>
      </c>
      <c r="M47" s="90" t="s">
        <v>25</v>
      </c>
      <c r="N47" s="90" t="s">
        <v>25</v>
      </c>
      <c r="O47" s="90" t="s">
        <v>25</v>
      </c>
    </row>
    <row r="48">
      <c r="A48" s="29"/>
      <c r="B48" s="30">
        <v>44.0</v>
      </c>
      <c r="C48" s="93" t="s">
        <v>351</v>
      </c>
      <c r="D48" s="93" t="s">
        <v>352</v>
      </c>
      <c r="E48" s="88" t="str">
        <f t="shared" si="2"/>
        <v>9번 중 8번 참여</v>
      </c>
      <c r="F48" s="89">
        <f t="shared" si="3"/>
        <v>0.8888888889</v>
      </c>
      <c r="G48" s="90" t="s">
        <v>25</v>
      </c>
      <c r="H48" s="90" t="s">
        <v>25</v>
      </c>
      <c r="I48" s="90" t="s">
        <v>25</v>
      </c>
      <c r="J48" s="90" t="s">
        <v>25</v>
      </c>
      <c r="K48" s="90" t="s">
        <v>25</v>
      </c>
      <c r="L48" s="90" t="s">
        <v>25</v>
      </c>
      <c r="M48" s="90" t="s">
        <v>25</v>
      </c>
      <c r="N48" s="90" t="s">
        <v>25</v>
      </c>
      <c r="O48" s="41"/>
    </row>
    <row r="49">
      <c r="A49" s="21"/>
      <c r="B49" s="22">
        <v>45.0</v>
      </c>
      <c r="C49" s="201" t="s">
        <v>284</v>
      </c>
      <c r="D49" s="201" t="s">
        <v>121</v>
      </c>
      <c r="E49" s="88" t="str">
        <f t="shared" si="2"/>
        <v>9번 중 9번 참여</v>
      </c>
      <c r="F49" s="89">
        <f t="shared" si="3"/>
        <v>1</v>
      </c>
      <c r="G49" s="90" t="s">
        <v>25</v>
      </c>
      <c r="H49" s="90" t="s">
        <v>25</v>
      </c>
      <c r="I49" s="90" t="s">
        <v>25</v>
      </c>
      <c r="J49" s="90" t="s">
        <v>25</v>
      </c>
      <c r="K49" s="90" t="s">
        <v>25</v>
      </c>
      <c r="L49" s="90" t="s">
        <v>25</v>
      </c>
      <c r="M49" s="90" t="s">
        <v>25</v>
      </c>
      <c r="N49" s="90" t="s">
        <v>25</v>
      </c>
      <c r="O49" s="90" t="s">
        <v>25</v>
      </c>
    </row>
    <row r="50">
      <c r="A50" s="29"/>
      <c r="B50" s="30">
        <v>46.0</v>
      </c>
      <c r="C50" s="93" t="s">
        <v>101</v>
      </c>
      <c r="D50" s="93" t="s">
        <v>102</v>
      </c>
      <c r="E50" s="88" t="str">
        <f t="shared" si="2"/>
        <v>9번 중 9번 참여</v>
      </c>
      <c r="F50" s="89">
        <f t="shared" si="3"/>
        <v>1</v>
      </c>
      <c r="G50" s="90" t="s">
        <v>25</v>
      </c>
      <c r="H50" s="90" t="s">
        <v>25</v>
      </c>
      <c r="I50" s="90" t="s">
        <v>25</v>
      </c>
      <c r="J50" s="90" t="s">
        <v>25</v>
      </c>
      <c r="K50" s="90" t="s">
        <v>25</v>
      </c>
      <c r="L50" s="90" t="s">
        <v>25</v>
      </c>
      <c r="M50" s="90" t="s">
        <v>25</v>
      </c>
      <c r="N50" s="90" t="s">
        <v>25</v>
      </c>
      <c r="O50" s="90" t="s">
        <v>25</v>
      </c>
    </row>
    <row r="51">
      <c r="A51" s="21"/>
      <c r="B51" s="22">
        <v>47.0</v>
      </c>
      <c r="C51" s="252" t="s">
        <v>515</v>
      </c>
      <c r="D51" s="265" t="s">
        <v>516</v>
      </c>
      <c r="E51" s="88" t="str">
        <f t="shared" si="2"/>
        <v>9번 중 9번 참여</v>
      </c>
      <c r="F51" s="89">
        <f t="shared" si="3"/>
        <v>1</v>
      </c>
      <c r="G51" s="90" t="s">
        <v>25</v>
      </c>
      <c r="H51" s="90" t="s">
        <v>25</v>
      </c>
      <c r="I51" s="90" t="s">
        <v>25</v>
      </c>
      <c r="J51" s="90" t="s">
        <v>25</v>
      </c>
      <c r="K51" s="90" t="s">
        <v>25</v>
      </c>
      <c r="L51" s="90" t="s">
        <v>25</v>
      </c>
      <c r="M51" s="90" t="s">
        <v>25</v>
      </c>
      <c r="N51" s="90" t="s">
        <v>25</v>
      </c>
      <c r="O51" s="90" t="s">
        <v>25</v>
      </c>
    </row>
    <row r="52">
      <c r="A52" s="29"/>
      <c r="B52" s="30">
        <v>48.0</v>
      </c>
      <c r="C52" s="93" t="s">
        <v>357</v>
      </c>
      <c r="D52" s="93" t="s">
        <v>358</v>
      </c>
      <c r="E52" s="88" t="str">
        <f t="shared" si="2"/>
        <v/>
      </c>
      <c r="F52" s="89" t="str">
        <f t="shared" si="3"/>
        <v/>
      </c>
      <c r="G52" s="41"/>
      <c r="H52" s="41"/>
      <c r="I52" s="41"/>
      <c r="J52" s="41"/>
      <c r="K52" s="41"/>
      <c r="L52" s="41"/>
      <c r="M52" s="41"/>
      <c r="N52" s="41"/>
      <c r="O52" s="41"/>
    </row>
    <row r="53">
      <c r="A53" s="21"/>
      <c r="B53" s="22">
        <v>49.0</v>
      </c>
      <c r="C53" s="201" t="s">
        <v>359</v>
      </c>
      <c r="D53" s="201" t="s">
        <v>360</v>
      </c>
      <c r="E53" s="88" t="str">
        <f t="shared" si="2"/>
        <v>9번 중 8번 참여</v>
      </c>
      <c r="F53" s="89">
        <f t="shared" si="3"/>
        <v>0.8888888889</v>
      </c>
      <c r="G53" s="90" t="s">
        <v>25</v>
      </c>
      <c r="H53" s="90" t="s">
        <v>25</v>
      </c>
      <c r="I53" s="90" t="s">
        <v>25</v>
      </c>
      <c r="J53" s="90" t="s">
        <v>25</v>
      </c>
      <c r="K53" s="90" t="s">
        <v>25</v>
      </c>
      <c r="L53" s="90" t="s">
        <v>25</v>
      </c>
      <c r="M53" s="41"/>
      <c r="N53" s="90" t="s">
        <v>25</v>
      </c>
      <c r="O53" s="90" t="s">
        <v>25</v>
      </c>
    </row>
    <row r="54">
      <c r="A54" s="29"/>
      <c r="B54" s="30">
        <v>50.0</v>
      </c>
      <c r="C54" s="93" t="s">
        <v>111</v>
      </c>
      <c r="D54" s="93" t="s">
        <v>112</v>
      </c>
      <c r="E54" s="88" t="str">
        <f t="shared" si="2"/>
        <v>9번 중 7번 참여</v>
      </c>
      <c r="F54" s="89">
        <f t="shared" si="3"/>
        <v>0.7777777778</v>
      </c>
      <c r="G54" s="90" t="s">
        <v>25</v>
      </c>
      <c r="H54" s="90" t="s">
        <v>25</v>
      </c>
      <c r="I54" s="90" t="s">
        <v>25</v>
      </c>
      <c r="J54" s="41"/>
      <c r="K54" s="90" t="s">
        <v>25</v>
      </c>
      <c r="L54" s="90" t="s">
        <v>25</v>
      </c>
      <c r="M54" s="90" t="s">
        <v>25</v>
      </c>
      <c r="N54" s="41"/>
      <c r="O54" s="90" t="s">
        <v>25</v>
      </c>
    </row>
    <row r="55">
      <c r="A55" s="21"/>
      <c r="B55" s="22">
        <v>51.0</v>
      </c>
      <c r="C55" s="201" t="s">
        <v>113</v>
      </c>
      <c r="D55" s="201" t="s">
        <v>114</v>
      </c>
      <c r="E55" s="88" t="str">
        <f t="shared" si="2"/>
        <v>9번 중 9번 참여</v>
      </c>
      <c r="F55" s="89">
        <f t="shared" si="3"/>
        <v>1</v>
      </c>
      <c r="G55" s="90" t="s">
        <v>25</v>
      </c>
      <c r="H55" s="90" t="s">
        <v>25</v>
      </c>
      <c r="I55" s="90" t="s">
        <v>25</v>
      </c>
      <c r="J55" s="90" t="s">
        <v>25</v>
      </c>
      <c r="K55" s="90" t="s">
        <v>25</v>
      </c>
      <c r="L55" s="90" t="s">
        <v>25</v>
      </c>
      <c r="M55" s="90" t="s">
        <v>25</v>
      </c>
      <c r="N55" s="90" t="s">
        <v>25</v>
      </c>
      <c r="O55" s="90" t="s">
        <v>25</v>
      </c>
    </row>
    <row r="56">
      <c r="A56" s="29"/>
      <c r="B56" s="30">
        <v>52.0</v>
      </c>
      <c r="C56" s="93" t="s">
        <v>361</v>
      </c>
      <c r="D56" s="93" t="s">
        <v>362</v>
      </c>
      <c r="E56" s="88" t="str">
        <f t="shared" si="2"/>
        <v>9번 중 4번 참여</v>
      </c>
      <c r="F56" s="89">
        <f t="shared" si="3"/>
        <v>0.4444444444</v>
      </c>
      <c r="G56" s="41"/>
      <c r="H56" s="90" t="s">
        <v>25</v>
      </c>
      <c r="I56" s="41"/>
      <c r="J56" s="90" t="s">
        <v>25</v>
      </c>
      <c r="K56" s="90" t="s">
        <v>25</v>
      </c>
      <c r="L56" s="90" t="s">
        <v>25</v>
      </c>
      <c r="M56" s="41"/>
      <c r="N56" s="41"/>
      <c r="O56" s="41"/>
    </row>
    <row r="57">
      <c r="A57" s="21"/>
      <c r="B57" s="22">
        <v>53.0</v>
      </c>
      <c r="C57" s="201" t="s">
        <v>132</v>
      </c>
      <c r="D57" s="201" t="s">
        <v>133</v>
      </c>
      <c r="E57" s="88" t="str">
        <f t="shared" si="2"/>
        <v>9번 중 9번 참여</v>
      </c>
      <c r="F57" s="89">
        <f t="shared" si="3"/>
        <v>1</v>
      </c>
      <c r="G57" s="90" t="s">
        <v>25</v>
      </c>
      <c r="H57" s="90" t="s">
        <v>25</v>
      </c>
      <c r="I57" s="90" t="s">
        <v>25</v>
      </c>
      <c r="J57" s="90" t="s">
        <v>25</v>
      </c>
      <c r="K57" s="90" t="s">
        <v>25</v>
      </c>
      <c r="L57" s="90" t="s">
        <v>25</v>
      </c>
      <c r="M57" s="90" t="s">
        <v>25</v>
      </c>
      <c r="N57" s="90" t="s">
        <v>25</v>
      </c>
      <c r="O57" s="90" t="s">
        <v>25</v>
      </c>
    </row>
    <row r="58">
      <c r="A58" s="255" t="s">
        <v>204</v>
      </c>
      <c r="B58" s="30">
        <v>54.0</v>
      </c>
      <c r="C58" s="93" t="s">
        <v>283</v>
      </c>
      <c r="D58" s="93" t="s">
        <v>119</v>
      </c>
      <c r="E58" s="88" t="str">
        <f t="shared" si="2"/>
        <v>9번 중 8번 참여</v>
      </c>
      <c r="F58" s="89">
        <f t="shared" si="3"/>
        <v>0.8888888889</v>
      </c>
      <c r="G58" s="90" t="s">
        <v>25</v>
      </c>
      <c r="H58" s="90" t="s">
        <v>25</v>
      </c>
      <c r="I58" s="90" t="s">
        <v>25</v>
      </c>
      <c r="J58" s="90" t="s">
        <v>25</v>
      </c>
      <c r="K58" s="90" t="s">
        <v>25</v>
      </c>
      <c r="L58" s="90" t="s">
        <v>25</v>
      </c>
      <c r="M58" s="90" t="s">
        <v>25</v>
      </c>
      <c r="N58" s="90" t="s">
        <v>25</v>
      </c>
      <c r="O58" s="41"/>
    </row>
    <row r="59">
      <c r="A59" s="21"/>
      <c r="B59" s="22">
        <v>55.0</v>
      </c>
      <c r="C59" s="201" t="s">
        <v>363</v>
      </c>
      <c r="D59" s="201" t="s">
        <v>364</v>
      </c>
      <c r="E59" s="88" t="str">
        <f t="shared" si="2"/>
        <v>9번 중 8번 참여</v>
      </c>
      <c r="F59" s="89">
        <f t="shared" si="3"/>
        <v>0.8888888889</v>
      </c>
      <c r="G59" s="90" t="s">
        <v>25</v>
      </c>
      <c r="H59" s="90" t="s">
        <v>25</v>
      </c>
      <c r="I59" s="90" t="s">
        <v>25</v>
      </c>
      <c r="J59" s="90" t="s">
        <v>25</v>
      </c>
      <c r="K59" s="90" t="s">
        <v>25</v>
      </c>
      <c r="L59" s="90" t="s">
        <v>25</v>
      </c>
      <c r="M59" s="90" t="s">
        <v>25</v>
      </c>
      <c r="N59" s="41"/>
      <c r="O59" s="90" t="s">
        <v>25</v>
      </c>
    </row>
    <row r="60">
      <c r="A60" s="29"/>
      <c r="B60" s="30">
        <v>56.0</v>
      </c>
      <c r="C60" s="98" t="s">
        <v>28</v>
      </c>
      <c r="D60" s="98" t="s">
        <v>70</v>
      </c>
      <c r="E60" s="88" t="str">
        <f t="shared" si="2"/>
        <v>9번 중 9번 참여</v>
      </c>
      <c r="F60" s="89">
        <f t="shared" si="3"/>
        <v>1</v>
      </c>
      <c r="G60" s="90" t="s">
        <v>25</v>
      </c>
      <c r="H60" s="90" t="s">
        <v>25</v>
      </c>
      <c r="I60" s="90" t="s">
        <v>25</v>
      </c>
      <c r="J60" s="90" t="s">
        <v>25</v>
      </c>
      <c r="K60" s="90" t="s">
        <v>25</v>
      </c>
      <c r="L60" s="90" t="s">
        <v>25</v>
      </c>
      <c r="M60" s="90" t="s">
        <v>25</v>
      </c>
      <c r="N60" s="90" t="s">
        <v>25</v>
      </c>
      <c r="O60" s="90" t="s">
        <v>25</v>
      </c>
    </row>
    <row r="61">
      <c r="A61" s="21"/>
      <c r="B61" s="22">
        <v>57.0</v>
      </c>
      <c r="C61" s="93" t="s">
        <v>369</v>
      </c>
      <c r="D61" s="93" t="s">
        <v>108</v>
      </c>
      <c r="E61" s="88" t="str">
        <f t="shared" si="2"/>
        <v>9번 중 8번 참여</v>
      </c>
      <c r="F61" s="89">
        <f t="shared" si="3"/>
        <v>0.8888888889</v>
      </c>
      <c r="G61" s="90" t="s">
        <v>25</v>
      </c>
      <c r="H61" s="90" t="s">
        <v>25</v>
      </c>
      <c r="I61" s="90" t="s">
        <v>25</v>
      </c>
      <c r="J61" s="90" t="s">
        <v>25</v>
      </c>
      <c r="K61" s="90" t="s">
        <v>25</v>
      </c>
      <c r="L61" s="41"/>
      <c r="M61" s="90" t="s">
        <v>25</v>
      </c>
      <c r="N61" s="90" t="s">
        <v>25</v>
      </c>
      <c r="O61" s="90" t="s">
        <v>25</v>
      </c>
    </row>
    <row r="62">
      <c r="A62" s="29"/>
      <c r="B62" s="30">
        <v>58.0</v>
      </c>
      <c r="C62" s="201" t="s">
        <v>370</v>
      </c>
      <c r="D62" s="201" t="s">
        <v>139</v>
      </c>
      <c r="E62" s="88" t="str">
        <f t="shared" si="2"/>
        <v>9번 중 9번 참여</v>
      </c>
      <c r="F62" s="89">
        <f t="shared" si="3"/>
        <v>1</v>
      </c>
      <c r="G62" s="90" t="s">
        <v>25</v>
      </c>
      <c r="H62" s="90" t="s">
        <v>25</v>
      </c>
      <c r="I62" s="90" t="s">
        <v>25</v>
      </c>
      <c r="J62" s="90" t="s">
        <v>25</v>
      </c>
      <c r="K62" s="90" t="s">
        <v>25</v>
      </c>
      <c r="L62" s="90" t="s">
        <v>25</v>
      </c>
      <c r="M62" s="90" t="s">
        <v>25</v>
      </c>
      <c r="N62" s="90" t="s">
        <v>25</v>
      </c>
      <c r="O62" s="90" t="s">
        <v>25</v>
      </c>
    </row>
    <row r="63">
      <c r="A63" s="21"/>
      <c r="B63" s="22">
        <v>59.0</v>
      </c>
      <c r="C63" s="93" t="s">
        <v>371</v>
      </c>
      <c r="D63" s="93" t="s">
        <v>137</v>
      </c>
      <c r="E63" s="88" t="str">
        <f t="shared" si="2"/>
        <v>9번 중 9번 참여</v>
      </c>
      <c r="F63" s="89">
        <f t="shared" si="3"/>
        <v>1</v>
      </c>
      <c r="G63" s="90" t="s">
        <v>25</v>
      </c>
      <c r="H63" s="90" t="s">
        <v>25</v>
      </c>
      <c r="I63" s="90" t="s">
        <v>25</v>
      </c>
      <c r="J63" s="90" t="s">
        <v>25</v>
      </c>
      <c r="K63" s="90" t="s">
        <v>25</v>
      </c>
      <c r="L63" s="90" t="s">
        <v>25</v>
      </c>
      <c r="M63" s="90" t="s">
        <v>25</v>
      </c>
      <c r="N63" s="90" t="s">
        <v>25</v>
      </c>
      <c r="O63" s="90" t="s">
        <v>25</v>
      </c>
    </row>
    <row r="64">
      <c r="A64" s="29"/>
      <c r="B64" s="30">
        <v>60.0</v>
      </c>
      <c r="C64" s="201" t="s">
        <v>142</v>
      </c>
      <c r="D64" s="201" t="s">
        <v>143</v>
      </c>
      <c r="E64" s="88" t="str">
        <f t="shared" si="2"/>
        <v>9번 중 6번 참여</v>
      </c>
      <c r="F64" s="89">
        <f t="shared" si="3"/>
        <v>0.6666666667</v>
      </c>
      <c r="G64" s="90" t="s">
        <v>25</v>
      </c>
      <c r="H64" s="90" t="s">
        <v>25</v>
      </c>
      <c r="I64" s="90" t="s">
        <v>25</v>
      </c>
      <c r="J64" s="90" t="s">
        <v>25</v>
      </c>
      <c r="K64" s="41"/>
      <c r="L64" s="41"/>
      <c r="M64" s="41"/>
      <c r="N64" s="90" t="s">
        <v>25</v>
      </c>
      <c r="O64" s="90" t="s">
        <v>25</v>
      </c>
    </row>
    <row r="65">
      <c r="A65" s="21"/>
      <c r="B65" s="22">
        <v>61.0</v>
      </c>
      <c r="C65" s="93" t="s">
        <v>144</v>
      </c>
      <c r="D65" s="93" t="s">
        <v>145</v>
      </c>
      <c r="E65" s="88" t="str">
        <f t="shared" si="2"/>
        <v>9번 중 6번 참여</v>
      </c>
      <c r="F65" s="89">
        <f t="shared" si="3"/>
        <v>0.6666666667</v>
      </c>
      <c r="G65" s="90" t="s">
        <v>25</v>
      </c>
      <c r="H65" s="90" t="s">
        <v>25</v>
      </c>
      <c r="I65" s="90" t="s">
        <v>25</v>
      </c>
      <c r="J65" s="90" t="s">
        <v>25</v>
      </c>
      <c r="K65" s="41"/>
      <c r="L65" s="41"/>
      <c r="M65" s="41"/>
      <c r="N65" s="90" t="s">
        <v>25</v>
      </c>
      <c r="O65" s="90" t="s">
        <v>25</v>
      </c>
    </row>
    <row r="66">
      <c r="A66" s="29"/>
      <c r="B66" s="30">
        <v>62.0</v>
      </c>
      <c r="C66" s="201" t="s">
        <v>146</v>
      </c>
      <c r="D66" s="201" t="s">
        <v>147</v>
      </c>
      <c r="E66" s="88" t="str">
        <f t="shared" si="2"/>
        <v>9번 중 9번 참여</v>
      </c>
      <c r="F66" s="89">
        <f t="shared" si="3"/>
        <v>1</v>
      </c>
      <c r="G66" s="90" t="s">
        <v>25</v>
      </c>
      <c r="H66" s="90" t="s">
        <v>25</v>
      </c>
      <c r="I66" s="90" t="s">
        <v>25</v>
      </c>
      <c r="J66" s="90" t="s">
        <v>25</v>
      </c>
      <c r="K66" s="90" t="s">
        <v>25</v>
      </c>
      <c r="L66" s="90" t="s">
        <v>25</v>
      </c>
      <c r="M66" s="90" t="s">
        <v>25</v>
      </c>
      <c r="N66" s="90" t="s">
        <v>25</v>
      </c>
      <c r="O66" s="90" t="s">
        <v>25</v>
      </c>
    </row>
    <row r="67">
      <c r="A67" s="21"/>
      <c r="B67" s="22">
        <v>63.0</v>
      </c>
      <c r="C67" s="93" t="s">
        <v>148</v>
      </c>
      <c r="D67" s="93" t="s">
        <v>149</v>
      </c>
      <c r="E67" s="88" t="str">
        <f t="shared" si="2"/>
        <v>9번 중 7번 참여</v>
      </c>
      <c r="F67" s="89">
        <f t="shared" si="3"/>
        <v>0.7777777778</v>
      </c>
      <c r="G67" s="90" t="s">
        <v>25</v>
      </c>
      <c r="H67" s="41"/>
      <c r="I67" s="90" t="s">
        <v>25</v>
      </c>
      <c r="J67" s="90" t="s">
        <v>25</v>
      </c>
      <c r="K67" s="90" t="s">
        <v>25</v>
      </c>
      <c r="L67" s="90" t="s">
        <v>25</v>
      </c>
      <c r="M67" s="90" t="s">
        <v>25</v>
      </c>
      <c r="N67" s="90" t="s">
        <v>80</v>
      </c>
      <c r="O67" s="90" t="s">
        <v>25</v>
      </c>
    </row>
    <row r="68">
      <c r="A68" s="29"/>
      <c r="B68" s="30">
        <v>64.0</v>
      </c>
      <c r="C68" s="201" t="s">
        <v>378</v>
      </c>
      <c r="D68" s="201" t="s">
        <v>379</v>
      </c>
      <c r="E68" s="88" t="str">
        <f t="shared" si="2"/>
        <v/>
      </c>
      <c r="F68" s="89" t="str">
        <f t="shared" si="3"/>
        <v/>
      </c>
      <c r="G68" s="41"/>
      <c r="H68" s="41"/>
      <c r="I68" s="41"/>
      <c r="J68" s="41"/>
      <c r="K68" s="41"/>
      <c r="L68" s="41"/>
      <c r="M68" s="41"/>
      <c r="N68" s="41"/>
      <c r="O68" s="41"/>
    </row>
    <row r="69">
      <c r="A69" s="21"/>
      <c r="B69" s="22">
        <v>65.0</v>
      </c>
      <c r="C69" s="101" t="s">
        <v>140</v>
      </c>
      <c r="D69" s="101" t="s">
        <v>141</v>
      </c>
      <c r="E69" s="88" t="str">
        <f t="shared" si="2"/>
        <v>9번 중 8번 참여</v>
      </c>
      <c r="F69" s="89">
        <f t="shared" si="3"/>
        <v>0.8888888889</v>
      </c>
      <c r="G69" s="90" t="s">
        <v>25</v>
      </c>
      <c r="H69" s="41"/>
      <c r="I69" s="90" t="s">
        <v>25</v>
      </c>
      <c r="J69" s="90" t="s">
        <v>25</v>
      </c>
      <c r="K69" s="90" t="s">
        <v>25</v>
      </c>
      <c r="L69" s="90" t="s">
        <v>25</v>
      </c>
      <c r="M69" s="90" t="s">
        <v>25</v>
      </c>
      <c r="N69" s="90" t="s">
        <v>25</v>
      </c>
      <c r="O69" s="90" t="s">
        <v>25</v>
      </c>
    </row>
    <row r="70">
      <c r="A70" s="29"/>
      <c r="B70" s="30">
        <v>66.0</v>
      </c>
      <c r="C70" s="95" t="s">
        <v>150</v>
      </c>
      <c r="D70" s="211" t="s">
        <v>151</v>
      </c>
      <c r="E70" s="88" t="str">
        <f t="shared" si="2"/>
        <v>9번 중 2번 참여</v>
      </c>
      <c r="F70" s="89">
        <f t="shared" si="3"/>
        <v>0.2222222222</v>
      </c>
      <c r="G70" s="90" t="s">
        <v>25</v>
      </c>
      <c r="H70" s="90" t="s">
        <v>25</v>
      </c>
      <c r="I70" s="41"/>
      <c r="J70" s="41"/>
      <c r="K70" s="41"/>
      <c r="L70" s="41"/>
      <c r="M70" s="41"/>
      <c r="N70" s="41"/>
      <c r="O70" s="41"/>
    </row>
    <row r="71">
      <c r="A71" s="21"/>
      <c r="B71" s="22">
        <v>67.0</v>
      </c>
      <c r="C71" s="101" t="s">
        <v>152</v>
      </c>
      <c r="D71" s="101" t="s">
        <v>153</v>
      </c>
      <c r="E71" s="88" t="str">
        <f t="shared" si="2"/>
        <v>9번 중 9번 참여</v>
      </c>
      <c r="F71" s="89">
        <f t="shared" si="3"/>
        <v>1</v>
      </c>
      <c r="G71" s="90" t="s">
        <v>25</v>
      </c>
      <c r="H71" s="90" t="s">
        <v>25</v>
      </c>
      <c r="I71" s="90" t="s">
        <v>25</v>
      </c>
      <c r="J71" s="90" t="s">
        <v>25</v>
      </c>
      <c r="K71" s="90" t="s">
        <v>25</v>
      </c>
      <c r="L71" s="90" t="s">
        <v>25</v>
      </c>
      <c r="M71" s="90" t="s">
        <v>25</v>
      </c>
      <c r="N71" s="90" t="s">
        <v>25</v>
      </c>
      <c r="O71" s="90" t="s">
        <v>25</v>
      </c>
    </row>
    <row r="72">
      <c r="A72" s="29"/>
      <c r="B72" s="30">
        <v>68.0</v>
      </c>
      <c r="C72" s="95" t="s">
        <v>386</v>
      </c>
      <c r="D72" s="101" t="s">
        <v>387</v>
      </c>
      <c r="E72" s="88" t="str">
        <f t="shared" si="2"/>
        <v>9번 중 6번 참여</v>
      </c>
      <c r="F72" s="89">
        <f t="shared" si="3"/>
        <v>0.6666666667</v>
      </c>
      <c r="G72" s="90" t="s">
        <v>25</v>
      </c>
      <c r="H72" s="90" t="s">
        <v>25</v>
      </c>
      <c r="I72" s="90" t="s">
        <v>25</v>
      </c>
      <c r="J72" s="41"/>
      <c r="K72" s="90" t="s">
        <v>25</v>
      </c>
      <c r="L72" s="90" t="s">
        <v>25</v>
      </c>
      <c r="M72" s="41"/>
      <c r="N72" s="90" t="s">
        <v>25</v>
      </c>
      <c r="O72" s="41"/>
    </row>
    <row r="73">
      <c r="A73" s="21"/>
      <c r="B73" s="22">
        <v>69.0</v>
      </c>
      <c r="C73" s="101" t="s">
        <v>156</v>
      </c>
      <c r="D73" s="101" t="s">
        <v>157</v>
      </c>
      <c r="E73" s="88" t="str">
        <f t="shared" si="2"/>
        <v>9번 중 9번 참여</v>
      </c>
      <c r="F73" s="89">
        <f t="shared" si="3"/>
        <v>1</v>
      </c>
      <c r="G73" s="90" t="s">
        <v>25</v>
      </c>
      <c r="H73" s="90" t="s">
        <v>25</v>
      </c>
      <c r="I73" s="90" t="s">
        <v>25</v>
      </c>
      <c r="J73" s="90" t="s">
        <v>25</v>
      </c>
      <c r="K73" s="90" t="s">
        <v>25</v>
      </c>
      <c r="L73" s="90" t="s">
        <v>25</v>
      </c>
      <c r="M73" s="90" t="s">
        <v>25</v>
      </c>
      <c r="N73" s="90" t="s">
        <v>25</v>
      </c>
      <c r="O73" s="90" t="s">
        <v>25</v>
      </c>
    </row>
    <row r="74">
      <c r="A74" s="29"/>
      <c r="B74" s="30">
        <v>70.0</v>
      </c>
      <c r="C74" s="213" t="s">
        <v>425</v>
      </c>
      <c r="D74" s="213" t="s">
        <v>426</v>
      </c>
      <c r="E74" s="88" t="str">
        <f t="shared" si="2"/>
        <v>9번 중 9번 참여</v>
      </c>
      <c r="F74" s="89">
        <f t="shared" si="3"/>
        <v>1</v>
      </c>
      <c r="G74" s="90" t="s">
        <v>25</v>
      </c>
      <c r="H74" s="90" t="s">
        <v>25</v>
      </c>
      <c r="I74" s="90" t="s">
        <v>25</v>
      </c>
      <c r="J74" s="90" t="s">
        <v>25</v>
      </c>
      <c r="K74" s="90" t="s">
        <v>25</v>
      </c>
      <c r="L74" s="90" t="s">
        <v>25</v>
      </c>
      <c r="M74" s="90" t="s">
        <v>25</v>
      </c>
      <c r="N74" s="90" t="s">
        <v>25</v>
      </c>
      <c r="O74" s="90" t="s">
        <v>25</v>
      </c>
    </row>
    <row r="75">
      <c r="A75" s="21"/>
      <c r="B75" s="22">
        <v>71.0</v>
      </c>
      <c r="C75" s="101" t="s">
        <v>427</v>
      </c>
      <c r="D75" s="101" t="s">
        <v>428</v>
      </c>
      <c r="E75" s="88" t="str">
        <f t="shared" si="2"/>
        <v/>
      </c>
      <c r="F75" s="89" t="str">
        <f t="shared" si="3"/>
        <v/>
      </c>
      <c r="G75" s="41"/>
      <c r="H75" s="41"/>
      <c r="I75" s="41"/>
      <c r="J75" s="41"/>
      <c r="K75" s="41"/>
      <c r="L75" s="41"/>
      <c r="M75" s="41"/>
      <c r="N75" s="41"/>
      <c r="O75" s="41"/>
    </row>
    <row r="76">
      <c r="A76" s="29"/>
      <c r="B76" s="30">
        <v>72.0</v>
      </c>
      <c r="C76" s="95" t="s">
        <v>162</v>
      </c>
      <c r="D76" s="95" t="s">
        <v>163</v>
      </c>
      <c r="E76" s="88" t="str">
        <f t="shared" si="2"/>
        <v>9번 중 8번 참여</v>
      </c>
      <c r="F76" s="89">
        <f t="shared" si="3"/>
        <v>0.8888888889</v>
      </c>
      <c r="G76" s="90" t="s">
        <v>25</v>
      </c>
      <c r="H76" s="90" t="s">
        <v>25</v>
      </c>
      <c r="I76" s="90" t="s">
        <v>25</v>
      </c>
      <c r="J76" s="90" t="s">
        <v>25</v>
      </c>
      <c r="K76" s="90" t="s">
        <v>25</v>
      </c>
      <c r="L76" s="90" t="s">
        <v>25</v>
      </c>
      <c r="M76" s="90" t="s">
        <v>25</v>
      </c>
      <c r="N76" s="90" t="s">
        <v>25</v>
      </c>
      <c r="O76" s="41"/>
    </row>
    <row r="77">
      <c r="A77" s="21"/>
      <c r="B77" s="22">
        <v>73.0</v>
      </c>
      <c r="C77" s="95" t="s">
        <v>164</v>
      </c>
      <c r="D77" s="95" t="s">
        <v>165</v>
      </c>
      <c r="E77" s="88" t="str">
        <f t="shared" si="2"/>
        <v>9번 중 9번 참여</v>
      </c>
      <c r="F77" s="89">
        <f t="shared" si="3"/>
        <v>1</v>
      </c>
      <c r="G77" s="90" t="s">
        <v>25</v>
      </c>
      <c r="H77" s="90" t="s">
        <v>25</v>
      </c>
      <c r="I77" s="90" t="s">
        <v>25</v>
      </c>
      <c r="J77" s="90" t="s">
        <v>25</v>
      </c>
      <c r="K77" s="90" t="s">
        <v>25</v>
      </c>
      <c r="L77" s="90" t="s">
        <v>25</v>
      </c>
      <c r="M77" s="90" t="s">
        <v>25</v>
      </c>
      <c r="N77" s="90" t="s">
        <v>25</v>
      </c>
      <c r="O77" s="90" t="s">
        <v>25</v>
      </c>
    </row>
    <row r="78">
      <c r="A78" s="29"/>
      <c r="B78" s="30">
        <v>74.0</v>
      </c>
      <c r="C78" s="95" t="s">
        <v>66</v>
      </c>
      <c r="D78" s="101" t="s">
        <v>67</v>
      </c>
      <c r="E78" s="88" t="str">
        <f t="shared" si="2"/>
        <v>9번 중 8번 참여</v>
      </c>
      <c r="F78" s="89">
        <f t="shared" si="3"/>
        <v>0.8888888889</v>
      </c>
      <c r="G78" s="90" t="s">
        <v>25</v>
      </c>
      <c r="H78" s="90" t="s">
        <v>25</v>
      </c>
      <c r="I78" s="90" t="s">
        <v>25</v>
      </c>
      <c r="J78" s="90" t="s">
        <v>25</v>
      </c>
      <c r="K78" s="90" t="s">
        <v>25</v>
      </c>
      <c r="L78" s="90" t="s">
        <v>25</v>
      </c>
      <c r="M78" s="90" t="s">
        <v>25</v>
      </c>
      <c r="N78" s="90" t="s">
        <v>25</v>
      </c>
      <c r="O78" s="41"/>
    </row>
    <row r="79">
      <c r="A79" s="21"/>
      <c r="B79" s="22">
        <v>75.0</v>
      </c>
      <c r="C79" s="101" t="s">
        <v>134</v>
      </c>
      <c r="D79" s="214" t="s">
        <v>429</v>
      </c>
      <c r="E79" s="88" t="str">
        <f t="shared" si="2"/>
        <v>9번 중 1번 참여</v>
      </c>
      <c r="F79" s="89">
        <f t="shared" si="3"/>
        <v>0.1111111111</v>
      </c>
      <c r="G79" s="90" t="s">
        <v>25</v>
      </c>
      <c r="H79" s="41"/>
      <c r="I79" s="41"/>
      <c r="J79" s="41"/>
      <c r="K79" s="41"/>
      <c r="L79" s="41"/>
      <c r="M79" s="41"/>
      <c r="N79" s="41"/>
      <c r="O79" s="41"/>
    </row>
    <row r="80">
      <c r="A80" s="29"/>
      <c r="B80" s="30">
        <v>76.0</v>
      </c>
      <c r="C80" s="95" t="s">
        <v>154</v>
      </c>
      <c r="D80" s="95" t="s">
        <v>155</v>
      </c>
      <c r="E80" s="88" t="str">
        <f t="shared" si="2"/>
        <v>9번 중 9번 참여</v>
      </c>
      <c r="F80" s="89">
        <f t="shared" si="3"/>
        <v>1</v>
      </c>
      <c r="G80" s="90" t="s">
        <v>25</v>
      </c>
      <c r="H80" s="90" t="s">
        <v>25</v>
      </c>
      <c r="I80" s="90" t="s">
        <v>25</v>
      </c>
      <c r="J80" s="90" t="s">
        <v>25</v>
      </c>
      <c r="K80" s="90" t="s">
        <v>25</v>
      </c>
      <c r="L80" s="90" t="s">
        <v>25</v>
      </c>
      <c r="M80" s="90" t="s">
        <v>25</v>
      </c>
      <c r="N80" s="90" t="s">
        <v>25</v>
      </c>
      <c r="O80" s="90" t="s">
        <v>25</v>
      </c>
    </row>
    <row r="81">
      <c r="A81" s="21"/>
      <c r="B81" s="22">
        <v>77.0</v>
      </c>
      <c r="C81" s="94" t="s">
        <v>430</v>
      </c>
      <c r="D81" s="94" t="s">
        <v>431</v>
      </c>
      <c r="E81" s="88" t="str">
        <f t="shared" si="2"/>
        <v/>
      </c>
      <c r="F81" s="89" t="str">
        <f t="shared" si="3"/>
        <v/>
      </c>
      <c r="G81" s="41"/>
      <c r="H81" s="41"/>
      <c r="I81" s="41"/>
      <c r="J81" s="41"/>
      <c r="K81" s="41"/>
      <c r="L81" s="41"/>
      <c r="M81" s="41"/>
      <c r="N81" s="41"/>
      <c r="O81" s="41"/>
    </row>
    <row r="82">
      <c r="A82" s="29"/>
      <c r="B82" s="30">
        <v>78.0</v>
      </c>
      <c r="C82" s="101" t="s">
        <v>170</v>
      </c>
      <c r="D82" s="101" t="s">
        <v>171</v>
      </c>
      <c r="E82" s="88" t="str">
        <f t="shared" si="2"/>
        <v>9번 중 9번 참여</v>
      </c>
      <c r="F82" s="89">
        <f t="shared" si="3"/>
        <v>1</v>
      </c>
      <c r="G82" s="90" t="s">
        <v>25</v>
      </c>
      <c r="H82" s="90" t="s">
        <v>25</v>
      </c>
      <c r="I82" s="90" t="s">
        <v>25</v>
      </c>
      <c r="J82" s="90" t="s">
        <v>25</v>
      </c>
      <c r="K82" s="90" t="s">
        <v>25</v>
      </c>
      <c r="L82" s="90" t="s">
        <v>25</v>
      </c>
      <c r="M82" s="90" t="s">
        <v>25</v>
      </c>
      <c r="N82" s="90" t="s">
        <v>25</v>
      </c>
      <c r="O82" s="90" t="s">
        <v>25</v>
      </c>
    </row>
    <row r="83">
      <c r="A83" s="21"/>
      <c r="B83" s="22">
        <v>79.0</v>
      </c>
      <c r="C83" s="101" t="s">
        <v>172</v>
      </c>
      <c r="D83" s="101" t="s">
        <v>173</v>
      </c>
      <c r="E83" s="88" t="str">
        <f t="shared" si="2"/>
        <v>9번 중 9번 참여</v>
      </c>
      <c r="F83" s="89">
        <f t="shared" si="3"/>
        <v>1</v>
      </c>
      <c r="G83" s="90" t="s">
        <v>25</v>
      </c>
      <c r="H83" s="90" t="s">
        <v>25</v>
      </c>
      <c r="I83" s="90" t="s">
        <v>25</v>
      </c>
      <c r="J83" s="90" t="s">
        <v>25</v>
      </c>
      <c r="K83" s="90" t="s">
        <v>25</v>
      </c>
      <c r="L83" s="90" t="s">
        <v>25</v>
      </c>
      <c r="M83" s="90" t="s">
        <v>25</v>
      </c>
      <c r="N83" s="90" t="s">
        <v>25</v>
      </c>
      <c r="O83" s="90" t="s">
        <v>25</v>
      </c>
    </row>
    <row r="84">
      <c r="A84" s="29"/>
      <c r="B84" s="30">
        <v>80.0</v>
      </c>
      <c r="C84" s="216" t="s">
        <v>422</v>
      </c>
      <c r="D84" s="95" t="s">
        <v>423</v>
      </c>
      <c r="E84" s="88" t="str">
        <f t="shared" si="2"/>
        <v>9번 중 2번 참여</v>
      </c>
      <c r="F84" s="89">
        <f t="shared" si="3"/>
        <v>0.2222222222</v>
      </c>
      <c r="G84" s="90" t="s">
        <v>25</v>
      </c>
      <c r="H84" s="90" t="s">
        <v>25</v>
      </c>
      <c r="I84" s="41"/>
      <c r="J84" s="41"/>
      <c r="K84" s="41"/>
      <c r="L84" s="41"/>
      <c r="M84" s="41"/>
      <c r="N84" s="41"/>
      <c r="O84" s="41"/>
    </row>
    <row r="85">
      <c r="A85" s="21"/>
      <c r="B85" s="22">
        <v>81.0</v>
      </c>
      <c r="C85" s="218" t="s">
        <v>339</v>
      </c>
      <c r="D85" s="219" t="s">
        <v>340</v>
      </c>
      <c r="E85" s="88" t="str">
        <f t="shared" si="2"/>
        <v>9번 중 4번 참여</v>
      </c>
      <c r="F85" s="89">
        <f t="shared" si="3"/>
        <v>0.4444444444</v>
      </c>
      <c r="G85" s="90" t="s">
        <v>25</v>
      </c>
      <c r="H85" s="90" t="s">
        <v>25</v>
      </c>
      <c r="I85" s="90" t="s">
        <v>25</v>
      </c>
      <c r="J85" s="41"/>
      <c r="K85" s="41"/>
      <c r="L85" s="41"/>
      <c r="M85" s="90" t="s">
        <v>25</v>
      </c>
      <c r="N85" s="41"/>
      <c r="O85" s="41"/>
    </row>
    <row r="86">
      <c r="A86" s="29"/>
      <c r="B86" s="30">
        <v>82.0</v>
      </c>
      <c r="C86" s="95" t="s">
        <v>174</v>
      </c>
      <c r="D86" s="211" t="s">
        <v>175</v>
      </c>
      <c r="E86" s="88" t="str">
        <f t="shared" si="2"/>
        <v>9번 중 3번 참여</v>
      </c>
      <c r="F86" s="89">
        <f t="shared" si="3"/>
        <v>0.3333333333</v>
      </c>
      <c r="G86" s="90" t="s">
        <v>25</v>
      </c>
      <c r="H86" s="90" t="s">
        <v>25</v>
      </c>
      <c r="I86" s="41"/>
      <c r="J86" s="41"/>
      <c r="K86" s="41"/>
      <c r="L86" s="41"/>
      <c r="M86" s="41"/>
      <c r="N86" s="41"/>
      <c r="O86" s="90" t="s">
        <v>25</v>
      </c>
    </row>
    <row r="87">
      <c r="A87" s="21"/>
      <c r="B87" s="22">
        <v>83.0</v>
      </c>
      <c r="C87" s="101" t="s">
        <v>168</v>
      </c>
      <c r="D87" s="101" t="s">
        <v>169</v>
      </c>
      <c r="E87" s="88" t="str">
        <f t="shared" si="2"/>
        <v>9번 중 6번 참여</v>
      </c>
      <c r="F87" s="89">
        <f t="shared" si="3"/>
        <v>0.6666666667</v>
      </c>
      <c r="G87" s="90" t="s">
        <v>25</v>
      </c>
      <c r="H87" s="90" t="s">
        <v>25</v>
      </c>
      <c r="I87" s="90" t="s">
        <v>25</v>
      </c>
      <c r="J87" s="90" t="s">
        <v>25</v>
      </c>
      <c r="K87" s="90" t="s">
        <v>25</v>
      </c>
      <c r="L87" s="41"/>
      <c r="M87" s="41"/>
      <c r="N87" s="90" t="s">
        <v>25</v>
      </c>
      <c r="O87" s="41"/>
    </row>
    <row r="88">
      <c r="A88" s="29"/>
      <c r="B88" s="30">
        <v>84.0</v>
      </c>
      <c r="C88" s="201" t="s">
        <v>384</v>
      </c>
      <c r="D88" s="201" t="s">
        <v>385</v>
      </c>
      <c r="E88" s="88" t="str">
        <f t="shared" si="2"/>
        <v/>
      </c>
      <c r="F88" s="89" t="str">
        <f t="shared" si="3"/>
        <v/>
      </c>
      <c r="G88" s="41"/>
      <c r="H88" s="41"/>
      <c r="I88" s="41"/>
      <c r="J88" s="41"/>
      <c r="K88" s="41"/>
      <c r="L88" s="41"/>
      <c r="M88" s="41"/>
      <c r="N88" s="41"/>
      <c r="O88" s="41"/>
    </row>
    <row r="89">
      <c r="A89" s="21"/>
      <c r="B89" s="22">
        <v>85.0</v>
      </c>
      <c r="C89" s="101" t="s">
        <v>456</v>
      </c>
      <c r="D89" s="101" t="s">
        <v>457</v>
      </c>
      <c r="E89" s="88" t="str">
        <f t="shared" si="2"/>
        <v/>
      </c>
      <c r="F89" s="89" t="str">
        <f t="shared" si="3"/>
        <v/>
      </c>
      <c r="G89" s="41"/>
      <c r="H89" s="41"/>
      <c r="I89" s="41"/>
      <c r="J89" s="41"/>
      <c r="K89" s="41"/>
      <c r="L89" s="41"/>
      <c r="M89" s="41"/>
      <c r="N89" s="41"/>
      <c r="O89" s="41"/>
    </row>
    <row r="90">
      <c r="A90" s="29"/>
      <c r="B90" s="30">
        <v>86.0</v>
      </c>
      <c r="C90" s="95" t="s">
        <v>459</v>
      </c>
      <c r="D90" s="95" t="s">
        <v>375</v>
      </c>
      <c r="E90" s="88" t="str">
        <f t="shared" si="2"/>
        <v/>
      </c>
      <c r="F90" s="89" t="str">
        <f t="shared" si="3"/>
        <v/>
      </c>
      <c r="G90" s="41"/>
      <c r="H90" s="41"/>
      <c r="I90" s="41"/>
      <c r="J90" s="41"/>
      <c r="K90" s="41"/>
      <c r="L90" s="41"/>
      <c r="M90" s="41"/>
      <c r="N90" s="41"/>
      <c r="O90" s="41"/>
    </row>
    <row r="91">
      <c r="A91" s="21"/>
      <c r="B91" s="22">
        <v>87.0</v>
      </c>
      <c r="C91" s="237" t="s">
        <v>180</v>
      </c>
      <c r="D91" s="237" t="s">
        <v>181</v>
      </c>
      <c r="E91" s="88" t="str">
        <f t="shared" si="2"/>
        <v>9번 중 9번 참여</v>
      </c>
      <c r="F91" s="89">
        <f t="shared" si="3"/>
        <v>1</v>
      </c>
      <c r="G91" s="90" t="s">
        <v>25</v>
      </c>
      <c r="H91" s="90" t="s">
        <v>25</v>
      </c>
      <c r="I91" s="90" t="s">
        <v>25</v>
      </c>
      <c r="J91" s="90" t="s">
        <v>25</v>
      </c>
      <c r="K91" s="90" t="s">
        <v>25</v>
      </c>
      <c r="L91" s="90" t="s">
        <v>25</v>
      </c>
      <c r="M91" s="90" t="s">
        <v>25</v>
      </c>
      <c r="N91" s="90" t="s">
        <v>25</v>
      </c>
      <c r="O91" s="90" t="s">
        <v>25</v>
      </c>
    </row>
    <row r="92">
      <c r="A92" s="29"/>
      <c r="B92" s="30">
        <v>88.0</v>
      </c>
      <c r="C92" s="238" t="s">
        <v>460</v>
      </c>
      <c r="D92" s="238" t="s">
        <v>461</v>
      </c>
      <c r="E92" s="88" t="str">
        <f t="shared" si="2"/>
        <v>9번 중 9번 참여</v>
      </c>
      <c r="F92" s="89">
        <f t="shared" si="3"/>
        <v>1</v>
      </c>
      <c r="G92" s="90" t="s">
        <v>25</v>
      </c>
      <c r="H92" s="90" t="s">
        <v>25</v>
      </c>
      <c r="I92" s="90" t="s">
        <v>25</v>
      </c>
      <c r="J92" s="90" t="s">
        <v>25</v>
      </c>
      <c r="K92" s="90" t="s">
        <v>25</v>
      </c>
      <c r="L92" s="90" t="s">
        <v>25</v>
      </c>
      <c r="M92" s="90" t="s">
        <v>25</v>
      </c>
      <c r="N92" s="90" t="s">
        <v>25</v>
      </c>
      <c r="O92" s="90" t="s">
        <v>25</v>
      </c>
    </row>
    <row r="93">
      <c r="A93" s="21"/>
      <c r="B93" s="22">
        <v>89.0</v>
      </c>
      <c r="C93" s="239" t="s">
        <v>462</v>
      </c>
      <c r="D93" s="240" t="s">
        <v>463</v>
      </c>
      <c r="E93" s="88" t="str">
        <f t="shared" si="2"/>
        <v>9번 중 9번 참여</v>
      </c>
      <c r="F93" s="89">
        <f t="shared" si="3"/>
        <v>1</v>
      </c>
      <c r="G93" s="90" t="s">
        <v>25</v>
      </c>
      <c r="H93" s="90" t="s">
        <v>25</v>
      </c>
      <c r="I93" s="90" t="s">
        <v>25</v>
      </c>
      <c r="J93" s="90" t="s">
        <v>25</v>
      </c>
      <c r="K93" s="90" t="s">
        <v>25</v>
      </c>
      <c r="L93" s="90" t="s">
        <v>25</v>
      </c>
      <c r="M93" s="90" t="s">
        <v>25</v>
      </c>
      <c r="N93" s="90" t="s">
        <v>25</v>
      </c>
      <c r="O93" s="90" t="s">
        <v>25</v>
      </c>
    </row>
    <row r="94">
      <c r="A94" s="29"/>
      <c r="B94" s="30">
        <v>90.0</v>
      </c>
      <c r="C94" s="238" t="s">
        <v>464</v>
      </c>
      <c r="D94" s="238" t="s">
        <v>465</v>
      </c>
      <c r="E94" s="88" t="str">
        <f t="shared" si="2"/>
        <v>9번 중 2번 참여</v>
      </c>
      <c r="F94" s="89">
        <f t="shared" si="3"/>
        <v>0.2222222222</v>
      </c>
      <c r="G94" s="90" t="s">
        <v>25</v>
      </c>
      <c r="H94" s="41"/>
      <c r="I94" s="41"/>
      <c r="J94" s="41"/>
      <c r="K94" s="90" t="s">
        <v>25</v>
      </c>
      <c r="L94" s="41"/>
      <c r="M94" s="41"/>
      <c r="N94" s="41"/>
      <c r="O94" s="41"/>
    </row>
    <row r="95">
      <c r="A95" s="21"/>
      <c r="B95" s="22">
        <v>91.0</v>
      </c>
      <c r="C95" s="238" t="s">
        <v>182</v>
      </c>
      <c r="D95" s="238" t="s">
        <v>183</v>
      </c>
      <c r="E95" s="88" t="str">
        <f t="shared" si="2"/>
        <v>9번 중 8번 참여</v>
      </c>
      <c r="F95" s="89">
        <f t="shared" si="3"/>
        <v>0.8888888889</v>
      </c>
      <c r="G95" s="90" t="s">
        <v>25</v>
      </c>
      <c r="H95" s="90" t="s">
        <v>25</v>
      </c>
      <c r="I95" s="90" t="s">
        <v>25</v>
      </c>
      <c r="J95" s="90" t="s">
        <v>25</v>
      </c>
      <c r="K95" s="41"/>
      <c r="L95" s="90" t="s">
        <v>25</v>
      </c>
      <c r="M95" s="90" t="s">
        <v>25</v>
      </c>
      <c r="N95" s="90" t="s">
        <v>25</v>
      </c>
      <c r="O95" s="90" t="s">
        <v>25</v>
      </c>
    </row>
    <row r="96">
      <c r="A96" s="29"/>
      <c r="B96" s="30">
        <v>92.0</v>
      </c>
      <c r="C96" s="266" t="s">
        <v>489</v>
      </c>
      <c r="D96" s="257" t="s">
        <v>490</v>
      </c>
      <c r="E96" s="88" t="str">
        <f t="shared" si="2"/>
        <v>9번 중 9번 참여</v>
      </c>
      <c r="F96" s="89">
        <f t="shared" si="3"/>
        <v>1</v>
      </c>
      <c r="G96" s="90" t="s">
        <v>25</v>
      </c>
      <c r="H96" s="90" t="s">
        <v>25</v>
      </c>
      <c r="I96" s="90" t="s">
        <v>25</v>
      </c>
      <c r="J96" s="90" t="s">
        <v>25</v>
      </c>
      <c r="K96" s="90" t="s">
        <v>25</v>
      </c>
      <c r="L96" s="90" t="s">
        <v>25</v>
      </c>
      <c r="M96" s="90" t="s">
        <v>25</v>
      </c>
      <c r="N96" s="90" t="s">
        <v>25</v>
      </c>
      <c r="O96" s="90" t="s">
        <v>25</v>
      </c>
    </row>
    <row r="97">
      <c r="A97" s="21"/>
      <c r="B97" s="22">
        <v>93.0</v>
      </c>
      <c r="C97" s="113" t="s">
        <v>491</v>
      </c>
      <c r="D97" s="258" t="s">
        <v>492</v>
      </c>
      <c r="E97" s="88" t="str">
        <f t="shared" si="2"/>
        <v/>
      </c>
      <c r="F97" s="89" t="str">
        <f t="shared" si="3"/>
        <v/>
      </c>
      <c r="G97" s="41"/>
      <c r="H97" s="41"/>
      <c r="I97" s="41"/>
      <c r="J97" s="41"/>
      <c r="K97" s="41"/>
      <c r="L97" s="41"/>
      <c r="M97" s="41"/>
      <c r="N97" s="41"/>
      <c r="O97" s="41"/>
    </row>
    <row r="98">
      <c r="A98" s="29"/>
      <c r="B98" s="30">
        <v>94.0</v>
      </c>
      <c r="C98" s="111" t="s">
        <v>126</v>
      </c>
      <c r="D98" s="259" t="s">
        <v>127</v>
      </c>
      <c r="E98" s="88" t="str">
        <f t="shared" si="2"/>
        <v>9번 중 6번 참여</v>
      </c>
      <c r="F98" s="89">
        <f t="shared" si="3"/>
        <v>0.6666666667</v>
      </c>
      <c r="G98" s="90" t="s">
        <v>25</v>
      </c>
      <c r="H98" s="90" t="s">
        <v>25</v>
      </c>
      <c r="I98" s="41"/>
      <c r="J98" s="41"/>
      <c r="K98" s="90" t="s">
        <v>25</v>
      </c>
      <c r="L98" s="90" t="s">
        <v>25</v>
      </c>
      <c r="M98" s="41"/>
      <c r="N98" s="90" t="s">
        <v>25</v>
      </c>
      <c r="O98" s="90" t="s">
        <v>25</v>
      </c>
    </row>
    <row r="99">
      <c r="A99" s="21"/>
      <c r="B99" s="22">
        <v>95.0</v>
      </c>
      <c r="C99" s="239" t="s">
        <v>493</v>
      </c>
      <c r="D99" s="260" t="s">
        <v>206</v>
      </c>
      <c r="E99" s="88" t="str">
        <f t="shared" si="2"/>
        <v>9번 중 5번 참여</v>
      </c>
      <c r="F99" s="89">
        <f t="shared" si="3"/>
        <v>0.5555555556</v>
      </c>
      <c r="G99" s="41"/>
      <c r="H99" s="90" t="s">
        <v>25</v>
      </c>
      <c r="I99" s="41"/>
      <c r="J99" s="90" t="s">
        <v>25</v>
      </c>
      <c r="K99" s="90" t="s">
        <v>25</v>
      </c>
      <c r="L99" s="90" t="s">
        <v>25</v>
      </c>
      <c r="M99" s="90" t="s">
        <v>25</v>
      </c>
      <c r="N99" s="41"/>
      <c r="O99" s="41"/>
    </row>
    <row r="100">
      <c r="A100" s="29"/>
      <c r="B100" s="30">
        <v>96.0</v>
      </c>
      <c r="C100" s="238" t="s">
        <v>178</v>
      </c>
      <c r="D100" s="238" t="s">
        <v>514</v>
      </c>
      <c r="E100" s="88" t="str">
        <f t="shared" si="2"/>
        <v/>
      </c>
      <c r="F100" s="89" t="str">
        <f t="shared" si="3"/>
        <v/>
      </c>
      <c r="G100" s="41"/>
      <c r="H100" s="41"/>
      <c r="I100" s="41"/>
      <c r="J100" s="41"/>
      <c r="K100" s="41"/>
      <c r="L100" s="41"/>
      <c r="M100" s="41"/>
      <c r="N100" s="41"/>
      <c r="O100" s="41"/>
    </row>
    <row r="101">
      <c r="A101" s="21"/>
      <c r="B101" s="22">
        <v>97.0</v>
      </c>
      <c r="C101" s="68"/>
      <c r="D101" s="68"/>
      <c r="E101" s="88" t="str">
        <f t="shared" si="2"/>
        <v/>
      </c>
      <c r="F101" s="89" t="str">
        <f t="shared" si="3"/>
        <v/>
      </c>
      <c r="G101" s="41"/>
      <c r="H101" s="41"/>
      <c r="I101" s="41"/>
      <c r="J101" s="41"/>
      <c r="K101" s="41"/>
      <c r="L101" s="41"/>
      <c r="M101" s="41"/>
      <c r="N101" s="41"/>
      <c r="O101" s="41"/>
    </row>
    <row r="102">
      <c r="A102" s="29"/>
      <c r="B102" s="30">
        <v>98.0</v>
      </c>
      <c r="C102" s="67"/>
      <c r="D102" s="67"/>
      <c r="E102" s="88" t="str">
        <f t="shared" si="2"/>
        <v/>
      </c>
      <c r="F102" s="89" t="str">
        <f t="shared" si="3"/>
        <v/>
      </c>
      <c r="G102" s="41"/>
      <c r="H102" s="41"/>
      <c r="I102" s="41"/>
      <c r="J102" s="41"/>
      <c r="K102" s="41"/>
      <c r="L102" s="41"/>
      <c r="M102" s="41"/>
      <c r="N102" s="41"/>
      <c r="O102" s="41"/>
    </row>
    <row r="103">
      <c r="A103" s="21"/>
      <c r="B103" s="22">
        <v>99.0</v>
      </c>
      <c r="C103" s="68"/>
      <c r="D103" s="68"/>
      <c r="E103" s="88" t="str">
        <f t="shared" si="2"/>
        <v/>
      </c>
      <c r="F103" s="89" t="str">
        <f t="shared" si="3"/>
        <v/>
      </c>
      <c r="G103" s="41"/>
      <c r="H103" s="41"/>
      <c r="I103" s="41"/>
      <c r="J103" s="41"/>
      <c r="K103" s="41"/>
      <c r="L103" s="41"/>
      <c r="M103" s="41"/>
      <c r="N103" s="41"/>
      <c r="O103" s="41"/>
    </row>
    <row r="104">
      <c r="A104" s="29"/>
      <c r="B104" s="30">
        <v>100.0</v>
      </c>
      <c r="C104" s="67"/>
      <c r="D104" s="67"/>
      <c r="E104" s="88" t="str">
        <f t="shared" si="2"/>
        <v/>
      </c>
      <c r="F104" s="89" t="str">
        <f t="shared" si="3"/>
        <v/>
      </c>
      <c r="G104" s="41"/>
      <c r="H104" s="41"/>
      <c r="I104" s="41"/>
      <c r="J104" s="41"/>
      <c r="K104" s="41"/>
      <c r="L104" s="41"/>
      <c r="M104" s="41"/>
      <c r="N104" s="41"/>
      <c r="O104" s="41"/>
    </row>
    <row r="105">
      <c r="A105" s="21"/>
      <c r="B105" s="22">
        <v>101.0</v>
      </c>
      <c r="C105" s="68"/>
      <c r="D105" s="68"/>
      <c r="E105" s="88" t="str">
        <f t="shared" si="2"/>
        <v/>
      </c>
      <c r="F105" s="89" t="str">
        <f t="shared" si="3"/>
        <v/>
      </c>
      <c r="G105" s="41"/>
      <c r="H105" s="41"/>
      <c r="I105" s="41"/>
      <c r="J105" s="41"/>
      <c r="K105" s="41"/>
      <c r="L105" s="41"/>
      <c r="M105" s="41"/>
      <c r="N105" s="41"/>
      <c r="O105" s="41"/>
    </row>
    <row r="106">
      <c r="A106" s="29"/>
      <c r="B106" s="30">
        <v>102.0</v>
      </c>
      <c r="C106" s="67"/>
      <c r="D106" s="67"/>
      <c r="E106" s="88" t="str">
        <f t="shared" si="2"/>
        <v/>
      </c>
      <c r="F106" s="89" t="str">
        <f t="shared" si="3"/>
        <v/>
      </c>
      <c r="G106" s="41"/>
      <c r="H106" s="41"/>
      <c r="I106" s="41"/>
      <c r="J106" s="41"/>
      <c r="K106" s="41"/>
      <c r="L106" s="41"/>
      <c r="M106" s="41"/>
      <c r="N106" s="41"/>
      <c r="O106" s="41"/>
    </row>
    <row r="107">
      <c r="A107" s="21"/>
      <c r="B107" s="22">
        <v>103.0</v>
      </c>
      <c r="C107" s="68"/>
      <c r="D107" s="68"/>
      <c r="E107" s="88" t="str">
        <f t="shared" si="2"/>
        <v/>
      </c>
      <c r="F107" s="89" t="str">
        <f t="shared" si="3"/>
        <v/>
      </c>
      <c r="G107" s="41"/>
      <c r="H107" s="41"/>
      <c r="I107" s="41"/>
      <c r="J107" s="41"/>
      <c r="K107" s="41"/>
      <c r="L107" s="41"/>
      <c r="M107" s="41"/>
      <c r="N107" s="41"/>
      <c r="O107" s="41"/>
    </row>
    <row r="108">
      <c r="A108" s="29"/>
      <c r="B108" s="30">
        <v>104.0</v>
      </c>
      <c r="C108" s="67"/>
      <c r="D108" s="67"/>
      <c r="E108" s="88" t="str">
        <f t="shared" si="2"/>
        <v/>
      </c>
      <c r="F108" s="89" t="str">
        <f t="shared" si="3"/>
        <v/>
      </c>
      <c r="G108" s="41"/>
      <c r="H108" s="41"/>
      <c r="I108" s="41"/>
      <c r="J108" s="41"/>
      <c r="K108" s="41"/>
      <c r="L108" s="41"/>
      <c r="M108" s="41"/>
      <c r="N108" s="41"/>
      <c r="O108" s="41"/>
    </row>
    <row r="109">
      <c r="A109" s="21"/>
      <c r="B109" s="22">
        <v>105.0</v>
      </c>
      <c r="C109" s="68"/>
      <c r="D109" s="68"/>
      <c r="E109" s="88" t="str">
        <f t="shared" si="2"/>
        <v/>
      </c>
      <c r="F109" s="89" t="str">
        <f t="shared" si="3"/>
        <v/>
      </c>
      <c r="G109" s="41"/>
      <c r="H109" s="41"/>
      <c r="I109" s="41"/>
      <c r="J109" s="41"/>
      <c r="K109" s="41"/>
      <c r="L109" s="41"/>
      <c r="M109" s="41"/>
      <c r="N109" s="41"/>
      <c r="O109" s="41"/>
    </row>
    <row r="110">
      <c r="A110" s="29"/>
      <c r="B110" s="30">
        <v>106.0</v>
      </c>
      <c r="C110" s="67"/>
      <c r="D110" s="67"/>
      <c r="E110" s="88" t="str">
        <f t="shared" si="2"/>
        <v/>
      </c>
      <c r="F110" s="89" t="str">
        <f t="shared" si="3"/>
        <v/>
      </c>
      <c r="G110" s="41"/>
      <c r="H110" s="41"/>
      <c r="I110" s="41"/>
      <c r="J110" s="41"/>
      <c r="K110" s="41"/>
      <c r="L110" s="41"/>
      <c r="M110" s="41"/>
      <c r="N110" s="41"/>
      <c r="O110" s="41"/>
    </row>
    <row r="111">
      <c r="A111" s="21"/>
      <c r="B111" s="22">
        <v>107.0</v>
      </c>
      <c r="C111" s="68"/>
      <c r="D111" s="68"/>
      <c r="E111" s="88" t="str">
        <f t="shared" si="2"/>
        <v/>
      </c>
      <c r="F111" s="89" t="str">
        <f t="shared" si="3"/>
        <v/>
      </c>
      <c r="G111" s="41"/>
      <c r="H111" s="41"/>
      <c r="I111" s="41"/>
      <c r="J111" s="41"/>
      <c r="K111" s="41"/>
      <c r="L111" s="41"/>
      <c r="M111" s="41"/>
      <c r="N111" s="41"/>
      <c r="O111" s="41"/>
    </row>
    <row r="112">
      <c r="A112" s="29"/>
      <c r="B112" s="30">
        <v>108.0</v>
      </c>
      <c r="C112" s="67"/>
      <c r="D112" s="67"/>
      <c r="E112" s="88" t="str">
        <f t="shared" si="2"/>
        <v/>
      </c>
      <c r="F112" s="89" t="str">
        <f t="shared" si="3"/>
        <v/>
      </c>
      <c r="G112" s="41"/>
      <c r="H112" s="41"/>
      <c r="I112" s="41"/>
      <c r="J112" s="41"/>
      <c r="K112" s="41"/>
      <c r="L112" s="41"/>
      <c r="M112" s="41"/>
      <c r="N112" s="41"/>
      <c r="O112" s="41"/>
    </row>
    <row r="113">
      <c r="A113" s="21"/>
      <c r="B113" s="22">
        <v>109.0</v>
      </c>
      <c r="C113" s="68"/>
      <c r="D113" s="68"/>
      <c r="E113" s="88" t="str">
        <f t="shared" si="2"/>
        <v/>
      </c>
      <c r="F113" s="89" t="str">
        <f t="shared" si="3"/>
        <v/>
      </c>
      <c r="G113" s="41"/>
      <c r="H113" s="41"/>
      <c r="I113" s="41"/>
      <c r="J113" s="41"/>
      <c r="K113" s="41"/>
      <c r="L113" s="41"/>
      <c r="M113" s="41"/>
      <c r="N113" s="41"/>
      <c r="O113" s="41"/>
    </row>
    <row r="114">
      <c r="A114" s="29"/>
      <c r="B114" s="30">
        <v>110.0</v>
      </c>
      <c r="C114" s="67"/>
      <c r="D114" s="67"/>
      <c r="E114" s="88" t="str">
        <f t="shared" si="2"/>
        <v/>
      </c>
      <c r="F114" s="89" t="str">
        <f t="shared" si="3"/>
        <v/>
      </c>
      <c r="G114" s="41"/>
      <c r="H114" s="41"/>
      <c r="I114" s="41"/>
      <c r="J114" s="41"/>
      <c r="K114" s="41"/>
      <c r="L114" s="41"/>
      <c r="M114" s="41"/>
      <c r="N114" s="41"/>
      <c r="O114" s="41"/>
    </row>
    <row r="115">
      <c r="A115" s="21"/>
      <c r="B115" s="22">
        <v>111.0</v>
      </c>
      <c r="C115" s="68"/>
      <c r="D115" s="68"/>
      <c r="E115" s="88" t="str">
        <f t="shared" si="2"/>
        <v/>
      </c>
      <c r="F115" s="89" t="str">
        <f t="shared" si="3"/>
        <v/>
      </c>
      <c r="G115" s="41"/>
      <c r="H115" s="41"/>
      <c r="I115" s="41"/>
      <c r="J115" s="41"/>
      <c r="K115" s="41"/>
      <c r="L115" s="41"/>
      <c r="M115" s="41"/>
      <c r="N115" s="41"/>
      <c r="O115" s="41"/>
    </row>
    <row r="116">
      <c r="A116" s="29"/>
      <c r="B116" s="30">
        <v>112.0</v>
      </c>
      <c r="C116" s="67"/>
      <c r="D116" s="67"/>
      <c r="E116" s="88" t="str">
        <f t="shared" si="2"/>
        <v/>
      </c>
      <c r="F116" s="89" t="str">
        <f t="shared" si="3"/>
        <v/>
      </c>
      <c r="G116" s="41"/>
      <c r="H116" s="41"/>
      <c r="I116" s="41"/>
      <c r="J116" s="41"/>
      <c r="K116" s="41"/>
      <c r="L116" s="41"/>
      <c r="M116" s="41"/>
      <c r="N116" s="41"/>
      <c r="O116" s="41"/>
    </row>
    <row r="117">
      <c r="A117" s="21"/>
      <c r="B117" s="22">
        <v>113.0</v>
      </c>
      <c r="C117" s="68"/>
      <c r="D117" s="68"/>
      <c r="E117" s="88" t="str">
        <f t="shared" si="2"/>
        <v/>
      </c>
      <c r="F117" s="89" t="str">
        <f t="shared" si="3"/>
        <v/>
      </c>
      <c r="G117" s="41"/>
      <c r="H117" s="41"/>
      <c r="I117" s="41"/>
      <c r="J117" s="41"/>
      <c r="K117" s="41"/>
      <c r="L117" s="41"/>
      <c r="M117" s="41"/>
      <c r="N117" s="41"/>
      <c r="O117" s="41"/>
    </row>
    <row r="118">
      <c r="A118" s="29"/>
      <c r="B118" s="30">
        <v>114.0</v>
      </c>
      <c r="C118" s="67"/>
      <c r="D118" s="67"/>
      <c r="E118" s="88" t="str">
        <f t="shared" si="2"/>
        <v/>
      </c>
      <c r="F118" s="89" t="str">
        <f t="shared" si="3"/>
        <v/>
      </c>
      <c r="G118" s="41"/>
      <c r="H118" s="41"/>
      <c r="I118" s="41"/>
      <c r="J118" s="41"/>
      <c r="K118" s="41"/>
      <c r="L118" s="41"/>
      <c r="M118" s="41"/>
      <c r="N118" s="41"/>
      <c r="O118" s="41"/>
    </row>
    <row r="119">
      <c r="A119" s="21"/>
      <c r="B119" s="22">
        <v>115.0</v>
      </c>
      <c r="C119" s="68"/>
      <c r="D119" s="68"/>
      <c r="E119" s="88" t="str">
        <f t="shared" si="2"/>
        <v/>
      </c>
      <c r="F119" s="89" t="str">
        <f t="shared" si="3"/>
        <v/>
      </c>
      <c r="G119" s="41"/>
      <c r="H119" s="41"/>
      <c r="I119" s="41"/>
      <c r="J119" s="41"/>
      <c r="K119" s="41"/>
      <c r="L119" s="41"/>
      <c r="M119" s="41"/>
      <c r="N119" s="41"/>
      <c r="O119" s="41"/>
    </row>
    <row r="120">
      <c r="A120" s="29"/>
      <c r="B120" s="30">
        <v>116.0</v>
      </c>
      <c r="C120" s="67"/>
      <c r="D120" s="67"/>
      <c r="E120" s="88" t="str">
        <f t="shared" si="2"/>
        <v/>
      </c>
      <c r="F120" s="89" t="str">
        <f t="shared" si="3"/>
        <v/>
      </c>
      <c r="G120" s="41"/>
      <c r="H120" s="41"/>
      <c r="I120" s="41"/>
      <c r="J120" s="41"/>
      <c r="K120" s="41"/>
      <c r="L120" s="41"/>
      <c r="M120" s="41"/>
      <c r="N120" s="41"/>
      <c r="O120" s="41"/>
    </row>
    <row r="121">
      <c r="A121" s="21"/>
      <c r="B121" s="22">
        <v>117.0</v>
      </c>
      <c r="C121" s="68"/>
      <c r="D121" s="68"/>
      <c r="E121" s="88" t="str">
        <f t="shared" si="2"/>
        <v/>
      </c>
      <c r="F121" s="89" t="str">
        <f t="shared" si="3"/>
        <v/>
      </c>
      <c r="G121" s="41"/>
      <c r="H121" s="41"/>
      <c r="I121" s="41"/>
      <c r="J121" s="41"/>
      <c r="K121" s="41"/>
      <c r="L121" s="41"/>
      <c r="M121" s="41"/>
      <c r="N121" s="41"/>
      <c r="O121" s="41"/>
    </row>
    <row r="122">
      <c r="A122" s="14"/>
      <c r="B122" s="69">
        <v>118.0</v>
      </c>
      <c r="C122" s="70"/>
      <c r="D122" s="70"/>
      <c r="E122" s="88" t="str">
        <f t="shared" si="2"/>
        <v/>
      </c>
      <c r="F122" s="89" t="str">
        <f t="shared" si="3"/>
        <v/>
      </c>
      <c r="G122" s="73"/>
      <c r="H122" s="73"/>
      <c r="I122" s="73"/>
      <c r="J122" s="73"/>
      <c r="K122" s="73"/>
      <c r="L122" s="73"/>
      <c r="M122" s="73"/>
      <c r="N122" s="73"/>
      <c r="O122" s="73"/>
    </row>
    <row r="123">
      <c r="A123" s="14"/>
      <c r="B123" s="69">
        <v>119.0</v>
      </c>
      <c r="C123" s="70"/>
      <c r="D123" s="70"/>
      <c r="E123" s="88" t="str">
        <f t="shared" si="2"/>
        <v/>
      </c>
      <c r="F123" s="89" t="str">
        <f t="shared" si="3"/>
        <v/>
      </c>
      <c r="G123" s="73"/>
      <c r="H123" s="73"/>
      <c r="I123" s="73"/>
      <c r="J123" s="73"/>
      <c r="K123" s="73"/>
      <c r="L123" s="73"/>
      <c r="M123" s="73"/>
      <c r="N123" s="73"/>
      <c r="O123" s="73"/>
    </row>
    <row r="124">
      <c r="A124" s="14"/>
      <c r="B124" s="69">
        <v>120.0</v>
      </c>
      <c r="C124" s="70"/>
      <c r="D124" s="70"/>
      <c r="E124" s="88" t="str">
        <f t="shared" si="2"/>
        <v/>
      </c>
      <c r="F124" s="89" t="str">
        <f t="shared" si="3"/>
        <v/>
      </c>
      <c r="G124" s="73"/>
      <c r="H124" s="73"/>
      <c r="I124" s="73"/>
      <c r="J124" s="73"/>
      <c r="K124" s="73"/>
      <c r="L124" s="73"/>
      <c r="M124" s="73"/>
      <c r="N124" s="73"/>
      <c r="O124" s="73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</row>
  </sheetData>
  <mergeCells count="3">
    <mergeCell ref="C1:D2"/>
    <mergeCell ref="E1:F2"/>
    <mergeCell ref="C3:D3"/>
  </mergeCells>
  <dataValidations>
    <dataValidation type="list" allowBlank="1" showErrorMessage="1" sqref="G4:O124">
      <formula1>"선택,완료"</formula1>
    </dataValidation>
  </dataValidations>
  <hyperlinks>
    <hyperlink r:id="rId1" ref="D5"/>
    <hyperlink r:id="rId2" ref="D24"/>
    <hyperlink r:id="rId3" ref="D30"/>
    <hyperlink r:id="rId4" ref="D36"/>
    <hyperlink r:id="rId5" ref="D51"/>
    <hyperlink r:id="rId6" ref="D70"/>
    <hyperlink r:id="rId7" ref="D86"/>
    <hyperlink r:id="rId8" ref="D93"/>
    <hyperlink r:id="rId9" ref="D96"/>
    <hyperlink r:id="rId10" ref="D97"/>
  </hyperlinks>
  <drawing r:id="rId11"/>
  <tableParts count="1">
    <tablePart r:id="rId1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3.38"/>
    <col customWidth="1" min="2" max="2" width="5.25"/>
    <col customWidth="1" min="3" max="3" width="18.63"/>
    <col customWidth="1" min="4" max="4" width="21.25"/>
  </cols>
  <sheetData>
    <row r="1">
      <c r="A1" s="1"/>
      <c r="B1" s="74"/>
      <c r="C1" s="75" t="s">
        <v>0</v>
      </c>
      <c r="E1" s="3" t="s">
        <v>1</v>
      </c>
      <c r="G1" s="143" t="s">
        <v>517</v>
      </c>
      <c r="H1" s="143" t="s">
        <v>518</v>
      </c>
      <c r="I1" s="143" t="s">
        <v>519</v>
      </c>
      <c r="J1" s="143" t="s">
        <v>520</v>
      </c>
      <c r="K1" s="143" t="s">
        <v>521</v>
      </c>
      <c r="L1" s="143" t="s">
        <v>522</v>
      </c>
      <c r="M1" s="143" t="s">
        <v>523</v>
      </c>
      <c r="N1" s="143" t="s">
        <v>524</v>
      </c>
      <c r="O1" s="143" t="s">
        <v>525</v>
      </c>
    </row>
    <row r="2">
      <c r="A2" s="1"/>
      <c r="B2" s="77"/>
      <c r="G2" s="78" t="s">
        <v>526</v>
      </c>
      <c r="H2" s="78" t="s">
        <v>527</v>
      </c>
      <c r="I2" s="78" t="s">
        <v>528</v>
      </c>
      <c r="J2" s="78" t="s">
        <v>529</v>
      </c>
      <c r="K2" s="78" t="s">
        <v>530</v>
      </c>
      <c r="L2" s="78" t="s">
        <v>531</v>
      </c>
      <c r="M2" s="78" t="s">
        <v>532</v>
      </c>
      <c r="N2" s="78" t="s">
        <v>533</v>
      </c>
      <c r="O2" s="78" t="s">
        <v>534</v>
      </c>
    </row>
    <row r="3">
      <c r="A3" s="1"/>
      <c r="B3" s="1"/>
      <c r="C3" s="1"/>
      <c r="D3" s="1"/>
      <c r="E3" s="9"/>
      <c r="F3" s="9"/>
      <c r="G3" s="11" t="str">
        <f t="shared" ref="G3:O3" si="1">COUNTIF(G5:G200, "완료") &amp; "명 완료"
</f>
        <v>74명 완료</v>
      </c>
      <c r="H3" s="11" t="str">
        <f t="shared" si="1"/>
        <v>77명 완료</v>
      </c>
      <c r="I3" s="11" t="str">
        <f t="shared" si="1"/>
        <v>78명 완료</v>
      </c>
      <c r="J3" s="11" t="str">
        <f t="shared" si="1"/>
        <v>79명 완료</v>
      </c>
      <c r="K3" s="11" t="str">
        <f t="shared" si="1"/>
        <v>75명 완료</v>
      </c>
      <c r="L3" s="11" t="str">
        <f t="shared" si="1"/>
        <v>75명 완료</v>
      </c>
      <c r="M3" s="11" t="str">
        <f t="shared" si="1"/>
        <v>72명 완료</v>
      </c>
      <c r="N3" s="11" t="str">
        <f t="shared" si="1"/>
        <v>68명 완료</v>
      </c>
      <c r="O3" s="11" t="str">
        <f t="shared" si="1"/>
        <v>58명 완료</v>
      </c>
    </row>
    <row r="4">
      <c r="A4" s="220"/>
      <c r="B4" s="81" t="s">
        <v>20</v>
      </c>
      <c r="C4" s="82" t="s">
        <v>21</v>
      </c>
      <c r="D4" s="82" t="s">
        <v>22</v>
      </c>
      <c r="E4" s="83" t="s">
        <v>23</v>
      </c>
      <c r="F4" s="83" t="s">
        <v>24</v>
      </c>
      <c r="G4" s="84" t="s">
        <v>25</v>
      </c>
      <c r="H4" s="84" t="s">
        <v>25</v>
      </c>
      <c r="I4" s="84" t="s">
        <v>25</v>
      </c>
      <c r="J4" s="84" t="s">
        <v>25</v>
      </c>
      <c r="K4" s="84" t="s">
        <v>25</v>
      </c>
      <c r="L4" s="84" t="s">
        <v>25</v>
      </c>
      <c r="M4" s="84" t="s">
        <v>25</v>
      </c>
      <c r="N4" s="84" t="s">
        <v>25</v>
      </c>
      <c r="O4" s="84" t="s">
        <v>25</v>
      </c>
    </row>
    <row r="5">
      <c r="A5" s="21"/>
      <c r="B5" s="22">
        <v>1.0</v>
      </c>
      <c r="C5" s="23" t="s">
        <v>26</v>
      </c>
      <c r="D5" s="24" t="s">
        <v>27</v>
      </c>
      <c r="E5" s="88" t="str">
        <f t="shared" ref="E5:E104" si="2">IF(COUNTIF(G5:O5, "완료")=0, "", COUNTIF($G$4:$O$4, "완료") &amp; "번 중 " &amp; COUNTIF(G5:O5, "완료") &amp; "번 참여")
</f>
        <v>9번 중 9번 참여</v>
      </c>
      <c r="F5" s="89">
        <f t="shared" ref="F5:F124" si="3">IF(COUNTIF($G$4:$O$4, "완료")=0, "", IF(COUNTIF(G5:O5, "완료")=0, "", COUNTIF(G5:O5, "완료") / COUNTIF($G$4:$O$4, "완료")))
</f>
        <v>1</v>
      </c>
      <c r="G5" s="90" t="s">
        <v>25</v>
      </c>
      <c r="H5" s="90" t="s">
        <v>25</v>
      </c>
      <c r="I5" s="90" t="s">
        <v>25</v>
      </c>
      <c r="J5" s="90" t="s">
        <v>25</v>
      </c>
      <c r="K5" s="90" t="s">
        <v>25</v>
      </c>
      <c r="L5" s="90" t="s">
        <v>25</v>
      </c>
      <c r="M5" s="90" t="s">
        <v>25</v>
      </c>
      <c r="N5" s="90" t="s">
        <v>25</v>
      </c>
      <c r="O5" s="90" t="s">
        <v>25</v>
      </c>
    </row>
    <row r="6">
      <c r="A6" s="29"/>
      <c r="B6" s="30">
        <v>2.0</v>
      </c>
      <c r="C6" s="23" t="s">
        <v>28</v>
      </c>
      <c r="D6" s="23" t="s">
        <v>29</v>
      </c>
      <c r="E6" s="88" t="str">
        <f t="shared" si="2"/>
        <v>9번 중 9번 참여</v>
      </c>
      <c r="F6" s="89">
        <f t="shared" si="3"/>
        <v>1</v>
      </c>
      <c r="G6" s="90" t="s">
        <v>25</v>
      </c>
      <c r="H6" s="90" t="s">
        <v>25</v>
      </c>
      <c r="I6" s="90" t="s">
        <v>25</v>
      </c>
      <c r="J6" s="90" t="s">
        <v>25</v>
      </c>
      <c r="K6" s="90" t="s">
        <v>25</v>
      </c>
      <c r="L6" s="90" t="s">
        <v>25</v>
      </c>
      <c r="M6" s="90" t="s">
        <v>25</v>
      </c>
      <c r="N6" s="90" t="s">
        <v>25</v>
      </c>
      <c r="O6" s="90" t="s">
        <v>25</v>
      </c>
    </row>
    <row r="7">
      <c r="A7" s="21"/>
      <c r="B7" s="22">
        <v>3.0</v>
      </c>
      <c r="C7" s="31" t="s">
        <v>30</v>
      </c>
      <c r="D7" s="31" t="s">
        <v>31</v>
      </c>
      <c r="E7" s="88" t="str">
        <f t="shared" si="2"/>
        <v>9번 중 8번 참여</v>
      </c>
      <c r="F7" s="89">
        <f t="shared" si="3"/>
        <v>0.8888888889</v>
      </c>
      <c r="G7" s="90" t="s">
        <v>25</v>
      </c>
      <c r="H7" s="90" t="s">
        <v>25</v>
      </c>
      <c r="I7" s="90" t="s">
        <v>25</v>
      </c>
      <c r="J7" s="90" t="s">
        <v>25</v>
      </c>
      <c r="K7" s="90" t="s">
        <v>25</v>
      </c>
      <c r="L7" s="90" t="s">
        <v>25</v>
      </c>
      <c r="M7" s="90" t="s">
        <v>25</v>
      </c>
      <c r="N7" s="90" t="s">
        <v>25</v>
      </c>
      <c r="O7" s="41"/>
    </row>
    <row r="8">
      <c r="A8" s="29"/>
      <c r="B8" s="30">
        <v>4.0</v>
      </c>
      <c r="C8" s="23" t="s">
        <v>32</v>
      </c>
      <c r="D8" s="23" t="s">
        <v>33</v>
      </c>
      <c r="E8" s="88" t="str">
        <f t="shared" si="2"/>
        <v>9번 중 8번 참여</v>
      </c>
      <c r="F8" s="89">
        <f t="shared" si="3"/>
        <v>0.8888888889</v>
      </c>
      <c r="G8" s="90" t="s">
        <v>25</v>
      </c>
      <c r="H8" s="90" t="s">
        <v>25</v>
      </c>
      <c r="I8" s="90" t="s">
        <v>25</v>
      </c>
      <c r="J8" s="90" t="s">
        <v>25</v>
      </c>
      <c r="K8" s="90" t="s">
        <v>25</v>
      </c>
      <c r="L8" s="90" t="s">
        <v>25</v>
      </c>
      <c r="M8" s="90" t="s">
        <v>25</v>
      </c>
      <c r="N8" s="90" t="s">
        <v>25</v>
      </c>
      <c r="O8" s="41"/>
    </row>
    <row r="9">
      <c r="A9" s="21"/>
      <c r="B9" s="22">
        <v>5.0</v>
      </c>
      <c r="C9" s="31" t="s">
        <v>34</v>
      </c>
      <c r="D9" s="31" t="s">
        <v>35</v>
      </c>
      <c r="E9" s="88" t="str">
        <f t="shared" si="2"/>
        <v>9번 중 9번 참여</v>
      </c>
      <c r="F9" s="89">
        <f t="shared" si="3"/>
        <v>1</v>
      </c>
      <c r="G9" s="90" t="s">
        <v>25</v>
      </c>
      <c r="H9" s="90" t="s">
        <v>25</v>
      </c>
      <c r="I9" s="90" t="s">
        <v>25</v>
      </c>
      <c r="J9" s="90" t="s">
        <v>25</v>
      </c>
      <c r="K9" s="90" t="s">
        <v>25</v>
      </c>
      <c r="L9" s="90" t="s">
        <v>25</v>
      </c>
      <c r="M9" s="90" t="s">
        <v>25</v>
      </c>
      <c r="N9" s="90" t="s">
        <v>25</v>
      </c>
      <c r="O9" s="90" t="s">
        <v>25</v>
      </c>
    </row>
    <row r="10">
      <c r="A10" s="29"/>
      <c r="B10" s="30">
        <v>6.0</v>
      </c>
      <c r="C10" s="23" t="s">
        <v>36</v>
      </c>
      <c r="D10" s="23" t="s">
        <v>72</v>
      </c>
      <c r="E10" s="88" t="str">
        <f t="shared" si="2"/>
        <v>9번 중 9번 참여</v>
      </c>
      <c r="F10" s="89">
        <f t="shared" si="3"/>
        <v>1</v>
      </c>
      <c r="G10" s="90" t="s">
        <v>25</v>
      </c>
      <c r="H10" s="90" t="s">
        <v>25</v>
      </c>
      <c r="I10" s="90" t="s">
        <v>25</v>
      </c>
      <c r="J10" s="90" t="s">
        <v>25</v>
      </c>
      <c r="K10" s="90" t="s">
        <v>25</v>
      </c>
      <c r="L10" s="90" t="s">
        <v>25</v>
      </c>
      <c r="M10" s="90" t="s">
        <v>25</v>
      </c>
      <c r="N10" s="90" t="s">
        <v>25</v>
      </c>
      <c r="O10" s="90" t="s">
        <v>25</v>
      </c>
    </row>
    <row r="11">
      <c r="A11" s="21"/>
      <c r="B11" s="22">
        <v>7.0</v>
      </c>
      <c r="C11" s="31" t="s">
        <v>38</v>
      </c>
      <c r="D11" s="31" t="s">
        <v>39</v>
      </c>
      <c r="E11" s="88" t="str">
        <f t="shared" si="2"/>
        <v>9번 중 9번 참여</v>
      </c>
      <c r="F11" s="89">
        <f t="shared" si="3"/>
        <v>1</v>
      </c>
      <c r="G11" s="90" t="s">
        <v>25</v>
      </c>
      <c r="H11" s="90" t="s">
        <v>25</v>
      </c>
      <c r="I11" s="90" t="s">
        <v>25</v>
      </c>
      <c r="J11" s="90" t="s">
        <v>25</v>
      </c>
      <c r="K11" s="90" t="s">
        <v>25</v>
      </c>
      <c r="L11" s="90" t="s">
        <v>25</v>
      </c>
      <c r="M11" s="90" t="s">
        <v>25</v>
      </c>
      <c r="N11" s="90" t="s">
        <v>25</v>
      </c>
      <c r="O11" s="90" t="s">
        <v>25</v>
      </c>
    </row>
    <row r="12">
      <c r="A12" s="29"/>
      <c r="B12" s="30">
        <v>8.0</v>
      </c>
      <c r="C12" s="23" t="s">
        <v>40</v>
      </c>
      <c r="D12" s="23" t="s">
        <v>41</v>
      </c>
      <c r="E12" s="88" t="str">
        <f t="shared" si="2"/>
        <v>9번 중 9번 참여</v>
      </c>
      <c r="F12" s="89">
        <f t="shared" si="3"/>
        <v>1</v>
      </c>
      <c r="G12" s="90" t="s">
        <v>25</v>
      </c>
      <c r="H12" s="90" t="s">
        <v>25</v>
      </c>
      <c r="I12" s="90" t="s">
        <v>25</v>
      </c>
      <c r="J12" s="90" t="s">
        <v>25</v>
      </c>
      <c r="K12" s="90" t="s">
        <v>25</v>
      </c>
      <c r="L12" s="90" t="s">
        <v>25</v>
      </c>
      <c r="M12" s="90" t="s">
        <v>25</v>
      </c>
      <c r="N12" s="90" t="s">
        <v>25</v>
      </c>
      <c r="O12" s="90" t="s">
        <v>25</v>
      </c>
    </row>
    <row r="13">
      <c r="A13" s="21"/>
      <c r="B13" s="22">
        <v>9.0</v>
      </c>
      <c r="C13" s="31" t="s">
        <v>42</v>
      </c>
      <c r="D13" s="31" t="s">
        <v>43</v>
      </c>
      <c r="E13" s="88" t="str">
        <f t="shared" si="2"/>
        <v>9번 중 7번 참여</v>
      </c>
      <c r="F13" s="89">
        <f t="shared" si="3"/>
        <v>0.7777777778</v>
      </c>
      <c r="G13" s="41"/>
      <c r="H13" s="90" t="s">
        <v>25</v>
      </c>
      <c r="I13" s="41"/>
      <c r="J13" s="90" t="s">
        <v>25</v>
      </c>
      <c r="K13" s="90" t="s">
        <v>25</v>
      </c>
      <c r="L13" s="90" t="s">
        <v>25</v>
      </c>
      <c r="M13" s="90" t="s">
        <v>25</v>
      </c>
      <c r="N13" s="90" t="s">
        <v>25</v>
      </c>
      <c r="O13" s="90" t="s">
        <v>25</v>
      </c>
    </row>
    <row r="14">
      <c r="A14" s="29"/>
      <c r="B14" s="30">
        <v>10.0</v>
      </c>
      <c r="C14" s="23" t="s">
        <v>418</v>
      </c>
      <c r="D14" s="23" t="s">
        <v>327</v>
      </c>
      <c r="E14" s="88" t="str">
        <f t="shared" si="2"/>
        <v>9번 중 5번 참여</v>
      </c>
      <c r="F14" s="89">
        <f t="shared" si="3"/>
        <v>0.5555555556</v>
      </c>
      <c r="G14" s="90" t="s">
        <v>25</v>
      </c>
      <c r="H14" s="90" t="s">
        <v>25</v>
      </c>
      <c r="I14" s="90" t="s">
        <v>25</v>
      </c>
      <c r="J14" s="90" t="s">
        <v>25</v>
      </c>
      <c r="K14" s="90" t="s">
        <v>25</v>
      </c>
      <c r="L14" s="41"/>
      <c r="M14" s="41"/>
      <c r="N14" s="41"/>
      <c r="O14" s="41"/>
    </row>
    <row r="15">
      <c r="A15" s="21"/>
      <c r="B15" s="22">
        <v>11.0</v>
      </c>
      <c r="C15" s="31" t="s">
        <v>419</v>
      </c>
      <c r="D15" s="31" t="s">
        <v>328</v>
      </c>
      <c r="E15" s="88" t="str">
        <f t="shared" si="2"/>
        <v>9번 중 5번 참여</v>
      </c>
      <c r="F15" s="89">
        <f t="shared" si="3"/>
        <v>0.5555555556</v>
      </c>
      <c r="G15" s="90" t="s">
        <v>25</v>
      </c>
      <c r="H15" s="90" t="s">
        <v>25</v>
      </c>
      <c r="I15" s="90" t="s">
        <v>25</v>
      </c>
      <c r="J15" s="90" t="s">
        <v>25</v>
      </c>
      <c r="K15" s="90" t="s">
        <v>25</v>
      </c>
      <c r="L15" s="41"/>
      <c r="M15" s="41"/>
      <c r="N15" s="41"/>
      <c r="O15" s="41"/>
    </row>
    <row r="16">
      <c r="A16" s="29"/>
      <c r="B16" s="30">
        <v>12.0</v>
      </c>
      <c r="C16" s="23" t="s">
        <v>44</v>
      </c>
      <c r="D16" s="23" t="s">
        <v>45</v>
      </c>
      <c r="E16" s="88" t="str">
        <f t="shared" si="2"/>
        <v>9번 중 9번 참여</v>
      </c>
      <c r="F16" s="89">
        <f t="shared" si="3"/>
        <v>1</v>
      </c>
      <c r="G16" s="90" t="s">
        <v>25</v>
      </c>
      <c r="H16" s="90" t="s">
        <v>25</v>
      </c>
      <c r="I16" s="90" t="s">
        <v>25</v>
      </c>
      <c r="J16" s="90" t="s">
        <v>25</v>
      </c>
      <c r="K16" s="90" t="s">
        <v>25</v>
      </c>
      <c r="L16" s="90" t="s">
        <v>25</v>
      </c>
      <c r="M16" s="90" t="s">
        <v>25</v>
      </c>
      <c r="N16" s="90" t="s">
        <v>25</v>
      </c>
      <c r="O16" s="90" t="s">
        <v>25</v>
      </c>
    </row>
    <row r="17">
      <c r="A17" s="21"/>
      <c r="B17" s="22">
        <v>13.0</v>
      </c>
      <c r="C17" s="31" t="s">
        <v>46</v>
      </c>
      <c r="D17" s="31" t="s">
        <v>47</v>
      </c>
      <c r="E17" s="88" t="str">
        <f t="shared" si="2"/>
        <v>9번 중 9번 참여</v>
      </c>
      <c r="F17" s="89">
        <f t="shared" si="3"/>
        <v>1</v>
      </c>
      <c r="G17" s="90" t="s">
        <v>25</v>
      </c>
      <c r="H17" s="90" t="s">
        <v>25</v>
      </c>
      <c r="I17" s="90" t="s">
        <v>25</v>
      </c>
      <c r="J17" s="90" t="s">
        <v>25</v>
      </c>
      <c r="K17" s="90" t="s">
        <v>25</v>
      </c>
      <c r="L17" s="90" t="s">
        <v>25</v>
      </c>
      <c r="M17" s="90" t="s">
        <v>25</v>
      </c>
      <c r="N17" s="90" t="s">
        <v>25</v>
      </c>
      <c r="O17" s="90" t="s">
        <v>25</v>
      </c>
    </row>
    <row r="18">
      <c r="A18" s="29"/>
      <c r="B18" s="30">
        <v>14.0</v>
      </c>
      <c r="C18" s="23" t="s">
        <v>48</v>
      </c>
      <c r="D18" s="23" t="s">
        <v>49</v>
      </c>
      <c r="E18" s="88" t="str">
        <f t="shared" si="2"/>
        <v>9번 중 9번 참여</v>
      </c>
      <c r="F18" s="89">
        <f t="shared" si="3"/>
        <v>1</v>
      </c>
      <c r="G18" s="90" t="s">
        <v>25</v>
      </c>
      <c r="H18" s="90" t="s">
        <v>25</v>
      </c>
      <c r="I18" s="90" t="s">
        <v>25</v>
      </c>
      <c r="J18" s="90" t="s">
        <v>25</v>
      </c>
      <c r="K18" s="90" t="s">
        <v>25</v>
      </c>
      <c r="L18" s="90" t="s">
        <v>25</v>
      </c>
      <c r="M18" s="90" t="s">
        <v>25</v>
      </c>
      <c r="N18" s="90" t="s">
        <v>25</v>
      </c>
      <c r="O18" s="90" t="s">
        <v>25</v>
      </c>
    </row>
    <row r="19">
      <c r="A19" s="21"/>
      <c r="B19" s="22">
        <v>15.0</v>
      </c>
      <c r="C19" s="31" t="s">
        <v>50</v>
      </c>
      <c r="D19" s="31" t="s">
        <v>51</v>
      </c>
      <c r="E19" s="88" t="str">
        <f t="shared" si="2"/>
        <v>9번 중 9번 참여</v>
      </c>
      <c r="F19" s="89">
        <f t="shared" si="3"/>
        <v>1</v>
      </c>
      <c r="G19" s="90" t="s">
        <v>25</v>
      </c>
      <c r="H19" s="90" t="s">
        <v>25</v>
      </c>
      <c r="I19" s="90" t="s">
        <v>25</v>
      </c>
      <c r="J19" s="90" t="s">
        <v>25</v>
      </c>
      <c r="K19" s="90" t="s">
        <v>25</v>
      </c>
      <c r="L19" s="90" t="s">
        <v>25</v>
      </c>
      <c r="M19" s="90" t="s">
        <v>25</v>
      </c>
      <c r="N19" s="90" t="s">
        <v>25</v>
      </c>
      <c r="O19" s="90" t="s">
        <v>25</v>
      </c>
    </row>
    <row r="20">
      <c r="A20" s="29"/>
      <c r="B20" s="30">
        <v>16.0</v>
      </c>
      <c r="C20" s="23" t="s">
        <v>52</v>
      </c>
      <c r="D20" s="23" t="s">
        <v>53</v>
      </c>
      <c r="E20" s="88" t="str">
        <f t="shared" si="2"/>
        <v>9번 중 9번 참여</v>
      </c>
      <c r="F20" s="89">
        <f t="shared" si="3"/>
        <v>1</v>
      </c>
      <c r="G20" s="90" t="s">
        <v>25</v>
      </c>
      <c r="H20" s="90" t="s">
        <v>25</v>
      </c>
      <c r="I20" s="90" t="s">
        <v>25</v>
      </c>
      <c r="J20" s="90" t="s">
        <v>25</v>
      </c>
      <c r="K20" s="90" t="s">
        <v>25</v>
      </c>
      <c r="L20" s="90" t="s">
        <v>25</v>
      </c>
      <c r="M20" s="90" t="s">
        <v>25</v>
      </c>
      <c r="N20" s="90" t="s">
        <v>25</v>
      </c>
      <c r="O20" s="90" t="s">
        <v>25</v>
      </c>
    </row>
    <row r="21">
      <c r="A21" s="21"/>
      <c r="B21" s="22">
        <v>17.0</v>
      </c>
      <c r="C21" s="31" t="s">
        <v>329</v>
      </c>
      <c r="D21" s="31" t="s">
        <v>330</v>
      </c>
      <c r="E21" s="88" t="str">
        <f t="shared" si="2"/>
        <v>9번 중 6번 참여</v>
      </c>
      <c r="F21" s="89">
        <f t="shared" si="3"/>
        <v>0.6666666667</v>
      </c>
      <c r="G21" s="90" t="s">
        <v>25</v>
      </c>
      <c r="H21" s="90" t="s">
        <v>25</v>
      </c>
      <c r="I21" s="90" t="s">
        <v>25</v>
      </c>
      <c r="J21" s="90" t="s">
        <v>25</v>
      </c>
      <c r="K21" s="90" t="s">
        <v>25</v>
      </c>
      <c r="L21" s="90" t="s">
        <v>25</v>
      </c>
      <c r="M21" s="41"/>
      <c r="N21" s="41"/>
      <c r="O21" s="41"/>
    </row>
    <row r="22">
      <c r="A22" s="29"/>
      <c r="B22" s="30">
        <v>18.0</v>
      </c>
      <c r="C22" s="23" t="s">
        <v>56</v>
      </c>
      <c r="D22" s="23" t="s">
        <v>57</v>
      </c>
      <c r="E22" s="88" t="str">
        <f t="shared" si="2"/>
        <v>9번 중 9번 참여</v>
      </c>
      <c r="F22" s="89">
        <f t="shared" si="3"/>
        <v>1</v>
      </c>
      <c r="G22" s="90" t="s">
        <v>25</v>
      </c>
      <c r="H22" s="90" t="s">
        <v>25</v>
      </c>
      <c r="I22" s="90" t="s">
        <v>25</v>
      </c>
      <c r="J22" s="90" t="s">
        <v>25</v>
      </c>
      <c r="K22" s="90" t="s">
        <v>25</v>
      </c>
      <c r="L22" s="90" t="s">
        <v>25</v>
      </c>
      <c r="M22" s="90" t="s">
        <v>25</v>
      </c>
      <c r="N22" s="90" t="s">
        <v>25</v>
      </c>
      <c r="O22" s="90" t="s">
        <v>25</v>
      </c>
    </row>
    <row r="23">
      <c r="A23" s="21"/>
      <c r="B23" s="22">
        <v>19.0</v>
      </c>
      <c r="C23" s="31" t="s">
        <v>58</v>
      </c>
      <c r="D23" s="267" t="s">
        <v>59</v>
      </c>
      <c r="E23" s="88" t="str">
        <f t="shared" si="2"/>
        <v>9번 중 9번 참여</v>
      </c>
      <c r="F23" s="89">
        <f t="shared" si="3"/>
        <v>1</v>
      </c>
      <c r="G23" s="90" t="s">
        <v>25</v>
      </c>
      <c r="H23" s="90" t="s">
        <v>25</v>
      </c>
      <c r="I23" s="90" t="s">
        <v>25</v>
      </c>
      <c r="J23" s="90" t="s">
        <v>25</v>
      </c>
      <c r="K23" s="90" t="s">
        <v>25</v>
      </c>
      <c r="L23" s="90" t="s">
        <v>25</v>
      </c>
      <c r="M23" s="90" t="s">
        <v>25</v>
      </c>
      <c r="N23" s="90" t="s">
        <v>25</v>
      </c>
      <c r="O23" s="90" t="s">
        <v>25</v>
      </c>
    </row>
    <row r="24">
      <c r="A24" s="29"/>
      <c r="B24" s="30">
        <v>20.0</v>
      </c>
      <c r="C24" s="23" t="s">
        <v>60</v>
      </c>
      <c r="D24" s="24" t="s">
        <v>61</v>
      </c>
      <c r="E24" s="88" t="str">
        <f t="shared" si="2"/>
        <v>9번 중 7번 참여</v>
      </c>
      <c r="F24" s="89">
        <f t="shared" si="3"/>
        <v>0.7777777778</v>
      </c>
      <c r="G24" s="90" t="s">
        <v>25</v>
      </c>
      <c r="H24" s="90" t="s">
        <v>25</v>
      </c>
      <c r="I24" s="90" t="s">
        <v>25</v>
      </c>
      <c r="J24" s="41"/>
      <c r="K24" s="41"/>
      <c r="L24" s="90" t="s">
        <v>25</v>
      </c>
      <c r="M24" s="90" t="s">
        <v>25</v>
      </c>
      <c r="N24" s="90" t="s">
        <v>25</v>
      </c>
      <c r="O24" s="90" t="s">
        <v>25</v>
      </c>
    </row>
    <row r="25">
      <c r="A25" s="21"/>
      <c r="B25" s="22">
        <v>21.0</v>
      </c>
      <c r="C25" s="98" t="s">
        <v>62</v>
      </c>
      <c r="D25" s="268" t="s">
        <v>63</v>
      </c>
      <c r="E25" s="88" t="str">
        <f t="shared" si="2"/>
        <v>9번 중 9번 참여</v>
      </c>
      <c r="F25" s="89">
        <f t="shared" si="3"/>
        <v>1</v>
      </c>
      <c r="G25" s="90" t="s">
        <v>25</v>
      </c>
      <c r="H25" s="90" t="s">
        <v>25</v>
      </c>
      <c r="I25" s="90" t="s">
        <v>25</v>
      </c>
      <c r="J25" s="90" t="s">
        <v>25</v>
      </c>
      <c r="K25" s="90" t="s">
        <v>25</v>
      </c>
      <c r="L25" s="90" t="s">
        <v>25</v>
      </c>
      <c r="M25" s="90" t="s">
        <v>25</v>
      </c>
      <c r="N25" s="90" t="s">
        <v>25</v>
      </c>
      <c r="O25" s="90" t="s">
        <v>25</v>
      </c>
    </row>
    <row r="26">
      <c r="A26" s="29"/>
      <c r="B26" s="30">
        <v>22.0</v>
      </c>
      <c r="C26" s="23" t="s">
        <v>64</v>
      </c>
      <c r="D26" s="23" t="s">
        <v>65</v>
      </c>
      <c r="E26" s="88" t="str">
        <f t="shared" si="2"/>
        <v>9번 중 8번 참여</v>
      </c>
      <c r="F26" s="89">
        <f t="shared" si="3"/>
        <v>0.8888888889</v>
      </c>
      <c r="G26" s="41"/>
      <c r="H26" s="90" t="s">
        <v>25</v>
      </c>
      <c r="I26" s="90" t="s">
        <v>25</v>
      </c>
      <c r="J26" s="90" t="s">
        <v>25</v>
      </c>
      <c r="K26" s="90" t="s">
        <v>25</v>
      </c>
      <c r="L26" s="90" t="s">
        <v>25</v>
      </c>
      <c r="M26" s="90" t="s">
        <v>25</v>
      </c>
      <c r="N26" s="90" t="s">
        <v>25</v>
      </c>
      <c r="O26" s="90" t="s">
        <v>25</v>
      </c>
    </row>
    <row r="27">
      <c r="A27" s="21"/>
      <c r="B27" s="22">
        <v>23.0</v>
      </c>
      <c r="C27" s="101" t="s">
        <v>66</v>
      </c>
      <c r="D27" s="101" t="s">
        <v>67</v>
      </c>
      <c r="E27" s="88" t="str">
        <f t="shared" si="2"/>
        <v>9번 중 9번 참여</v>
      </c>
      <c r="F27" s="89">
        <f t="shared" si="3"/>
        <v>1</v>
      </c>
      <c r="G27" s="90" t="s">
        <v>25</v>
      </c>
      <c r="H27" s="90" t="s">
        <v>25</v>
      </c>
      <c r="I27" s="90" t="s">
        <v>25</v>
      </c>
      <c r="J27" s="90" t="s">
        <v>25</v>
      </c>
      <c r="K27" s="90" t="s">
        <v>25</v>
      </c>
      <c r="L27" s="90" t="s">
        <v>25</v>
      </c>
      <c r="M27" s="90" t="s">
        <v>25</v>
      </c>
      <c r="N27" s="90" t="s">
        <v>25</v>
      </c>
      <c r="O27" s="90" t="s">
        <v>25</v>
      </c>
    </row>
    <row r="28">
      <c r="A28" s="29"/>
      <c r="B28" s="30">
        <v>24.0</v>
      </c>
      <c r="C28" s="103" t="s">
        <v>535</v>
      </c>
      <c r="D28" s="103" t="s">
        <v>536</v>
      </c>
      <c r="E28" s="88" t="str">
        <f t="shared" si="2"/>
        <v>9번 중 9번 참여</v>
      </c>
      <c r="F28" s="89">
        <f t="shared" si="3"/>
        <v>1</v>
      </c>
      <c r="G28" s="90" t="s">
        <v>25</v>
      </c>
      <c r="H28" s="90" t="s">
        <v>25</v>
      </c>
      <c r="I28" s="90" t="s">
        <v>25</v>
      </c>
      <c r="J28" s="90" t="s">
        <v>25</v>
      </c>
      <c r="K28" s="90" t="s">
        <v>25</v>
      </c>
      <c r="L28" s="90" t="s">
        <v>25</v>
      </c>
      <c r="M28" s="90" t="s">
        <v>25</v>
      </c>
      <c r="N28" s="90" t="s">
        <v>25</v>
      </c>
      <c r="O28" s="90" t="s">
        <v>25</v>
      </c>
    </row>
    <row r="29">
      <c r="A29" s="21"/>
      <c r="B29" s="22">
        <v>25.0</v>
      </c>
      <c r="C29" s="31" t="s">
        <v>74</v>
      </c>
      <c r="D29" s="31" t="s">
        <v>75</v>
      </c>
      <c r="E29" s="88" t="str">
        <f t="shared" si="2"/>
        <v>9번 중 7번 참여</v>
      </c>
      <c r="F29" s="89">
        <f t="shared" si="3"/>
        <v>0.7777777778</v>
      </c>
      <c r="G29" s="90" t="s">
        <v>25</v>
      </c>
      <c r="H29" s="90" t="s">
        <v>25</v>
      </c>
      <c r="I29" s="90" t="s">
        <v>25</v>
      </c>
      <c r="J29" s="41"/>
      <c r="K29" s="90" t="s">
        <v>25</v>
      </c>
      <c r="L29" s="90" t="s">
        <v>25</v>
      </c>
      <c r="M29" s="90" t="s">
        <v>25</v>
      </c>
      <c r="N29" s="41"/>
      <c r="O29" s="90" t="s">
        <v>25</v>
      </c>
    </row>
    <row r="30">
      <c r="A30" s="29"/>
      <c r="B30" s="30">
        <v>26.0</v>
      </c>
      <c r="C30" s="23" t="s">
        <v>76</v>
      </c>
      <c r="D30" s="24" t="s">
        <v>77</v>
      </c>
      <c r="E30" s="88" t="str">
        <f t="shared" si="2"/>
        <v>9번 중 4번 참여</v>
      </c>
      <c r="F30" s="89">
        <f t="shared" si="3"/>
        <v>0.4444444444</v>
      </c>
      <c r="G30" s="41"/>
      <c r="H30" s="41"/>
      <c r="I30" s="90" t="s">
        <v>25</v>
      </c>
      <c r="J30" s="90" t="s">
        <v>25</v>
      </c>
      <c r="K30" s="90" t="s">
        <v>25</v>
      </c>
      <c r="L30" s="90" t="s">
        <v>25</v>
      </c>
      <c r="M30" s="41"/>
      <c r="N30" s="41"/>
      <c r="O30" s="41"/>
    </row>
    <row r="31">
      <c r="A31" s="21"/>
      <c r="B31" s="22">
        <v>27.0</v>
      </c>
      <c r="C31" s="31" t="s">
        <v>78</v>
      </c>
      <c r="D31" s="151" t="s">
        <v>79</v>
      </c>
      <c r="E31" s="88" t="str">
        <f t="shared" si="2"/>
        <v>9번 중 9번 참여</v>
      </c>
      <c r="F31" s="89">
        <f t="shared" si="3"/>
        <v>1</v>
      </c>
      <c r="G31" s="90" t="s">
        <v>25</v>
      </c>
      <c r="H31" s="90" t="s">
        <v>25</v>
      </c>
      <c r="I31" s="90" t="s">
        <v>25</v>
      </c>
      <c r="J31" s="90" t="s">
        <v>25</v>
      </c>
      <c r="K31" s="90" t="s">
        <v>25</v>
      </c>
      <c r="L31" s="90" t="s">
        <v>25</v>
      </c>
      <c r="M31" s="90" t="s">
        <v>25</v>
      </c>
      <c r="N31" s="90" t="s">
        <v>25</v>
      </c>
      <c r="O31" s="90" t="s">
        <v>25</v>
      </c>
    </row>
    <row r="32">
      <c r="A32" s="29"/>
      <c r="B32" s="30">
        <v>28.0</v>
      </c>
      <c r="C32" s="23" t="s">
        <v>130</v>
      </c>
      <c r="D32" s="23" t="s">
        <v>338</v>
      </c>
      <c r="E32" s="88" t="str">
        <f t="shared" si="2"/>
        <v>9번 중 1번 참여</v>
      </c>
      <c r="F32" s="89">
        <f t="shared" si="3"/>
        <v>0.1111111111</v>
      </c>
      <c r="G32" s="41"/>
      <c r="H32" s="90" t="s">
        <v>25</v>
      </c>
      <c r="I32" s="41"/>
      <c r="J32" s="41"/>
      <c r="K32" s="41"/>
      <c r="L32" s="41"/>
      <c r="M32" s="41"/>
      <c r="N32" s="41"/>
      <c r="O32" s="41"/>
    </row>
    <row r="33">
      <c r="A33" s="21"/>
      <c r="B33" s="22">
        <v>29.0</v>
      </c>
      <c r="C33" s="31" t="s">
        <v>81</v>
      </c>
      <c r="D33" s="31" t="s">
        <v>82</v>
      </c>
      <c r="E33" s="88" t="str">
        <f t="shared" si="2"/>
        <v>9번 중 9번 참여</v>
      </c>
      <c r="F33" s="89">
        <f t="shared" si="3"/>
        <v>1</v>
      </c>
      <c r="G33" s="90" t="s">
        <v>25</v>
      </c>
      <c r="H33" s="90" t="s">
        <v>25</v>
      </c>
      <c r="I33" s="90" t="s">
        <v>25</v>
      </c>
      <c r="J33" s="90" t="s">
        <v>25</v>
      </c>
      <c r="K33" s="90" t="s">
        <v>25</v>
      </c>
      <c r="L33" s="90" t="s">
        <v>25</v>
      </c>
      <c r="M33" s="90" t="s">
        <v>25</v>
      </c>
      <c r="N33" s="90" t="s">
        <v>25</v>
      </c>
      <c r="O33" s="90" t="s">
        <v>25</v>
      </c>
    </row>
    <row r="34">
      <c r="A34" s="29"/>
      <c r="B34" s="30">
        <v>30.0</v>
      </c>
      <c r="C34" s="23" t="s">
        <v>83</v>
      </c>
      <c r="D34" s="23" t="s">
        <v>84</v>
      </c>
      <c r="E34" s="88" t="str">
        <f t="shared" si="2"/>
        <v>9번 중 7번 참여</v>
      </c>
      <c r="F34" s="89">
        <f t="shared" si="3"/>
        <v>0.7777777778</v>
      </c>
      <c r="G34" s="90" t="s">
        <v>25</v>
      </c>
      <c r="H34" s="41"/>
      <c r="I34" s="41"/>
      <c r="J34" s="90" t="s">
        <v>25</v>
      </c>
      <c r="K34" s="90" t="s">
        <v>25</v>
      </c>
      <c r="L34" s="90" t="s">
        <v>25</v>
      </c>
      <c r="M34" s="90" t="s">
        <v>25</v>
      </c>
      <c r="N34" s="90" t="s">
        <v>25</v>
      </c>
      <c r="O34" s="90" t="s">
        <v>25</v>
      </c>
    </row>
    <row r="35">
      <c r="A35" s="21"/>
      <c r="B35" s="22">
        <v>31.0</v>
      </c>
      <c r="C35" s="31" t="s">
        <v>85</v>
      </c>
      <c r="D35" s="31" t="s">
        <v>86</v>
      </c>
      <c r="E35" s="88" t="str">
        <f t="shared" si="2"/>
        <v>9번 중 8번 참여</v>
      </c>
      <c r="F35" s="89">
        <f t="shared" si="3"/>
        <v>0.8888888889</v>
      </c>
      <c r="G35" s="90" t="s">
        <v>25</v>
      </c>
      <c r="H35" s="90" t="s">
        <v>25</v>
      </c>
      <c r="I35" s="90" t="s">
        <v>25</v>
      </c>
      <c r="J35" s="90" t="s">
        <v>25</v>
      </c>
      <c r="K35" s="90" t="s">
        <v>25</v>
      </c>
      <c r="L35" s="90" t="s">
        <v>25</v>
      </c>
      <c r="M35" s="41"/>
      <c r="N35" s="90" t="s">
        <v>25</v>
      </c>
      <c r="O35" s="90" t="s">
        <v>25</v>
      </c>
    </row>
    <row r="36">
      <c r="A36" s="29"/>
      <c r="B36" s="30">
        <v>32.0</v>
      </c>
      <c r="C36" s="23" t="s">
        <v>87</v>
      </c>
      <c r="D36" s="24" t="s">
        <v>88</v>
      </c>
      <c r="E36" s="88" t="str">
        <f t="shared" si="2"/>
        <v>9번 중 7번 참여</v>
      </c>
      <c r="F36" s="89">
        <f t="shared" si="3"/>
        <v>0.7777777778</v>
      </c>
      <c r="G36" s="41"/>
      <c r="H36" s="90" t="s">
        <v>25</v>
      </c>
      <c r="I36" s="90" t="s">
        <v>25</v>
      </c>
      <c r="J36" s="90" t="s">
        <v>25</v>
      </c>
      <c r="K36" s="90" t="s">
        <v>25</v>
      </c>
      <c r="L36" s="90" t="s">
        <v>25</v>
      </c>
      <c r="M36" s="90" t="s">
        <v>25</v>
      </c>
      <c r="N36" s="41"/>
      <c r="O36" s="90" t="s">
        <v>25</v>
      </c>
    </row>
    <row r="37">
      <c r="A37" s="21"/>
      <c r="B37" s="22">
        <v>33.0</v>
      </c>
      <c r="C37" s="155" t="s">
        <v>537</v>
      </c>
      <c r="D37" s="152" t="s">
        <v>344</v>
      </c>
      <c r="E37" s="88" t="str">
        <f t="shared" si="2"/>
        <v>9번 중 8번 참여</v>
      </c>
      <c r="F37" s="89">
        <f t="shared" si="3"/>
        <v>0.8888888889</v>
      </c>
      <c r="G37" s="90" t="s">
        <v>25</v>
      </c>
      <c r="H37" s="41"/>
      <c r="I37" s="90" t="s">
        <v>25</v>
      </c>
      <c r="J37" s="90" t="s">
        <v>25</v>
      </c>
      <c r="K37" s="90" t="s">
        <v>25</v>
      </c>
      <c r="L37" s="90" t="s">
        <v>25</v>
      </c>
      <c r="M37" s="90" t="s">
        <v>25</v>
      </c>
      <c r="N37" s="90" t="s">
        <v>25</v>
      </c>
      <c r="O37" s="90" t="s">
        <v>25</v>
      </c>
    </row>
    <row r="38">
      <c r="A38" s="29"/>
      <c r="B38" s="30">
        <v>34.0</v>
      </c>
      <c r="C38" s="61" t="s">
        <v>91</v>
      </c>
      <c r="D38" s="61" t="s">
        <v>92</v>
      </c>
      <c r="E38" s="88" t="str">
        <f t="shared" si="2"/>
        <v>9번 중 9번 참여</v>
      </c>
      <c r="F38" s="89">
        <f t="shared" si="3"/>
        <v>1</v>
      </c>
      <c r="G38" s="90" t="s">
        <v>25</v>
      </c>
      <c r="H38" s="90" t="s">
        <v>25</v>
      </c>
      <c r="I38" s="90" t="s">
        <v>25</v>
      </c>
      <c r="J38" s="90" t="s">
        <v>25</v>
      </c>
      <c r="K38" s="90" t="s">
        <v>25</v>
      </c>
      <c r="L38" s="90" t="s">
        <v>25</v>
      </c>
      <c r="M38" s="90" t="s">
        <v>25</v>
      </c>
      <c r="N38" s="90" t="s">
        <v>25</v>
      </c>
      <c r="O38" s="90" t="s">
        <v>25</v>
      </c>
    </row>
    <row r="39">
      <c r="A39" s="21"/>
      <c r="B39" s="22">
        <v>35.0</v>
      </c>
      <c r="C39" s="31" t="s">
        <v>93</v>
      </c>
      <c r="D39" s="31" t="s">
        <v>94</v>
      </c>
      <c r="E39" s="88" t="str">
        <f t="shared" si="2"/>
        <v>9번 중 8번 참여</v>
      </c>
      <c r="F39" s="89">
        <f t="shared" si="3"/>
        <v>0.8888888889</v>
      </c>
      <c r="G39" s="90" t="s">
        <v>25</v>
      </c>
      <c r="H39" s="90" t="s">
        <v>25</v>
      </c>
      <c r="I39" s="90" t="s">
        <v>25</v>
      </c>
      <c r="J39" s="90" t="s">
        <v>25</v>
      </c>
      <c r="K39" s="90" t="s">
        <v>25</v>
      </c>
      <c r="L39" s="90" t="s">
        <v>25</v>
      </c>
      <c r="M39" s="90" t="s">
        <v>25</v>
      </c>
      <c r="N39" s="90" t="s">
        <v>25</v>
      </c>
      <c r="O39" s="41"/>
    </row>
    <row r="40">
      <c r="A40" s="29"/>
      <c r="B40" s="30">
        <v>36.0</v>
      </c>
      <c r="C40" s="23" t="s">
        <v>124</v>
      </c>
      <c r="D40" s="23" t="s">
        <v>125</v>
      </c>
      <c r="E40" s="88" t="str">
        <f t="shared" si="2"/>
        <v>9번 중 9번 참여</v>
      </c>
      <c r="F40" s="89">
        <f t="shared" si="3"/>
        <v>1</v>
      </c>
      <c r="G40" s="90" t="s">
        <v>25</v>
      </c>
      <c r="H40" s="90" t="s">
        <v>25</v>
      </c>
      <c r="I40" s="90" t="s">
        <v>25</v>
      </c>
      <c r="J40" s="90" t="s">
        <v>25</v>
      </c>
      <c r="K40" s="90" t="s">
        <v>25</v>
      </c>
      <c r="L40" s="90" t="s">
        <v>25</v>
      </c>
      <c r="M40" s="90" t="s">
        <v>25</v>
      </c>
      <c r="N40" s="90" t="s">
        <v>25</v>
      </c>
      <c r="O40" s="90" t="s">
        <v>25</v>
      </c>
    </row>
    <row r="41">
      <c r="A41" s="21"/>
      <c r="B41" s="22">
        <v>37.0</v>
      </c>
      <c r="C41" s="31" t="s">
        <v>128</v>
      </c>
      <c r="D41" s="31" t="s">
        <v>129</v>
      </c>
      <c r="E41" s="88" t="str">
        <f t="shared" si="2"/>
        <v>9번 중 9번 참여</v>
      </c>
      <c r="F41" s="89">
        <f t="shared" si="3"/>
        <v>1</v>
      </c>
      <c r="G41" s="90" t="s">
        <v>25</v>
      </c>
      <c r="H41" s="90" t="s">
        <v>25</v>
      </c>
      <c r="I41" s="90" t="s">
        <v>25</v>
      </c>
      <c r="J41" s="90" t="s">
        <v>25</v>
      </c>
      <c r="K41" s="90" t="s">
        <v>25</v>
      </c>
      <c r="L41" s="90" t="s">
        <v>25</v>
      </c>
      <c r="M41" s="90" t="s">
        <v>25</v>
      </c>
      <c r="N41" s="90" t="s">
        <v>25</v>
      </c>
      <c r="O41" s="90" t="s">
        <v>25</v>
      </c>
    </row>
    <row r="42">
      <c r="A42" s="29"/>
      <c r="B42" s="30">
        <v>38.0</v>
      </c>
      <c r="C42" s="23" t="s">
        <v>99</v>
      </c>
      <c r="D42" s="23" t="s">
        <v>100</v>
      </c>
      <c r="E42" s="88" t="str">
        <f t="shared" si="2"/>
        <v>9번 중 8번 참여</v>
      </c>
      <c r="F42" s="89">
        <f t="shared" si="3"/>
        <v>0.8888888889</v>
      </c>
      <c r="G42" s="41"/>
      <c r="H42" s="90" t="s">
        <v>25</v>
      </c>
      <c r="I42" s="90" t="s">
        <v>25</v>
      </c>
      <c r="J42" s="90" t="s">
        <v>25</v>
      </c>
      <c r="K42" s="90" t="s">
        <v>25</v>
      </c>
      <c r="L42" s="90" t="s">
        <v>25</v>
      </c>
      <c r="M42" s="90" t="s">
        <v>25</v>
      </c>
      <c r="N42" s="90" t="s">
        <v>25</v>
      </c>
      <c r="O42" s="90" t="s">
        <v>25</v>
      </c>
    </row>
    <row r="43">
      <c r="A43" s="21"/>
      <c r="B43" s="22">
        <v>39.0</v>
      </c>
      <c r="C43" s="31" t="s">
        <v>347</v>
      </c>
      <c r="D43" s="31" t="s">
        <v>348</v>
      </c>
      <c r="E43" s="88" t="str">
        <f t="shared" si="2"/>
        <v>9번 중 8번 참여</v>
      </c>
      <c r="F43" s="89">
        <f t="shared" si="3"/>
        <v>0.8888888889</v>
      </c>
      <c r="G43" s="90" t="s">
        <v>25</v>
      </c>
      <c r="H43" s="90" t="s">
        <v>25</v>
      </c>
      <c r="I43" s="90" t="s">
        <v>25</v>
      </c>
      <c r="J43" s="90" t="s">
        <v>25</v>
      </c>
      <c r="K43" s="90" t="s">
        <v>25</v>
      </c>
      <c r="L43" s="90" t="s">
        <v>25</v>
      </c>
      <c r="M43" s="90" t="s">
        <v>25</v>
      </c>
      <c r="N43" s="90" t="s">
        <v>25</v>
      </c>
      <c r="O43" s="41"/>
    </row>
    <row r="44">
      <c r="A44" s="29"/>
      <c r="B44" s="30">
        <v>40.0</v>
      </c>
      <c r="C44" s="23" t="s">
        <v>95</v>
      </c>
      <c r="D44" s="23" t="s">
        <v>96</v>
      </c>
      <c r="E44" s="88" t="str">
        <f t="shared" si="2"/>
        <v>9번 중 9번 참여</v>
      </c>
      <c r="F44" s="89">
        <f t="shared" si="3"/>
        <v>1</v>
      </c>
      <c r="G44" s="90" t="s">
        <v>25</v>
      </c>
      <c r="H44" s="90" t="s">
        <v>25</v>
      </c>
      <c r="I44" s="90" t="s">
        <v>25</v>
      </c>
      <c r="J44" s="90" t="s">
        <v>25</v>
      </c>
      <c r="K44" s="90" t="s">
        <v>25</v>
      </c>
      <c r="L44" s="90" t="s">
        <v>25</v>
      </c>
      <c r="M44" s="90" t="s">
        <v>25</v>
      </c>
      <c r="N44" s="90" t="s">
        <v>25</v>
      </c>
      <c r="O44" s="90" t="s">
        <v>25</v>
      </c>
    </row>
    <row r="45">
      <c r="A45" s="21"/>
      <c r="B45" s="22">
        <v>41.0</v>
      </c>
      <c r="C45" s="31" t="s">
        <v>97</v>
      </c>
      <c r="D45" s="31" t="s">
        <v>98</v>
      </c>
      <c r="E45" s="88" t="str">
        <f t="shared" si="2"/>
        <v>9번 중 9번 참여</v>
      </c>
      <c r="F45" s="89">
        <f t="shared" si="3"/>
        <v>1</v>
      </c>
      <c r="G45" s="90" t="s">
        <v>25</v>
      </c>
      <c r="H45" s="90" t="s">
        <v>25</v>
      </c>
      <c r="I45" s="90" t="s">
        <v>25</v>
      </c>
      <c r="J45" s="90" t="s">
        <v>25</v>
      </c>
      <c r="K45" s="90" t="s">
        <v>25</v>
      </c>
      <c r="L45" s="90" t="s">
        <v>25</v>
      </c>
      <c r="M45" s="90" t="s">
        <v>25</v>
      </c>
      <c r="N45" s="90" t="s">
        <v>25</v>
      </c>
      <c r="O45" s="90" t="s">
        <v>25</v>
      </c>
    </row>
    <row r="46">
      <c r="A46" s="29"/>
      <c r="B46" s="30">
        <v>42.0</v>
      </c>
      <c r="C46" s="127" t="s">
        <v>538</v>
      </c>
      <c r="D46" s="127" t="s">
        <v>539</v>
      </c>
      <c r="E46" s="88" t="str">
        <f t="shared" si="2"/>
        <v>9번 중 5번 참여</v>
      </c>
      <c r="F46" s="89">
        <f t="shared" si="3"/>
        <v>0.5555555556</v>
      </c>
      <c r="G46" s="41"/>
      <c r="H46" s="90" t="s">
        <v>25</v>
      </c>
      <c r="I46" s="90" t="s">
        <v>25</v>
      </c>
      <c r="J46" s="90" t="s">
        <v>25</v>
      </c>
      <c r="K46" s="41"/>
      <c r="L46" s="90" t="s">
        <v>25</v>
      </c>
      <c r="M46" s="90" t="s">
        <v>25</v>
      </c>
      <c r="N46" s="41"/>
      <c r="O46" s="41"/>
    </row>
    <row r="47">
      <c r="A47" s="21"/>
      <c r="B47" s="22">
        <v>43.0</v>
      </c>
      <c r="C47" s="23" t="s">
        <v>103</v>
      </c>
      <c r="D47" s="23" t="s">
        <v>104</v>
      </c>
      <c r="E47" s="88" t="str">
        <f t="shared" si="2"/>
        <v>9번 중 8번 참여</v>
      </c>
      <c r="F47" s="89">
        <f t="shared" si="3"/>
        <v>0.8888888889</v>
      </c>
      <c r="G47" s="90" t="s">
        <v>25</v>
      </c>
      <c r="H47" s="41"/>
      <c r="I47" s="90" t="s">
        <v>25</v>
      </c>
      <c r="J47" s="90" t="s">
        <v>25</v>
      </c>
      <c r="K47" s="90" t="s">
        <v>25</v>
      </c>
      <c r="L47" s="90" t="s">
        <v>25</v>
      </c>
      <c r="M47" s="90" t="s">
        <v>25</v>
      </c>
      <c r="N47" s="90" t="s">
        <v>25</v>
      </c>
      <c r="O47" s="90" t="s">
        <v>25</v>
      </c>
    </row>
    <row r="48">
      <c r="A48" s="29"/>
      <c r="B48" s="30">
        <v>44.0</v>
      </c>
      <c r="C48" s="31" t="s">
        <v>351</v>
      </c>
      <c r="D48" s="31" t="s">
        <v>352</v>
      </c>
      <c r="E48" s="88" t="str">
        <f t="shared" si="2"/>
        <v>9번 중 6번 참여</v>
      </c>
      <c r="F48" s="89">
        <f t="shared" si="3"/>
        <v>0.6666666667</v>
      </c>
      <c r="G48" s="41"/>
      <c r="H48" s="41"/>
      <c r="I48" s="90" t="s">
        <v>25</v>
      </c>
      <c r="J48" s="90" t="s">
        <v>25</v>
      </c>
      <c r="K48" s="90" t="s">
        <v>25</v>
      </c>
      <c r="L48" s="90" t="s">
        <v>25</v>
      </c>
      <c r="M48" s="90" t="s">
        <v>25</v>
      </c>
      <c r="N48" s="90" t="s">
        <v>25</v>
      </c>
      <c r="O48" s="41"/>
    </row>
    <row r="49">
      <c r="A49" s="21"/>
      <c r="B49" s="22">
        <v>45.0</v>
      </c>
      <c r="C49" s="23" t="s">
        <v>284</v>
      </c>
      <c r="D49" s="23" t="s">
        <v>121</v>
      </c>
      <c r="E49" s="88" t="str">
        <f t="shared" si="2"/>
        <v>9번 중 9번 참여</v>
      </c>
      <c r="F49" s="89">
        <f t="shared" si="3"/>
        <v>1</v>
      </c>
      <c r="G49" s="90" t="s">
        <v>25</v>
      </c>
      <c r="H49" s="90" t="s">
        <v>25</v>
      </c>
      <c r="I49" s="90" t="s">
        <v>25</v>
      </c>
      <c r="J49" s="90" t="s">
        <v>25</v>
      </c>
      <c r="K49" s="90" t="s">
        <v>25</v>
      </c>
      <c r="L49" s="90" t="s">
        <v>25</v>
      </c>
      <c r="M49" s="90" t="s">
        <v>25</v>
      </c>
      <c r="N49" s="90" t="s">
        <v>25</v>
      </c>
      <c r="O49" s="90" t="s">
        <v>25</v>
      </c>
    </row>
    <row r="50">
      <c r="A50" s="29"/>
      <c r="B50" s="30">
        <v>46.0</v>
      </c>
      <c r="C50" s="31" t="s">
        <v>101</v>
      </c>
      <c r="D50" s="31" t="s">
        <v>102</v>
      </c>
      <c r="E50" s="88" t="str">
        <f t="shared" si="2"/>
        <v>9번 중 6번 참여</v>
      </c>
      <c r="F50" s="89">
        <f t="shared" si="3"/>
        <v>0.6666666667</v>
      </c>
      <c r="G50" s="90" t="s">
        <v>25</v>
      </c>
      <c r="H50" s="41"/>
      <c r="I50" s="90" t="s">
        <v>25</v>
      </c>
      <c r="J50" s="90" t="s">
        <v>25</v>
      </c>
      <c r="K50" s="90" t="s">
        <v>25</v>
      </c>
      <c r="L50" s="90" t="s">
        <v>25</v>
      </c>
      <c r="M50" s="90" t="s">
        <v>25</v>
      </c>
      <c r="N50" s="41"/>
      <c r="O50" s="41"/>
    </row>
    <row r="51">
      <c r="A51" s="21"/>
      <c r="B51" s="22">
        <v>47.0</v>
      </c>
      <c r="C51" s="111" t="s">
        <v>540</v>
      </c>
      <c r="D51" s="269" t="s">
        <v>516</v>
      </c>
      <c r="E51" s="88" t="str">
        <f t="shared" si="2"/>
        <v>9번 중 8번 참여</v>
      </c>
      <c r="F51" s="89">
        <f t="shared" si="3"/>
        <v>0.8888888889</v>
      </c>
      <c r="G51" s="90" t="s">
        <v>25</v>
      </c>
      <c r="H51" s="90" t="s">
        <v>25</v>
      </c>
      <c r="I51" s="90" t="s">
        <v>25</v>
      </c>
      <c r="J51" s="90" t="s">
        <v>25</v>
      </c>
      <c r="K51" s="90" t="s">
        <v>25</v>
      </c>
      <c r="L51" s="90" t="s">
        <v>25</v>
      </c>
      <c r="M51" s="90" t="s">
        <v>25</v>
      </c>
      <c r="N51" s="90" t="s">
        <v>25</v>
      </c>
      <c r="O51" s="41"/>
    </row>
    <row r="52">
      <c r="A52" s="29"/>
      <c r="B52" s="30">
        <v>48.0</v>
      </c>
      <c r="C52" s="155" t="s">
        <v>541</v>
      </c>
      <c r="D52" s="155" t="s">
        <v>542</v>
      </c>
      <c r="E52" s="88" t="str">
        <f t="shared" si="2"/>
        <v>9번 중 1번 참여</v>
      </c>
      <c r="F52" s="89">
        <f t="shared" si="3"/>
        <v>0.1111111111</v>
      </c>
      <c r="G52" s="41"/>
      <c r="H52" s="41"/>
      <c r="I52" s="41"/>
      <c r="J52" s="41"/>
      <c r="K52" s="41"/>
      <c r="L52" s="41"/>
      <c r="M52" s="90" t="s">
        <v>25</v>
      </c>
      <c r="N52" s="41"/>
      <c r="O52" s="41"/>
    </row>
    <row r="53">
      <c r="A53" s="21"/>
      <c r="B53" s="22">
        <v>49.0</v>
      </c>
      <c r="C53" s="95" t="s">
        <v>109</v>
      </c>
      <c r="D53" s="95" t="s">
        <v>110</v>
      </c>
      <c r="E53" s="88" t="str">
        <f t="shared" si="2"/>
        <v>9번 중 7번 참여</v>
      </c>
      <c r="F53" s="89">
        <f t="shared" si="3"/>
        <v>0.7777777778</v>
      </c>
      <c r="G53" s="90" t="s">
        <v>25</v>
      </c>
      <c r="H53" s="90" t="s">
        <v>25</v>
      </c>
      <c r="I53" s="90" t="s">
        <v>25</v>
      </c>
      <c r="J53" s="90" t="s">
        <v>25</v>
      </c>
      <c r="K53" s="41"/>
      <c r="L53" s="90" t="s">
        <v>25</v>
      </c>
      <c r="M53" s="41"/>
      <c r="N53" s="90" t="s">
        <v>25</v>
      </c>
      <c r="O53" s="90" t="s">
        <v>25</v>
      </c>
    </row>
    <row r="54">
      <c r="A54" s="29"/>
      <c r="B54" s="30">
        <v>50.0</v>
      </c>
      <c r="C54" s="31" t="s">
        <v>111</v>
      </c>
      <c r="D54" s="31" t="s">
        <v>112</v>
      </c>
      <c r="E54" s="88" t="str">
        <f t="shared" si="2"/>
        <v>9번 중 6번 참여</v>
      </c>
      <c r="F54" s="89">
        <f t="shared" si="3"/>
        <v>0.6666666667</v>
      </c>
      <c r="G54" s="90" t="s">
        <v>25</v>
      </c>
      <c r="H54" s="90" t="s">
        <v>25</v>
      </c>
      <c r="I54" s="90" t="s">
        <v>25</v>
      </c>
      <c r="J54" s="90" t="s">
        <v>25</v>
      </c>
      <c r="K54" s="90" t="s">
        <v>25</v>
      </c>
      <c r="L54" s="41"/>
      <c r="M54" s="90" t="s">
        <v>25</v>
      </c>
      <c r="N54" s="41"/>
      <c r="O54" s="41"/>
    </row>
    <row r="55">
      <c r="A55" s="21"/>
      <c r="B55" s="22">
        <v>51.0</v>
      </c>
      <c r="C55" s="23" t="s">
        <v>113</v>
      </c>
      <c r="D55" s="23" t="s">
        <v>114</v>
      </c>
      <c r="E55" s="88" t="str">
        <f t="shared" si="2"/>
        <v>9번 중 9번 참여</v>
      </c>
      <c r="F55" s="89">
        <f t="shared" si="3"/>
        <v>1</v>
      </c>
      <c r="G55" s="90" t="s">
        <v>25</v>
      </c>
      <c r="H55" s="90" t="s">
        <v>25</v>
      </c>
      <c r="I55" s="90" t="s">
        <v>25</v>
      </c>
      <c r="J55" s="90" t="s">
        <v>25</v>
      </c>
      <c r="K55" s="90" t="s">
        <v>25</v>
      </c>
      <c r="L55" s="90" t="s">
        <v>25</v>
      </c>
      <c r="M55" s="90" t="s">
        <v>25</v>
      </c>
      <c r="N55" s="90" t="s">
        <v>25</v>
      </c>
      <c r="O55" s="90" t="s">
        <v>25</v>
      </c>
    </row>
    <row r="56">
      <c r="A56" s="29"/>
      <c r="B56" s="30">
        <v>52.0</v>
      </c>
      <c r="C56" s="31" t="s">
        <v>361</v>
      </c>
      <c r="D56" s="31" t="s">
        <v>362</v>
      </c>
      <c r="E56" s="88" t="str">
        <f t="shared" si="2"/>
        <v>9번 중 7번 참여</v>
      </c>
      <c r="F56" s="89">
        <f t="shared" si="3"/>
        <v>0.7777777778</v>
      </c>
      <c r="G56" s="90" t="s">
        <v>25</v>
      </c>
      <c r="H56" s="90" t="s">
        <v>25</v>
      </c>
      <c r="I56" s="90" t="s">
        <v>25</v>
      </c>
      <c r="J56" s="90" t="s">
        <v>25</v>
      </c>
      <c r="K56" s="90" t="s">
        <v>25</v>
      </c>
      <c r="L56" s="41"/>
      <c r="M56" s="90" t="s">
        <v>25</v>
      </c>
      <c r="N56" s="41"/>
      <c r="O56" s="90" t="s">
        <v>25</v>
      </c>
    </row>
    <row r="57">
      <c r="A57" s="21"/>
      <c r="B57" s="22">
        <v>53.0</v>
      </c>
      <c r="C57" s="23" t="s">
        <v>132</v>
      </c>
      <c r="D57" s="23" t="s">
        <v>133</v>
      </c>
      <c r="E57" s="88" t="str">
        <f t="shared" si="2"/>
        <v>9번 중 9번 참여</v>
      </c>
      <c r="F57" s="89">
        <f t="shared" si="3"/>
        <v>1</v>
      </c>
      <c r="G57" s="90" t="s">
        <v>25</v>
      </c>
      <c r="H57" s="90" t="s">
        <v>25</v>
      </c>
      <c r="I57" s="90" t="s">
        <v>25</v>
      </c>
      <c r="J57" s="90" t="s">
        <v>25</v>
      </c>
      <c r="K57" s="90" t="s">
        <v>25</v>
      </c>
      <c r="L57" s="90" t="s">
        <v>25</v>
      </c>
      <c r="M57" s="90" t="s">
        <v>25</v>
      </c>
      <c r="N57" s="90" t="s">
        <v>25</v>
      </c>
      <c r="O57" s="90" t="s">
        <v>25</v>
      </c>
    </row>
    <row r="58">
      <c r="A58" s="255" t="s">
        <v>226</v>
      </c>
      <c r="B58" s="30">
        <v>54.0</v>
      </c>
      <c r="C58" s="31" t="s">
        <v>283</v>
      </c>
      <c r="D58" s="31" t="s">
        <v>119</v>
      </c>
      <c r="E58" s="88" t="str">
        <f t="shared" si="2"/>
        <v>9번 중 9번 참여</v>
      </c>
      <c r="F58" s="89">
        <f t="shared" si="3"/>
        <v>1</v>
      </c>
      <c r="G58" s="90" t="s">
        <v>25</v>
      </c>
      <c r="H58" s="90" t="s">
        <v>25</v>
      </c>
      <c r="I58" s="90" t="s">
        <v>25</v>
      </c>
      <c r="J58" s="90" t="s">
        <v>25</v>
      </c>
      <c r="K58" s="90" t="s">
        <v>25</v>
      </c>
      <c r="L58" s="90" t="s">
        <v>25</v>
      </c>
      <c r="M58" s="90" t="s">
        <v>25</v>
      </c>
      <c r="N58" s="90" t="s">
        <v>25</v>
      </c>
      <c r="O58" s="90" t="s">
        <v>25</v>
      </c>
    </row>
    <row r="59">
      <c r="A59" s="235"/>
      <c r="B59" s="22">
        <v>55.0</v>
      </c>
      <c r="C59" s="23" t="s">
        <v>363</v>
      </c>
      <c r="D59" s="23" t="s">
        <v>364</v>
      </c>
      <c r="E59" s="88" t="str">
        <f t="shared" si="2"/>
        <v>9번 중 7번 참여</v>
      </c>
      <c r="F59" s="89">
        <f t="shared" si="3"/>
        <v>0.7777777778</v>
      </c>
      <c r="G59" s="90" t="s">
        <v>25</v>
      </c>
      <c r="H59" s="90" t="s">
        <v>25</v>
      </c>
      <c r="I59" s="41"/>
      <c r="J59" s="90" t="s">
        <v>25</v>
      </c>
      <c r="K59" s="90" t="s">
        <v>25</v>
      </c>
      <c r="L59" s="90" t="s">
        <v>25</v>
      </c>
      <c r="M59" s="41"/>
      <c r="N59" s="90" t="s">
        <v>25</v>
      </c>
      <c r="O59" s="90" t="s">
        <v>25</v>
      </c>
    </row>
    <row r="60">
      <c r="A60" s="29"/>
      <c r="B60" s="30">
        <v>56.0</v>
      </c>
      <c r="C60" s="98" t="s">
        <v>28</v>
      </c>
      <c r="D60" s="98" t="s">
        <v>70</v>
      </c>
      <c r="E60" s="88" t="str">
        <f t="shared" si="2"/>
        <v>9번 중 9번 참여</v>
      </c>
      <c r="F60" s="89">
        <f t="shared" si="3"/>
        <v>1</v>
      </c>
      <c r="G60" s="90" t="s">
        <v>25</v>
      </c>
      <c r="H60" s="90" t="s">
        <v>25</v>
      </c>
      <c r="I60" s="90" t="s">
        <v>25</v>
      </c>
      <c r="J60" s="90" t="s">
        <v>25</v>
      </c>
      <c r="K60" s="90" t="s">
        <v>25</v>
      </c>
      <c r="L60" s="90" t="s">
        <v>25</v>
      </c>
      <c r="M60" s="90" t="s">
        <v>25</v>
      </c>
      <c r="N60" s="90" t="s">
        <v>25</v>
      </c>
      <c r="O60" s="90" t="s">
        <v>25</v>
      </c>
    </row>
    <row r="61">
      <c r="A61" s="21"/>
      <c r="B61" s="22">
        <v>57.0</v>
      </c>
      <c r="C61" s="31" t="s">
        <v>369</v>
      </c>
      <c r="D61" s="31" t="s">
        <v>108</v>
      </c>
      <c r="E61" s="88" t="str">
        <f t="shared" si="2"/>
        <v>9번 중 8번 참여</v>
      </c>
      <c r="F61" s="89">
        <f t="shared" si="3"/>
        <v>0.8888888889</v>
      </c>
      <c r="G61" s="90" t="s">
        <v>25</v>
      </c>
      <c r="H61" s="90" t="s">
        <v>25</v>
      </c>
      <c r="I61" s="90" t="s">
        <v>25</v>
      </c>
      <c r="J61" s="90" t="s">
        <v>25</v>
      </c>
      <c r="K61" s="90" t="s">
        <v>80</v>
      </c>
      <c r="L61" s="90" t="s">
        <v>25</v>
      </c>
      <c r="M61" s="90" t="s">
        <v>25</v>
      </c>
      <c r="N61" s="90" t="s">
        <v>25</v>
      </c>
      <c r="O61" s="90" t="s">
        <v>25</v>
      </c>
    </row>
    <row r="62">
      <c r="A62" s="29"/>
      <c r="B62" s="30">
        <v>58.0</v>
      </c>
      <c r="C62" s="95" t="s">
        <v>138</v>
      </c>
      <c r="D62" s="23" t="s">
        <v>139</v>
      </c>
      <c r="E62" s="88" t="str">
        <f t="shared" si="2"/>
        <v>9번 중 9번 참여</v>
      </c>
      <c r="F62" s="89">
        <f t="shared" si="3"/>
        <v>1</v>
      </c>
      <c r="G62" s="90" t="s">
        <v>25</v>
      </c>
      <c r="H62" s="90" t="s">
        <v>25</v>
      </c>
      <c r="I62" s="90" t="s">
        <v>25</v>
      </c>
      <c r="J62" s="90" t="s">
        <v>25</v>
      </c>
      <c r="K62" s="90" t="s">
        <v>25</v>
      </c>
      <c r="L62" s="90" t="s">
        <v>25</v>
      </c>
      <c r="M62" s="90" t="s">
        <v>25</v>
      </c>
      <c r="N62" s="90" t="s">
        <v>25</v>
      </c>
      <c r="O62" s="90" t="s">
        <v>25</v>
      </c>
    </row>
    <row r="63">
      <c r="A63" s="21"/>
      <c r="B63" s="22">
        <v>59.0</v>
      </c>
      <c r="C63" s="101" t="s">
        <v>136</v>
      </c>
      <c r="D63" s="31" t="s">
        <v>137</v>
      </c>
      <c r="E63" s="88" t="str">
        <f t="shared" si="2"/>
        <v>9번 중 9번 참여</v>
      </c>
      <c r="F63" s="89">
        <f t="shared" si="3"/>
        <v>1</v>
      </c>
      <c r="G63" s="90" t="s">
        <v>25</v>
      </c>
      <c r="H63" s="90" t="s">
        <v>25</v>
      </c>
      <c r="I63" s="90" t="s">
        <v>25</v>
      </c>
      <c r="J63" s="90" t="s">
        <v>25</v>
      </c>
      <c r="K63" s="90" t="s">
        <v>25</v>
      </c>
      <c r="L63" s="90" t="s">
        <v>25</v>
      </c>
      <c r="M63" s="90" t="s">
        <v>25</v>
      </c>
      <c r="N63" s="90" t="s">
        <v>25</v>
      </c>
      <c r="O63" s="90" t="s">
        <v>25</v>
      </c>
    </row>
    <row r="64">
      <c r="A64" s="29"/>
      <c r="B64" s="30">
        <v>60.0</v>
      </c>
      <c r="C64" s="23" t="s">
        <v>142</v>
      </c>
      <c r="D64" s="23" t="s">
        <v>143</v>
      </c>
      <c r="E64" s="88" t="str">
        <f t="shared" si="2"/>
        <v>9번 중 4번 참여</v>
      </c>
      <c r="F64" s="89">
        <f t="shared" si="3"/>
        <v>0.4444444444</v>
      </c>
      <c r="G64" s="90" t="s">
        <v>25</v>
      </c>
      <c r="H64" s="90" t="s">
        <v>25</v>
      </c>
      <c r="I64" s="90" t="s">
        <v>25</v>
      </c>
      <c r="J64" s="90" t="s">
        <v>25</v>
      </c>
      <c r="K64" s="41"/>
      <c r="L64" s="41"/>
      <c r="M64" s="41"/>
      <c r="N64" s="41"/>
      <c r="O64" s="41"/>
    </row>
    <row r="65">
      <c r="A65" s="21"/>
      <c r="B65" s="22">
        <v>61.0</v>
      </c>
      <c r="C65" s="31" t="s">
        <v>144</v>
      </c>
      <c r="D65" s="31" t="s">
        <v>145</v>
      </c>
      <c r="E65" s="88" t="str">
        <f t="shared" si="2"/>
        <v>9번 중 4번 참여</v>
      </c>
      <c r="F65" s="89">
        <f t="shared" si="3"/>
        <v>0.4444444444</v>
      </c>
      <c r="G65" s="90" t="s">
        <v>25</v>
      </c>
      <c r="H65" s="90" t="s">
        <v>25</v>
      </c>
      <c r="I65" s="90" t="s">
        <v>25</v>
      </c>
      <c r="J65" s="90" t="s">
        <v>25</v>
      </c>
      <c r="K65" s="41"/>
      <c r="L65" s="41"/>
      <c r="M65" s="41"/>
      <c r="N65" s="41"/>
      <c r="O65" s="41"/>
    </row>
    <row r="66">
      <c r="A66" s="29"/>
      <c r="B66" s="30">
        <v>62.0</v>
      </c>
      <c r="C66" s="23" t="s">
        <v>146</v>
      </c>
      <c r="D66" s="23" t="s">
        <v>147</v>
      </c>
      <c r="E66" s="88" t="str">
        <f t="shared" si="2"/>
        <v>9번 중 9번 참여</v>
      </c>
      <c r="F66" s="89">
        <f t="shared" si="3"/>
        <v>1</v>
      </c>
      <c r="G66" s="90" t="s">
        <v>25</v>
      </c>
      <c r="H66" s="90" t="s">
        <v>25</v>
      </c>
      <c r="I66" s="90" t="s">
        <v>25</v>
      </c>
      <c r="J66" s="90" t="s">
        <v>25</v>
      </c>
      <c r="K66" s="90" t="s">
        <v>25</v>
      </c>
      <c r="L66" s="90" t="s">
        <v>25</v>
      </c>
      <c r="M66" s="90" t="s">
        <v>25</v>
      </c>
      <c r="N66" s="90" t="s">
        <v>25</v>
      </c>
      <c r="O66" s="90" t="s">
        <v>25</v>
      </c>
    </row>
    <row r="67">
      <c r="A67" s="21"/>
      <c r="B67" s="22">
        <v>63.0</v>
      </c>
      <c r="C67" s="31" t="s">
        <v>148</v>
      </c>
      <c r="D67" s="31" t="s">
        <v>149</v>
      </c>
      <c r="E67" s="88" t="str">
        <f t="shared" si="2"/>
        <v>9번 중 8번 참여</v>
      </c>
      <c r="F67" s="89">
        <f t="shared" si="3"/>
        <v>0.8888888889</v>
      </c>
      <c r="G67" s="90" t="s">
        <v>25</v>
      </c>
      <c r="H67" s="90" t="s">
        <v>25</v>
      </c>
      <c r="I67" s="90" t="s">
        <v>25</v>
      </c>
      <c r="J67" s="90" t="s">
        <v>25</v>
      </c>
      <c r="K67" s="90" t="s">
        <v>25</v>
      </c>
      <c r="L67" s="90" t="s">
        <v>25</v>
      </c>
      <c r="M67" s="90" t="s">
        <v>25</v>
      </c>
      <c r="N67" s="90" t="s">
        <v>25</v>
      </c>
      <c r="O67" s="41"/>
    </row>
    <row r="68">
      <c r="A68" s="29"/>
      <c r="B68" s="30">
        <v>64.0</v>
      </c>
      <c r="C68" s="153" t="s">
        <v>378</v>
      </c>
      <c r="D68" s="153" t="s">
        <v>379</v>
      </c>
      <c r="E68" s="88" t="str">
        <f t="shared" si="2"/>
        <v/>
      </c>
      <c r="F68" s="89" t="str">
        <f t="shared" si="3"/>
        <v/>
      </c>
      <c r="G68" s="41"/>
      <c r="H68" s="41"/>
      <c r="I68" s="41"/>
      <c r="J68" s="41"/>
      <c r="K68" s="41"/>
      <c r="L68" s="41"/>
      <c r="M68" s="41"/>
      <c r="N68" s="41"/>
      <c r="O68" s="41"/>
    </row>
    <row r="69">
      <c r="A69" s="21"/>
      <c r="B69" s="22">
        <v>65.0</v>
      </c>
      <c r="C69" s="23" t="s">
        <v>140</v>
      </c>
      <c r="D69" s="23" t="s">
        <v>141</v>
      </c>
      <c r="E69" s="88" t="str">
        <f t="shared" si="2"/>
        <v>9번 중 8번 참여</v>
      </c>
      <c r="F69" s="89">
        <f t="shared" si="3"/>
        <v>0.8888888889</v>
      </c>
      <c r="G69" s="90" t="s">
        <v>25</v>
      </c>
      <c r="H69" s="90" t="s">
        <v>25</v>
      </c>
      <c r="I69" s="90" t="s">
        <v>25</v>
      </c>
      <c r="J69" s="90" t="s">
        <v>25</v>
      </c>
      <c r="K69" s="90" t="s">
        <v>25</v>
      </c>
      <c r="L69" s="90" t="s">
        <v>25</v>
      </c>
      <c r="M69" s="90" t="s">
        <v>25</v>
      </c>
      <c r="N69" s="90" t="s">
        <v>25</v>
      </c>
      <c r="O69" s="41"/>
    </row>
    <row r="70">
      <c r="A70" s="29"/>
      <c r="B70" s="30">
        <v>66.0</v>
      </c>
      <c r="C70" s="31" t="s">
        <v>150</v>
      </c>
      <c r="D70" s="43" t="s">
        <v>151</v>
      </c>
      <c r="E70" s="88" t="str">
        <f t="shared" si="2"/>
        <v>9번 중 3번 참여</v>
      </c>
      <c r="F70" s="89">
        <f t="shared" si="3"/>
        <v>0.3333333333</v>
      </c>
      <c r="G70" s="41"/>
      <c r="H70" s="90" t="s">
        <v>25</v>
      </c>
      <c r="I70" s="90" t="s">
        <v>80</v>
      </c>
      <c r="J70" s="90" t="s">
        <v>25</v>
      </c>
      <c r="K70" s="90" t="s">
        <v>25</v>
      </c>
      <c r="L70" s="41"/>
      <c r="M70" s="41"/>
      <c r="N70" s="41"/>
      <c r="O70" s="41"/>
    </row>
    <row r="71">
      <c r="A71" s="21"/>
      <c r="B71" s="22">
        <v>67.0</v>
      </c>
      <c r="C71" s="23" t="s">
        <v>152</v>
      </c>
      <c r="D71" s="23" t="s">
        <v>153</v>
      </c>
      <c r="E71" s="88" t="str">
        <f t="shared" si="2"/>
        <v>9번 중 8번 참여</v>
      </c>
      <c r="F71" s="89">
        <f t="shared" si="3"/>
        <v>0.8888888889</v>
      </c>
      <c r="G71" s="90" t="s">
        <v>25</v>
      </c>
      <c r="H71" s="90" t="s">
        <v>25</v>
      </c>
      <c r="I71" s="90" t="s">
        <v>25</v>
      </c>
      <c r="J71" s="90" t="s">
        <v>25</v>
      </c>
      <c r="K71" s="90" t="s">
        <v>25</v>
      </c>
      <c r="L71" s="90" t="s">
        <v>25</v>
      </c>
      <c r="M71" s="90" t="s">
        <v>25</v>
      </c>
      <c r="N71" s="90" t="s">
        <v>25</v>
      </c>
      <c r="O71" s="41"/>
    </row>
    <row r="72">
      <c r="A72" s="29"/>
      <c r="B72" s="30">
        <v>68.0</v>
      </c>
      <c r="C72" s="31" t="s">
        <v>386</v>
      </c>
      <c r="D72" s="31" t="s">
        <v>387</v>
      </c>
      <c r="E72" s="88" t="str">
        <f t="shared" si="2"/>
        <v>9번 중 8번 참여</v>
      </c>
      <c r="F72" s="89">
        <f t="shared" si="3"/>
        <v>0.8888888889</v>
      </c>
      <c r="G72" s="90" t="s">
        <v>25</v>
      </c>
      <c r="H72" s="90" t="s">
        <v>25</v>
      </c>
      <c r="I72" s="90" t="s">
        <v>25</v>
      </c>
      <c r="J72" s="90" t="s">
        <v>25</v>
      </c>
      <c r="K72" s="90" t="s">
        <v>25</v>
      </c>
      <c r="L72" s="90" t="s">
        <v>25</v>
      </c>
      <c r="M72" s="90" t="s">
        <v>25</v>
      </c>
      <c r="N72" s="90" t="s">
        <v>25</v>
      </c>
      <c r="O72" s="41"/>
    </row>
    <row r="73">
      <c r="A73" s="21"/>
      <c r="B73" s="22">
        <v>69.0</v>
      </c>
      <c r="C73" s="23" t="s">
        <v>156</v>
      </c>
      <c r="D73" s="23" t="s">
        <v>157</v>
      </c>
      <c r="E73" s="88" t="str">
        <f t="shared" si="2"/>
        <v>9번 중 9번 참여</v>
      </c>
      <c r="F73" s="89">
        <f t="shared" si="3"/>
        <v>1</v>
      </c>
      <c r="G73" s="90" t="s">
        <v>25</v>
      </c>
      <c r="H73" s="90" t="s">
        <v>25</v>
      </c>
      <c r="I73" s="90" t="s">
        <v>25</v>
      </c>
      <c r="J73" s="90" t="s">
        <v>25</v>
      </c>
      <c r="K73" s="90" t="s">
        <v>25</v>
      </c>
      <c r="L73" s="90" t="s">
        <v>25</v>
      </c>
      <c r="M73" s="90" t="s">
        <v>25</v>
      </c>
      <c r="N73" s="90" t="s">
        <v>25</v>
      </c>
      <c r="O73" s="90" t="s">
        <v>25</v>
      </c>
    </row>
    <row r="74">
      <c r="A74" s="29"/>
      <c r="B74" s="30">
        <v>70.0</v>
      </c>
      <c r="C74" s="270" t="s">
        <v>425</v>
      </c>
      <c r="D74" s="270" t="s">
        <v>426</v>
      </c>
      <c r="E74" s="88" t="str">
        <f t="shared" si="2"/>
        <v>9번 중 1번 참여</v>
      </c>
      <c r="F74" s="89">
        <f t="shared" si="3"/>
        <v>0.1111111111</v>
      </c>
      <c r="G74" s="90" t="s">
        <v>25</v>
      </c>
      <c r="H74" s="41"/>
      <c r="I74" s="41"/>
      <c r="J74" s="41"/>
      <c r="K74" s="41"/>
      <c r="L74" s="41"/>
      <c r="M74" s="41"/>
      <c r="N74" s="41"/>
      <c r="O74" s="41"/>
    </row>
    <row r="75">
      <c r="A75" s="21"/>
      <c r="B75" s="22">
        <v>71.0</v>
      </c>
      <c r="C75" s="127" t="s">
        <v>160</v>
      </c>
      <c r="D75" s="127" t="s">
        <v>161</v>
      </c>
      <c r="E75" s="88" t="str">
        <f t="shared" si="2"/>
        <v>9번 중 9번 참여</v>
      </c>
      <c r="F75" s="89">
        <f t="shared" si="3"/>
        <v>1</v>
      </c>
      <c r="G75" s="90" t="s">
        <v>25</v>
      </c>
      <c r="H75" s="90" t="s">
        <v>25</v>
      </c>
      <c r="I75" s="90" t="s">
        <v>25</v>
      </c>
      <c r="J75" s="90" t="s">
        <v>25</v>
      </c>
      <c r="K75" s="90" t="s">
        <v>25</v>
      </c>
      <c r="L75" s="90" t="s">
        <v>25</v>
      </c>
      <c r="M75" s="90" t="s">
        <v>25</v>
      </c>
      <c r="N75" s="90" t="s">
        <v>25</v>
      </c>
      <c r="O75" s="90" t="s">
        <v>25</v>
      </c>
    </row>
    <row r="76">
      <c r="A76" s="29"/>
      <c r="B76" s="30">
        <v>72.0</v>
      </c>
      <c r="C76" s="31" t="s">
        <v>162</v>
      </c>
      <c r="D76" s="31" t="s">
        <v>163</v>
      </c>
      <c r="E76" s="88" t="str">
        <f t="shared" si="2"/>
        <v>9번 중 9번 참여</v>
      </c>
      <c r="F76" s="89">
        <f t="shared" si="3"/>
        <v>1</v>
      </c>
      <c r="G76" s="90" t="s">
        <v>25</v>
      </c>
      <c r="H76" s="90" t="s">
        <v>25</v>
      </c>
      <c r="I76" s="90" t="s">
        <v>25</v>
      </c>
      <c r="J76" s="90" t="s">
        <v>25</v>
      </c>
      <c r="K76" s="90" t="s">
        <v>25</v>
      </c>
      <c r="L76" s="90" t="s">
        <v>25</v>
      </c>
      <c r="M76" s="90" t="s">
        <v>25</v>
      </c>
      <c r="N76" s="90" t="s">
        <v>25</v>
      </c>
      <c r="O76" s="90" t="s">
        <v>25</v>
      </c>
    </row>
    <row r="77">
      <c r="A77" s="21"/>
      <c r="B77" s="22">
        <v>73.0</v>
      </c>
      <c r="C77" s="23" t="s">
        <v>164</v>
      </c>
      <c r="D77" s="23" t="s">
        <v>165</v>
      </c>
      <c r="E77" s="88" t="str">
        <f t="shared" si="2"/>
        <v>9번 중 8번 참여</v>
      </c>
      <c r="F77" s="89">
        <f t="shared" si="3"/>
        <v>0.8888888889</v>
      </c>
      <c r="G77" s="90" t="s">
        <v>25</v>
      </c>
      <c r="H77" s="90" t="s">
        <v>25</v>
      </c>
      <c r="I77" s="90" t="s">
        <v>25</v>
      </c>
      <c r="J77" s="90" t="s">
        <v>25</v>
      </c>
      <c r="K77" s="90" t="s">
        <v>25</v>
      </c>
      <c r="L77" s="90" t="s">
        <v>25</v>
      </c>
      <c r="M77" s="90" t="s">
        <v>25</v>
      </c>
      <c r="N77" s="90" t="s">
        <v>25</v>
      </c>
      <c r="O77" s="41"/>
    </row>
    <row r="78">
      <c r="A78" s="29"/>
      <c r="B78" s="30">
        <v>74.0</v>
      </c>
      <c r="C78" s="31"/>
      <c r="D78" s="31"/>
      <c r="E78" s="88" t="str">
        <f t="shared" si="2"/>
        <v/>
      </c>
      <c r="F78" s="89" t="str">
        <f t="shared" si="3"/>
        <v/>
      </c>
      <c r="G78" s="41"/>
      <c r="H78" s="90" t="s">
        <v>80</v>
      </c>
      <c r="I78" s="90" t="s">
        <v>80</v>
      </c>
      <c r="J78" s="41"/>
      <c r="K78" s="41"/>
      <c r="L78" s="41"/>
      <c r="M78" s="41"/>
      <c r="N78" s="41"/>
      <c r="O78" s="41"/>
    </row>
    <row r="79">
      <c r="A79" s="21"/>
      <c r="B79" s="22">
        <v>75.0</v>
      </c>
      <c r="C79" s="271" t="s">
        <v>134</v>
      </c>
      <c r="D79" s="272" t="s">
        <v>429</v>
      </c>
      <c r="E79" s="88" t="str">
        <f t="shared" si="2"/>
        <v/>
      </c>
      <c r="F79" s="89" t="str">
        <f t="shared" si="3"/>
        <v/>
      </c>
      <c r="G79" s="41"/>
      <c r="H79" s="41"/>
      <c r="I79" s="41"/>
      <c r="J79" s="41"/>
      <c r="K79" s="41"/>
      <c r="L79" s="41"/>
      <c r="M79" s="41"/>
      <c r="N79" s="41"/>
      <c r="O79" s="41"/>
    </row>
    <row r="80">
      <c r="A80" s="29"/>
      <c r="B80" s="30">
        <v>76.0</v>
      </c>
      <c r="C80" s="31" t="s">
        <v>154</v>
      </c>
      <c r="D80" s="31" t="s">
        <v>155</v>
      </c>
      <c r="E80" s="88" t="str">
        <f t="shared" si="2"/>
        <v>9번 중 9번 참여</v>
      </c>
      <c r="F80" s="89">
        <f t="shared" si="3"/>
        <v>1</v>
      </c>
      <c r="G80" s="90" t="s">
        <v>25</v>
      </c>
      <c r="H80" s="90" t="s">
        <v>25</v>
      </c>
      <c r="I80" s="90" t="s">
        <v>25</v>
      </c>
      <c r="J80" s="90" t="s">
        <v>25</v>
      </c>
      <c r="K80" s="90" t="s">
        <v>25</v>
      </c>
      <c r="L80" s="90" t="s">
        <v>25</v>
      </c>
      <c r="M80" s="90" t="s">
        <v>25</v>
      </c>
      <c r="N80" s="90" t="s">
        <v>25</v>
      </c>
      <c r="O80" s="90" t="s">
        <v>25</v>
      </c>
    </row>
    <row r="81">
      <c r="A81" s="21"/>
      <c r="B81" s="22">
        <v>77.0</v>
      </c>
      <c r="C81" s="31" t="s">
        <v>430</v>
      </c>
      <c r="D81" s="31" t="s">
        <v>431</v>
      </c>
      <c r="E81" s="88" t="str">
        <f t="shared" si="2"/>
        <v/>
      </c>
      <c r="F81" s="89" t="str">
        <f t="shared" si="3"/>
        <v/>
      </c>
      <c r="G81" s="41"/>
      <c r="H81" s="41"/>
      <c r="I81" s="41"/>
      <c r="J81" s="41"/>
      <c r="K81" s="41"/>
      <c r="L81" s="41"/>
      <c r="M81" s="41"/>
      <c r="N81" s="41"/>
      <c r="O81" s="41"/>
    </row>
    <row r="82">
      <c r="A82" s="29"/>
      <c r="B82" s="30">
        <v>78.0</v>
      </c>
      <c r="C82" s="31" t="s">
        <v>170</v>
      </c>
      <c r="D82" s="31" t="s">
        <v>171</v>
      </c>
      <c r="E82" s="88" t="str">
        <f t="shared" si="2"/>
        <v>9번 중 9번 참여</v>
      </c>
      <c r="F82" s="89">
        <f t="shared" si="3"/>
        <v>1</v>
      </c>
      <c r="G82" s="90" t="s">
        <v>25</v>
      </c>
      <c r="H82" s="90" t="s">
        <v>25</v>
      </c>
      <c r="I82" s="90" t="s">
        <v>25</v>
      </c>
      <c r="J82" s="90" t="s">
        <v>25</v>
      </c>
      <c r="K82" s="90" t="s">
        <v>25</v>
      </c>
      <c r="L82" s="90" t="s">
        <v>25</v>
      </c>
      <c r="M82" s="90" t="s">
        <v>25</v>
      </c>
      <c r="N82" s="90" t="s">
        <v>25</v>
      </c>
      <c r="O82" s="90" t="s">
        <v>25</v>
      </c>
    </row>
    <row r="83">
      <c r="A83" s="21"/>
      <c r="B83" s="22">
        <v>79.0</v>
      </c>
      <c r="C83" s="23" t="s">
        <v>172</v>
      </c>
      <c r="D83" s="23" t="s">
        <v>173</v>
      </c>
      <c r="E83" s="88" t="str">
        <f t="shared" si="2"/>
        <v>9번 중 9번 참여</v>
      </c>
      <c r="F83" s="89">
        <f t="shared" si="3"/>
        <v>1</v>
      </c>
      <c r="G83" s="90" t="s">
        <v>25</v>
      </c>
      <c r="H83" s="90" t="s">
        <v>25</v>
      </c>
      <c r="I83" s="90" t="s">
        <v>25</v>
      </c>
      <c r="J83" s="90" t="s">
        <v>25</v>
      </c>
      <c r="K83" s="90" t="s">
        <v>25</v>
      </c>
      <c r="L83" s="90" t="s">
        <v>25</v>
      </c>
      <c r="M83" s="90" t="s">
        <v>25</v>
      </c>
      <c r="N83" s="90" t="s">
        <v>25</v>
      </c>
      <c r="O83" s="90" t="s">
        <v>25</v>
      </c>
    </row>
    <row r="84">
      <c r="A84" s="29"/>
      <c r="B84" s="30">
        <v>80.0</v>
      </c>
      <c r="C84" s="153" t="s">
        <v>422</v>
      </c>
      <c r="D84" s="153" t="s">
        <v>423</v>
      </c>
      <c r="E84" s="88" t="str">
        <f t="shared" si="2"/>
        <v/>
      </c>
      <c r="F84" s="89" t="str">
        <f t="shared" si="3"/>
        <v/>
      </c>
      <c r="G84" s="41"/>
      <c r="H84" s="41"/>
      <c r="I84" s="41"/>
      <c r="J84" s="41"/>
      <c r="K84" s="41"/>
      <c r="L84" s="41"/>
      <c r="M84" s="41"/>
      <c r="N84" s="41"/>
      <c r="O84" s="41"/>
    </row>
    <row r="85">
      <c r="A85" s="21"/>
      <c r="B85" s="22">
        <v>81.0</v>
      </c>
      <c r="C85" s="153" t="s">
        <v>339</v>
      </c>
      <c r="D85" s="153" t="s">
        <v>340</v>
      </c>
      <c r="E85" s="88" t="str">
        <f t="shared" si="2"/>
        <v/>
      </c>
      <c r="F85" s="89" t="str">
        <f t="shared" si="3"/>
        <v/>
      </c>
      <c r="G85" s="41"/>
      <c r="H85" s="41"/>
      <c r="I85" s="41"/>
      <c r="J85" s="41"/>
      <c r="K85" s="41"/>
      <c r="L85" s="41"/>
      <c r="M85" s="41"/>
      <c r="N85" s="41"/>
      <c r="O85" s="41"/>
    </row>
    <row r="86">
      <c r="A86" s="29"/>
      <c r="B86" s="30">
        <v>82.0</v>
      </c>
      <c r="C86" s="31" t="s">
        <v>174</v>
      </c>
      <c r="D86" s="43" t="s">
        <v>175</v>
      </c>
      <c r="E86" s="88" t="str">
        <f t="shared" si="2"/>
        <v>9번 중 4번 참여</v>
      </c>
      <c r="F86" s="89">
        <f t="shared" si="3"/>
        <v>0.4444444444</v>
      </c>
      <c r="G86" s="41"/>
      <c r="H86" s="90" t="s">
        <v>25</v>
      </c>
      <c r="I86" s="90" t="s">
        <v>25</v>
      </c>
      <c r="J86" s="41"/>
      <c r="K86" s="41"/>
      <c r="L86" s="41"/>
      <c r="M86" s="41"/>
      <c r="N86" s="90" t="s">
        <v>25</v>
      </c>
      <c r="O86" s="90" t="s">
        <v>25</v>
      </c>
    </row>
    <row r="87">
      <c r="A87" s="21"/>
      <c r="B87" s="22">
        <v>83.0</v>
      </c>
      <c r="C87" s="23" t="s">
        <v>168</v>
      </c>
      <c r="D87" s="23" t="s">
        <v>169</v>
      </c>
      <c r="E87" s="88" t="str">
        <f t="shared" si="2"/>
        <v>9번 중 2번 참여</v>
      </c>
      <c r="F87" s="89">
        <f t="shared" si="3"/>
        <v>0.2222222222</v>
      </c>
      <c r="G87" s="41"/>
      <c r="H87" s="41"/>
      <c r="I87" s="41"/>
      <c r="J87" s="41"/>
      <c r="K87" s="41"/>
      <c r="L87" s="90" t="s">
        <v>25</v>
      </c>
      <c r="M87" s="41"/>
      <c r="N87" s="90" t="s">
        <v>25</v>
      </c>
      <c r="O87" s="41"/>
    </row>
    <row r="88">
      <c r="A88" s="29"/>
      <c r="B88" s="30">
        <v>84.0</v>
      </c>
      <c r="C88" s="153" t="s">
        <v>384</v>
      </c>
      <c r="D88" s="153" t="s">
        <v>385</v>
      </c>
      <c r="E88" s="88" t="str">
        <f t="shared" si="2"/>
        <v/>
      </c>
      <c r="F88" s="89" t="str">
        <f t="shared" si="3"/>
        <v/>
      </c>
      <c r="G88" s="41"/>
      <c r="H88" s="41"/>
      <c r="I88" s="41"/>
      <c r="J88" s="41"/>
      <c r="K88" s="41"/>
      <c r="L88" s="41"/>
      <c r="M88" s="41"/>
      <c r="N88" s="41"/>
      <c r="O88" s="41"/>
    </row>
    <row r="89">
      <c r="A89" s="21"/>
      <c r="B89" s="22">
        <v>85.0</v>
      </c>
      <c r="C89" s="109" t="s">
        <v>176</v>
      </c>
      <c r="D89" s="109" t="s">
        <v>177</v>
      </c>
      <c r="E89" s="88" t="str">
        <f t="shared" si="2"/>
        <v>9번 중 9번 참여</v>
      </c>
      <c r="F89" s="89">
        <f t="shared" si="3"/>
        <v>1</v>
      </c>
      <c r="G89" s="90" t="s">
        <v>25</v>
      </c>
      <c r="H89" s="90" t="s">
        <v>25</v>
      </c>
      <c r="I89" s="90" t="s">
        <v>25</v>
      </c>
      <c r="J89" s="90" t="s">
        <v>25</v>
      </c>
      <c r="K89" s="90" t="s">
        <v>25</v>
      </c>
      <c r="L89" s="90" t="s">
        <v>25</v>
      </c>
      <c r="M89" s="90" t="s">
        <v>25</v>
      </c>
      <c r="N89" s="90" t="s">
        <v>25</v>
      </c>
      <c r="O89" s="90" t="s">
        <v>25</v>
      </c>
    </row>
    <row r="90">
      <c r="A90" s="29"/>
      <c r="B90" s="30">
        <v>86.0</v>
      </c>
      <c r="C90" s="153" t="s">
        <v>459</v>
      </c>
      <c r="D90" s="153" t="s">
        <v>375</v>
      </c>
      <c r="E90" s="88" t="str">
        <f t="shared" si="2"/>
        <v/>
      </c>
      <c r="F90" s="89" t="str">
        <f t="shared" si="3"/>
        <v/>
      </c>
      <c r="G90" s="41"/>
      <c r="H90" s="41"/>
      <c r="I90" s="41"/>
      <c r="J90" s="41"/>
      <c r="K90" s="41"/>
      <c r="L90" s="41"/>
      <c r="M90" s="41"/>
      <c r="N90" s="41"/>
      <c r="O90" s="41"/>
    </row>
    <row r="91">
      <c r="A91" s="21"/>
      <c r="B91" s="22">
        <v>87.0</v>
      </c>
      <c r="C91" s="273" t="s">
        <v>180</v>
      </c>
      <c r="D91" s="273" t="s">
        <v>181</v>
      </c>
      <c r="E91" s="88" t="str">
        <f t="shared" si="2"/>
        <v>9번 중 9번 참여</v>
      </c>
      <c r="F91" s="89">
        <f t="shared" si="3"/>
        <v>1</v>
      </c>
      <c r="G91" s="90" t="s">
        <v>25</v>
      </c>
      <c r="H91" s="90" t="s">
        <v>25</v>
      </c>
      <c r="I91" s="90" t="s">
        <v>25</v>
      </c>
      <c r="J91" s="90" t="s">
        <v>25</v>
      </c>
      <c r="K91" s="90" t="s">
        <v>25</v>
      </c>
      <c r="L91" s="90" t="s">
        <v>25</v>
      </c>
      <c r="M91" s="90" t="s">
        <v>25</v>
      </c>
      <c r="N91" s="90" t="s">
        <v>25</v>
      </c>
      <c r="O91" s="90" t="s">
        <v>25</v>
      </c>
    </row>
    <row r="92">
      <c r="A92" s="29"/>
      <c r="B92" s="30">
        <v>88.0</v>
      </c>
      <c r="C92" s="274" t="s">
        <v>460</v>
      </c>
      <c r="D92" s="274" t="s">
        <v>461</v>
      </c>
      <c r="E92" s="88" t="str">
        <f t="shared" si="2"/>
        <v>9번 중 8번 참여</v>
      </c>
      <c r="F92" s="89">
        <f t="shared" si="3"/>
        <v>0.8888888889</v>
      </c>
      <c r="G92" s="90" t="s">
        <v>25</v>
      </c>
      <c r="H92" s="90" t="s">
        <v>25</v>
      </c>
      <c r="I92" s="90" t="s">
        <v>25</v>
      </c>
      <c r="J92" s="90" t="s">
        <v>25</v>
      </c>
      <c r="K92" s="90" t="s">
        <v>25</v>
      </c>
      <c r="L92" s="90" t="s">
        <v>25</v>
      </c>
      <c r="M92" s="90" t="s">
        <v>25</v>
      </c>
      <c r="N92" s="41"/>
      <c r="O92" s="90" t="s">
        <v>25</v>
      </c>
    </row>
    <row r="93">
      <c r="A93" s="21"/>
      <c r="B93" s="22">
        <v>89.0</v>
      </c>
      <c r="C93" s="275" t="s">
        <v>462</v>
      </c>
      <c r="D93" s="276" t="s">
        <v>463</v>
      </c>
      <c r="E93" s="88" t="str">
        <f t="shared" si="2"/>
        <v>9번 중 8번 참여</v>
      </c>
      <c r="F93" s="89">
        <f t="shared" si="3"/>
        <v>0.8888888889</v>
      </c>
      <c r="G93" s="90" t="s">
        <v>25</v>
      </c>
      <c r="H93" s="90" t="s">
        <v>25</v>
      </c>
      <c r="I93" s="90" t="s">
        <v>25</v>
      </c>
      <c r="J93" s="90" t="s">
        <v>25</v>
      </c>
      <c r="K93" s="90" t="s">
        <v>25</v>
      </c>
      <c r="L93" s="90" t="s">
        <v>25</v>
      </c>
      <c r="M93" s="90" t="s">
        <v>25</v>
      </c>
      <c r="N93" s="90" t="s">
        <v>25</v>
      </c>
      <c r="O93" s="41"/>
    </row>
    <row r="94">
      <c r="A94" s="29"/>
      <c r="B94" s="30">
        <v>90.0</v>
      </c>
      <c r="C94" s="277" t="s">
        <v>464</v>
      </c>
      <c r="D94" s="277" t="s">
        <v>465</v>
      </c>
      <c r="E94" s="88" t="str">
        <f t="shared" si="2"/>
        <v/>
      </c>
      <c r="F94" s="89" t="str">
        <f t="shared" si="3"/>
        <v/>
      </c>
      <c r="G94" s="41"/>
      <c r="H94" s="41"/>
      <c r="I94" s="41"/>
      <c r="J94" s="41"/>
      <c r="K94" s="41"/>
      <c r="L94" s="41"/>
      <c r="M94" s="41"/>
      <c r="N94" s="41"/>
      <c r="O94" s="41"/>
    </row>
    <row r="95">
      <c r="A95" s="21"/>
      <c r="B95" s="22">
        <v>91.0</v>
      </c>
      <c r="C95" s="275" t="s">
        <v>182</v>
      </c>
      <c r="D95" s="275" t="s">
        <v>183</v>
      </c>
      <c r="E95" s="88" t="str">
        <f t="shared" si="2"/>
        <v>9번 중 9번 참여</v>
      </c>
      <c r="F95" s="89">
        <f t="shared" si="3"/>
        <v>1</v>
      </c>
      <c r="G95" s="90" t="s">
        <v>25</v>
      </c>
      <c r="H95" s="90" t="s">
        <v>25</v>
      </c>
      <c r="I95" s="90" t="s">
        <v>25</v>
      </c>
      <c r="J95" s="90" t="s">
        <v>25</v>
      </c>
      <c r="K95" s="90" t="s">
        <v>25</v>
      </c>
      <c r="L95" s="90" t="s">
        <v>25</v>
      </c>
      <c r="M95" s="90" t="s">
        <v>25</v>
      </c>
      <c r="N95" s="90" t="s">
        <v>25</v>
      </c>
      <c r="O95" s="90" t="s">
        <v>25</v>
      </c>
    </row>
    <row r="96">
      <c r="A96" s="29"/>
      <c r="B96" s="30">
        <v>92.0</v>
      </c>
      <c r="C96" s="274" t="s">
        <v>489</v>
      </c>
      <c r="D96" s="278" t="s">
        <v>490</v>
      </c>
      <c r="E96" s="88" t="str">
        <f t="shared" si="2"/>
        <v>9번 중 9번 참여</v>
      </c>
      <c r="F96" s="89">
        <f t="shared" si="3"/>
        <v>1</v>
      </c>
      <c r="G96" s="90" t="s">
        <v>25</v>
      </c>
      <c r="H96" s="90" t="s">
        <v>25</v>
      </c>
      <c r="I96" s="90" t="s">
        <v>25</v>
      </c>
      <c r="J96" s="90" t="s">
        <v>25</v>
      </c>
      <c r="K96" s="90" t="s">
        <v>25</v>
      </c>
      <c r="L96" s="90" t="s">
        <v>25</v>
      </c>
      <c r="M96" s="90" t="s">
        <v>25</v>
      </c>
      <c r="N96" s="90" t="s">
        <v>25</v>
      </c>
      <c r="O96" s="90" t="s">
        <v>25</v>
      </c>
    </row>
    <row r="97">
      <c r="A97" s="21"/>
      <c r="B97" s="22">
        <v>93.0</v>
      </c>
      <c r="C97" s="111" t="s">
        <v>184</v>
      </c>
      <c r="D97" s="279" t="s">
        <v>543</v>
      </c>
      <c r="E97" s="88" t="str">
        <f t="shared" si="2"/>
        <v>9번 중 7번 참여</v>
      </c>
      <c r="F97" s="89">
        <f t="shared" si="3"/>
        <v>0.7777777778</v>
      </c>
      <c r="G97" s="90" t="s">
        <v>25</v>
      </c>
      <c r="H97" s="90" t="s">
        <v>25</v>
      </c>
      <c r="I97" s="90" t="s">
        <v>25</v>
      </c>
      <c r="J97" s="90" t="s">
        <v>25</v>
      </c>
      <c r="K97" s="90" t="s">
        <v>25</v>
      </c>
      <c r="L97" s="90" t="s">
        <v>25</v>
      </c>
      <c r="M97" s="90" t="s">
        <v>25</v>
      </c>
      <c r="N97" s="41"/>
      <c r="O97" s="41"/>
    </row>
    <row r="98">
      <c r="A98" s="29"/>
      <c r="B98" s="30">
        <v>94.0</v>
      </c>
      <c r="C98" s="61" t="s">
        <v>126</v>
      </c>
      <c r="D98" s="61" t="s">
        <v>127</v>
      </c>
      <c r="E98" s="88" t="str">
        <f t="shared" si="2"/>
        <v>9번 중 9번 참여</v>
      </c>
      <c r="F98" s="89">
        <f t="shared" si="3"/>
        <v>1</v>
      </c>
      <c r="G98" s="90" t="s">
        <v>25</v>
      </c>
      <c r="H98" s="90" t="s">
        <v>25</v>
      </c>
      <c r="I98" s="90" t="s">
        <v>25</v>
      </c>
      <c r="J98" s="90" t="s">
        <v>25</v>
      </c>
      <c r="K98" s="90" t="s">
        <v>25</v>
      </c>
      <c r="L98" s="90" t="s">
        <v>25</v>
      </c>
      <c r="M98" s="90" t="s">
        <v>25</v>
      </c>
      <c r="N98" s="90" t="s">
        <v>25</v>
      </c>
      <c r="O98" s="90" t="s">
        <v>25</v>
      </c>
    </row>
    <row r="99">
      <c r="A99" s="21"/>
      <c r="B99" s="22">
        <v>95.0</v>
      </c>
      <c r="C99" s="280" t="s">
        <v>493</v>
      </c>
      <c r="D99" s="280" t="s">
        <v>206</v>
      </c>
      <c r="E99" s="88" t="str">
        <f t="shared" si="2"/>
        <v/>
      </c>
      <c r="F99" s="89" t="str">
        <f t="shared" si="3"/>
        <v/>
      </c>
      <c r="G99" s="41"/>
      <c r="H99" s="41"/>
      <c r="I99" s="41"/>
      <c r="J99" s="41"/>
      <c r="K99" s="41"/>
      <c r="L99" s="41"/>
      <c r="M99" s="41"/>
      <c r="N99" s="41"/>
      <c r="O99" s="41"/>
    </row>
    <row r="100">
      <c r="A100" s="29"/>
      <c r="B100" s="30">
        <v>96.0</v>
      </c>
      <c r="C100" s="152" t="s">
        <v>544</v>
      </c>
      <c r="D100" s="152" t="s">
        <v>545</v>
      </c>
      <c r="E100" s="88" t="str">
        <f t="shared" si="2"/>
        <v/>
      </c>
      <c r="F100" s="89" t="str">
        <f t="shared" si="3"/>
        <v/>
      </c>
      <c r="G100" s="41"/>
      <c r="H100" s="41"/>
      <c r="I100" s="41"/>
      <c r="J100" s="41"/>
      <c r="K100" s="41"/>
      <c r="L100" s="41"/>
      <c r="M100" s="41"/>
      <c r="N100" s="41"/>
      <c r="O100" s="41"/>
    </row>
    <row r="101">
      <c r="A101" s="21"/>
      <c r="B101" s="22">
        <v>97.0</v>
      </c>
      <c r="C101" s="109" t="s">
        <v>89</v>
      </c>
      <c r="D101" s="109" t="s">
        <v>90</v>
      </c>
      <c r="E101" s="88" t="str">
        <f t="shared" si="2"/>
        <v>9번 중 8번 참여</v>
      </c>
      <c r="F101" s="89">
        <f t="shared" si="3"/>
        <v>0.8888888889</v>
      </c>
      <c r="G101" s="90" t="s">
        <v>25</v>
      </c>
      <c r="H101" s="90" t="s">
        <v>25</v>
      </c>
      <c r="I101" s="90" t="s">
        <v>25</v>
      </c>
      <c r="J101" s="90" t="s">
        <v>25</v>
      </c>
      <c r="K101" s="90" t="s">
        <v>25</v>
      </c>
      <c r="L101" s="90" t="s">
        <v>25</v>
      </c>
      <c r="M101" s="90" t="s">
        <v>25</v>
      </c>
      <c r="N101" s="90" t="s">
        <v>25</v>
      </c>
      <c r="O101" s="41"/>
    </row>
    <row r="102">
      <c r="A102" s="29"/>
      <c r="B102" s="30">
        <v>98.0</v>
      </c>
      <c r="C102" s="281" t="s">
        <v>184</v>
      </c>
      <c r="D102" s="222" t="s">
        <v>546</v>
      </c>
      <c r="E102" s="88" t="str">
        <f t="shared" si="2"/>
        <v/>
      </c>
      <c r="F102" s="89" t="str">
        <f t="shared" si="3"/>
        <v/>
      </c>
      <c r="G102" s="90" t="s">
        <v>80</v>
      </c>
      <c r="H102" s="41"/>
      <c r="I102" s="41"/>
      <c r="J102" s="41"/>
      <c r="K102" s="41"/>
      <c r="L102" s="41"/>
      <c r="M102" s="41"/>
      <c r="N102" s="41"/>
      <c r="O102" s="41"/>
    </row>
    <row r="103">
      <c r="A103" s="21"/>
      <c r="B103" s="22">
        <v>99.0</v>
      </c>
      <c r="C103" s="282" t="s">
        <v>176</v>
      </c>
      <c r="D103" s="223" t="s">
        <v>547</v>
      </c>
      <c r="E103" s="88" t="str">
        <f t="shared" si="2"/>
        <v/>
      </c>
      <c r="F103" s="89" t="str">
        <f t="shared" si="3"/>
        <v/>
      </c>
      <c r="G103" s="90" t="s">
        <v>80</v>
      </c>
      <c r="H103" s="41"/>
      <c r="I103" s="41"/>
      <c r="J103" s="41"/>
      <c r="K103" s="41"/>
      <c r="L103" s="41"/>
      <c r="M103" s="41"/>
      <c r="N103" s="41"/>
      <c r="O103" s="41"/>
    </row>
    <row r="104">
      <c r="A104" s="29"/>
      <c r="B104" s="30">
        <v>100.0</v>
      </c>
      <c r="C104" s="281" t="s">
        <v>160</v>
      </c>
      <c r="D104" s="222" t="s">
        <v>548</v>
      </c>
      <c r="E104" s="88" t="str">
        <f t="shared" si="2"/>
        <v/>
      </c>
      <c r="F104" s="89" t="str">
        <f t="shared" si="3"/>
        <v/>
      </c>
      <c r="G104" s="90" t="s">
        <v>80</v>
      </c>
      <c r="H104" s="41"/>
      <c r="I104" s="41"/>
      <c r="J104" s="41"/>
      <c r="K104" s="41"/>
      <c r="L104" s="41"/>
      <c r="M104" s="41"/>
      <c r="N104" s="41"/>
      <c r="O104" s="41"/>
    </row>
    <row r="105">
      <c r="A105" s="21"/>
      <c r="B105" s="22">
        <v>101.0</v>
      </c>
      <c r="C105" s="282" t="s">
        <v>537</v>
      </c>
      <c r="D105" s="223" t="s">
        <v>549</v>
      </c>
      <c r="E105" s="242" t="s">
        <v>550</v>
      </c>
      <c r="F105" s="89" t="str">
        <f t="shared" si="3"/>
        <v/>
      </c>
      <c r="G105" s="90" t="s">
        <v>80</v>
      </c>
      <c r="H105" s="41"/>
      <c r="I105" s="41"/>
      <c r="J105" s="41"/>
      <c r="K105" s="41"/>
      <c r="L105" s="41"/>
      <c r="M105" s="41"/>
      <c r="N105" s="41"/>
      <c r="O105" s="41"/>
    </row>
    <row r="106">
      <c r="A106" s="29"/>
      <c r="B106" s="30">
        <v>102.0</v>
      </c>
      <c r="C106" s="281" t="s">
        <v>538</v>
      </c>
      <c r="D106" s="222" t="s">
        <v>551</v>
      </c>
      <c r="E106" s="88" t="str">
        <f t="shared" ref="E106:E124" si="4">IF(COUNTIF(G106:O106, "완료")=0, "", COUNTIF($G$4:$O$4, "완료") &amp; "번 중 " &amp; COUNTIF(G106:O106, "완료") &amp; "번 참여")
</f>
        <v/>
      </c>
      <c r="F106" s="89" t="str">
        <f t="shared" si="3"/>
        <v/>
      </c>
      <c r="G106" s="41"/>
      <c r="H106" s="41"/>
      <c r="I106" s="41"/>
      <c r="J106" s="41"/>
      <c r="K106" s="41"/>
      <c r="L106" s="41"/>
      <c r="M106" s="41"/>
      <c r="N106" s="41"/>
      <c r="O106" s="41"/>
    </row>
    <row r="107">
      <c r="A107" s="21"/>
      <c r="B107" s="22">
        <v>103.0</v>
      </c>
      <c r="C107" s="223" t="s">
        <v>552</v>
      </c>
      <c r="D107" s="223" t="s">
        <v>553</v>
      </c>
      <c r="E107" s="88" t="str">
        <f t="shared" si="4"/>
        <v/>
      </c>
      <c r="F107" s="89" t="str">
        <f t="shared" si="3"/>
        <v/>
      </c>
      <c r="G107" s="41"/>
      <c r="H107" s="41"/>
      <c r="I107" s="41"/>
      <c r="J107" s="41"/>
      <c r="K107" s="41"/>
      <c r="L107" s="41"/>
      <c r="M107" s="41"/>
      <c r="N107" s="41"/>
      <c r="O107" s="41"/>
    </row>
    <row r="108">
      <c r="A108" s="29"/>
      <c r="B108" s="30">
        <v>104.0</v>
      </c>
      <c r="C108" s="283" t="s">
        <v>166</v>
      </c>
      <c r="D108" s="222" t="s">
        <v>554</v>
      </c>
      <c r="E108" s="88" t="str">
        <f t="shared" si="4"/>
        <v/>
      </c>
      <c r="F108" s="89" t="str">
        <f t="shared" si="3"/>
        <v/>
      </c>
      <c r="G108" s="41"/>
      <c r="H108" s="41"/>
      <c r="I108" s="41"/>
      <c r="J108" s="41"/>
      <c r="K108" s="41"/>
      <c r="L108" s="41"/>
      <c r="M108" s="41"/>
      <c r="N108" s="41"/>
      <c r="O108" s="41"/>
    </row>
    <row r="109">
      <c r="A109" s="21"/>
      <c r="B109" s="22">
        <v>105.0</v>
      </c>
      <c r="C109" s="223" t="s">
        <v>555</v>
      </c>
      <c r="D109" s="223" t="s">
        <v>556</v>
      </c>
      <c r="E109" s="88" t="str">
        <f t="shared" si="4"/>
        <v/>
      </c>
      <c r="F109" s="89" t="str">
        <f t="shared" si="3"/>
        <v/>
      </c>
      <c r="G109" s="41"/>
      <c r="H109" s="41"/>
      <c r="I109" s="41"/>
      <c r="J109" s="41"/>
      <c r="K109" s="41"/>
      <c r="L109" s="41"/>
      <c r="M109" s="41"/>
      <c r="N109" s="41"/>
      <c r="O109" s="41"/>
    </row>
    <row r="110">
      <c r="A110" s="29"/>
      <c r="B110" s="30">
        <v>106.0</v>
      </c>
      <c r="C110" s="67"/>
      <c r="D110" s="67"/>
      <c r="E110" s="88" t="str">
        <f t="shared" si="4"/>
        <v/>
      </c>
      <c r="F110" s="89" t="str">
        <f t="shared" si="3"/>
        <v/>
      </c>
      <c r="G110" s="41"/>
      <c r="H110" s="41"/>
      <c r="I110" s="41"/>
      <c r="J110" s="41"/>
      <c r="K110" s="41"/>
      <c r="L110" s="41"/>
      <c r="M110" s="41"/>
      <c r="N110" s="41"/>
      <c r="O110" s="41"/>
    </row>
    <row r="111">
      <c r="A111" s="21"/>
      <c r="B111" s="22">
        <v>107.0</v>
      </c>
      <c r="C111" s="68"/>
      <c r="D111" s="68"/>
      <c r="E111" s="88" t="str">
        <f t="shared" si="4"/>
        <v/>
      </c>
      <c r="F111" s="89" t="str">
        <f t="shared" si="3"/>
        <v/>
      </c>
      <c r="G111" s="41"/>
      <c r="H111" s="41"/>
      <c r="I111" s="41"/>
      <c r="J111" s="41"/>
      <c r="K111" s="41"/>
      <c r="L111" s="41"/>
      <c r="M111" s="41"/>
      <c r="N111" s="41"/>
      <c r="O111" s="41"/>
    </row>
    <row r="112">
      <c r="A112" s="29"/>
      <c r="B112" s="30">
        <v>108.0</v>
      </c>
      <c r="C112" s="67"/>
      <c r="D112" s="67"/>
      <c r="E112" s="88" t="str">
        <f t="shared" si="4"/>
        <v/>
      </c>
      <c r="F112" s="89" t="str">
        <f t="shared" si="3"/>
        <v/>
      </c>
      <c r="G112" s="41"/>
      <c r="H112" s="41"/>
      <c r="I112" s="41"/>
      <c r="J112" s="41"/>
      <c r="K112" s="41"/>
      <c r="L112" s="41"/>
      <c r="M112" s="41"/>
      <c r="N112" s="41"/>
      <c r="O112" s="41"/>
    </row>
    <row r="113">
      <c r="A113" s="21"/>
      <c r="B113" s="22">
        <v>109.0</v>
      </c>
      <c r="C113" s="68"/>
      <c r="D113" s="68"/>
      <c r="E113" s="88" t="str">
        <f t="shared" si="4"/>
        <v/>
      </c>
      <c r="F113" s="89" t="str">
        <f t="shared" si="3"/>
        <v/>
      </c>
      <c r="G113" s="41"/>
      <c r="H113" s="41"/>
      <c r="I113" s="41"/>
      <c r="J113" s="41"/>
      <c r="K113" s="41"/>
      <c r="L113" s="41"/>
      <c r="M113" s="41"/>
      <c r="N113" s="41"/>
      <c r="O113" s="41"/>
    </row>
    <row r="114">
      <c r="A114" s="29"/>
      <c r="B114" s="30">
        <v>110.0</v>
      </c>
      <c r="C114" s="67"/>
      <c r="D114" s="67"/>
      <c r="E114" s="88" t="str">
        <f t="shared" si="4"/>
        <v/>
      </c>
      <c r="F114" s="89" t="str">
        <f t="shared" si="3"/>
        <v/>
      </c>
      <c r="G114" s="41"/>
      <c r="H114" s="41"/>
      <c r="I114" s="41"/>
      <c r="J114" s="41"/>
      <c r="K114" s="41"/>
      <c r="L114" s="41"/>
      <c r="M114" s="41"/>
      <c r="N114" s="41"/>
      <c r="O114" s="41"/>
    </row>
    <row r="115">
      <c r="A115" s="21"/>
      <c r="B115" s="22">
        <v>111.0</v>
      </c>
      <c r="C115" s="68"/>
      <c r="D115" s="68"/>
      <c r="E115" s="88" t="str">
        <f t="shared" si="4"/>
        <v/>
      </c>
      <c r="F115" s="89" t="str">
        <f t="shared" si="3"/>
        <v/>
      </c>
      <c r="G115" s="41"/>
      <c r="H115" s="41"/>
      <c r="I115" s="41"/>
      <c r="J115" s="41"/>
      <c r="K115" s="41"/>
      <c r="L115" s="41"/>
      <c r="M115" s="41"/>
      <c r="N115" s="41"/>
      <c r="O115" s="41"/>
    </row>
    <row r="116">
      <c r="A116" s="29"/>
      <c r="B116" s="30">
        <v>112.0</v>
      </c>
      <c r="C116" s="67"/>
      <c r="D116" s="67"/>
      <c r="E116" s="88" t="str">
        <f t="shared" si="4"/>
        <v/>
      </c>
      <c r="F116" s="89" t="str">
        <f t="shared" si="3"/>
        <v/>
      </c>
      <c r="G116" s="41"/>
      <c r="H116" s="41"/>
      <c r="I116" s="41"/>
      <c r="J116" s="41"/>
      <c r="K116" s="41"/>
      <c r="L116" s="41"/>
      <c r="M116" s="41"/>
      <c r="N116" s="41"/>
      <c r="O116" s="41"/>
    </row>
    <row r="117">
      <c r="A117" s="21"/>
      <c r="B117" s="22">
        <v>113.0</v>
      </c>
      <c r="C117" s="68"/>
      <c r="D117" s="68"/>
      <c r="E117" s="88" t="str">
        <f t="shared" si="4"/>
        <v/>
      </c>
      <c r="F117" s="89" t="str">
        <f t="shared" si="3"/>
        <v/>
      </c>
      <c r="G117" s="41"/>
      <c r="H117" s="41"/>
      <c r="I117" s="41"/>
      <c r="J117" s="41"/>
      <c r="K117" s="41"/>
      <c r="L117" s="41"/>
      <c r="M117" s="41"/>
      <c r="N117" s="41"/>
      <c r="O117" s="41"/>
    </row>
    <row r="118">
      <c r="A118" s="29"/>
      <c r="B118" s="30">
        <v>114.0</v>
      </c>
      <c r="C118" s="67"/>
      <c r="D118" s="67"/>
      <c r="E118" s="88" t="str">
        <f t="shared" si="4"/>
        <v/>
      </c>
      <c r="F118" s="89" t="str">
        <f t="shared" si="3"/>
        <v/>
      </c>
      <c r="G118" s="41"/>
      <c r="H118" s="41"/>
      <c r="I118" s="41"/>
      <c r="J118" s="41"/>
      <c r="K118" s="41"/>
      <c r="L118" s="41"/>
      <c r="M118" s="41"/>
      <c r="N118" s="41"/>
      <c r="O118" s="41"/>
    </row>
    <row r="119">
      <c r="A119" s="21"/>
      <c r="B119" s="22">
        <v>115.0</v>
      </c>
      <c r="C119" s="68"/>
      <c r="D119" s="68"/>
      <c r="E119" s="88" t="str">
        <f t="shared" si="4"/>
        <v/>
      </c>
      <c r="F119" s="89" t="str">
        <f t="shared" si="3"/>
        <v/>
      </c>
      <c r="G119" s="41"/>
      <c r="H119" s="41"/>
      <c r="I119" s="41"/>
      <c r="J119" s="41"/>
      <c r="K119" s="41"/>
      <c r="L119" s="41"/>
      <c r="M119" s="41"/>
      <c r="N119" s="41"/>
      <c r="O119" s="41"/>
    </row>
    <row r="120">
      <c r="A120" s="29"/>
      <c r="B120" s="30">
        <v>116.0</v>
      </c>
      <c r="C120" s="67"/>
      <c r="D120" s="67"/>
      <c r="E120" s="88" t="str">
        <f t="shared" si="4"/>
        <v/>
      </c>
      <c r="F120" s="89" t="str">
        <f t="shared" si="3"/>
        <v/>
      </c>
      <c r="G120" s="41"/>
      <c r="H120" s="41"/>
      <c r="I120" s="41"/>
      <c r="J120" s="41"/>
      <c r="K120" s="41"/>
      <c r="L120" s="41"/>
      <c r="M120" s="41"/>
      <c r="N120" s="41"/>
      <c r="O120" s="41"/>
    </row>
    <row r="121">
      <c r="A121" s="21"/>
      <c r="B121" s="22">
        <v>117.0</v>
      </c>
      <c r="C121" s="68"/>
      <c r="D121" s="68"/>
      <c r="E121" s="88" t="str">
        <f t="shared" si="4"/>
        <v/>
      </c>
      <c r="F121" s="89" t="str">
        <f t="shared" si="3"/>
        <v/>
      </c>
      <c r="G121" s="41"/>
      <c r="H121" s="41"/>
      <c r="I121" s="41"/>
      <c r="J121" s="41"/>
      <c r="K121" s="41"/>
      <c r="L121" s="41"/>
      <c r="M121" s="41"/>
      <c r="N121" s="41"/>
      <c r="O121" s="41"/>
    </row>
    <row r="122">
      <c r="A122" s="14"/>
      <c r="B122" s="69">
        <v>118.0</v>
      </c>
      <c r="C122" s="70"/>
      <c r="D122" s="70"/>
      <c r="E122" s="88" t="str">
        <f t="shared" si="4"/>
        <v/>
      </c>
      <c r="F122" s="89" t="str">
        <f t="shared" si="3"/>
        <v/>
      </c>
      <c r="G122" s="73"/>
      <c r="H122" s="73"/>
      <c r="I122" s="73"/>
      <c r="J122" s="73"/>
      <c r="K122" s="73"/>
      <c r="L122" s="73"/>
      <c r="M122" s="73"/>
      <c r="N122" s="73"/>
      <c r="O122" s="73"/>
    </row>
    <row r="123">
      <c r="A123" s="14"/>
      <c r="B123" s="69">
        <v>119.0</v>
      </c>
      <c r="C123" s="70"/>
      <c r="D123" s="70"/>
      <c r="E123" s="88" t="str">
        <f t="shared" si="4"/>
        <v/>
      </c>
      <c r="F123" s="89" t="str">
        <f t="shared" si="3"/>
        <v/>
      </c>
      <c r="G123" s="73"/>
      <c r="H123" s="73"/>
      <c r="I123" s="73"/>
      <c r="J123" s="73"/>
      <c r="K123" s="73"/>
      <c r="L123" s="73"/>
      <c r="M123" s="73"/>
      <c r="N123" s="73"/>
      <c r="O123" s="73"/>
    </row>
    <row r="124">
      <c r="A124" s="14"/>
      <c r="B124" s="69">
        <v>120.0</v>
      </c>
      <c r="C124" s="70"/>
      <c r="D124" s="70"/>
      <c r="E124" s="88" t="str">
        <f t="shared" si="4"/>
        <v/>
      </c>
      <c r="F124" s="89" t="str">
        <f t="shared" si="3"/>
        <v/>
      </c>
      <c r="G124" s="73"/>
      <c r="H124" s="73"/>
      <c r="I124" s="73"/>
      <c r="J124" s="73"/>
      <c r="K124" s="73"/>
      <c r="L124" s="73"/>
      <c r="M124" s="73"/>
      <c r="N124" s="73"/>
      <c r="O124" s="73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</row>
  </sheetData>
  <mergeCells count="2">
    <mergeCell ref="C1:D2"/>
    <mergeCell ref="E1:F2"/>
  </mergeCells>
  <dataValidations>
    <dataValidation type="list" allowBlank="1" showErrorMessage="1" sqref="G4:O124">
      <formula1>"선택,완료"</formula1>
    </dataValidation>
  </dataValidations>
  <hyperlinks>
    <hyperlink r:id="rId2" ref="D5"/>
    <hyperlink r:id="rId3" ref="D24"/>
    <hyperlink r:id="rId4" ref="D25"/>
    <hyperlink r:id="rId5" ref="D30"/>
    <hyperlink r:id="rId6" ref="D31"/>
    <hyperlink r:id="rId7" ref="D36"/>
    <hyperlink r:id="rId8" ref="D51"/>
    <hyperlink r:id="rId9" ref="D70"/>
    <hyperlink r:id="rId10" ref="D86"/>
    <hyperlink r:id="rId11" ref="D93"/>
    <hyperlink r:id="rId12" ref="D96"/>
    <hyperlink r:id="rId13" ref="D97"/>
  </hyperlinks>
  <drawing r:id="rId14"/>
  <legacyDrawing r:id="rId15"/>
  <tableParts count="1">
    <tablePart r:id="rId17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4.0"/>
    <col customWidth="1" min="2" max="2" width="6.0"/>
    <col customWidth="1" min="3" max="3" width="18.63"/>
    <col customWidth="1" min="4" max="4" width="21.13"/>
  </cols>
  <sheetData>
    <row r="1">
      <c r="A1" s="1"/>
      <c r="B1" s="75" t="s">
        <v>0</v>
      </c>
      <c r="E1" s="3" t="s">
        <v>1</v>
      </c>
      <c r="G1" s="143" t="s">
        <v>557</v>
      </c>
      <c r="H1" s="143" t="s">
        <v>558</v>
      </c>
      <c r="I1" s="143" t="s">
        <v>559</v>
      </c>
      <c r="J1" s="143" t="s">
        <v>560</v>
      </c>
      <c r="K1" s="143" t="s">
        <v>561</v>
      </c>
      <c r="L1" s="143" t="s">
        <v>562</v>
      </c>
      <c r="M1" s="143" t="s">
        <v>563</v>
      </c>
      <c r="N1" s="143" t="s">
        <v>564</v>
      </c>
      <c r="O1" s="143" t="s">
        <v>565</v>
      </c>
    </row>
    <row r="2">
      <c r="A2" s="1"/>
      <c r="G2" s="78" t="s">
        <v>566</v>
      </c>
      <c r="H2" s="78" t="s">
        <v>567</v>
      </c>
      <c r="I2" s="78" t="s">
        <v>568</v>
      </c>
      <c r="J2" s="78" t="s">
        <v>569</v>
      </c>
      <c r="K2" s="78" t="s">
        <v>570</v>
      </c>
      <c r="L2" s="78" t="s">
        <v>571</v>
      </c>
      <c r="M2" s="78" t="s">
        <v>572</v>
      </c>
      <c r="N2" s="78" t="s">
        <v>573</v>
      </c>
      <c r="O2" s="78" t="s">
        <v>574</v>
      </c>
    </row>
    <row r="3">
      <c r="A3" s="1"/>
      <c r="B3" s="1"/>
      <c r="C3" s="1"/>
      <c r="D3" s="1"/>
      <c r="E3" s="9"/>
      <c r="F3" s="9"/>
      <c r="G3" s="11" t="str">
        <f t="shared" ref="G3:O3" si="1">COUNTIF(G5:G200, "완료") &amp; "명 완료"
</f>
        <v>76명 완료</v>
      </c>
      <c r="H3" s="11" t="str">
        <f t="shared" si="1"/>
        <v>71명 완료</v>
      </c>
      <c r="I3" s="11" t="str">
        <f t="shared" si="1"/>
        <v>73명 완료</v>
      </c>
      <c r="J3" s="11" t="str">
        <f t="shared" si="1"/>
        <v>72명 완료</v>
      </c>
      <c r="K3" s="11" t="str">
        <f t="shared" si="1"/>
        <v>73명 완료</v>
      </c>
      <c r="L3" s="11" t="str">
        <f t="shared" si="1"/>
        <v>72명 완료</v>
      </c>
      <c r="M3" s="11" t="str">
        <f t="shared" si="1"/>
        <v>74명 완료</v>
      </c>
      <c r="N3" s="11" t="str">
        <f t="shared" si="1"/>
        <v>66명 완료</v>
      </c>
      <c r="O3" s="11" t="str">
        <f t="shared" si="1"/>
        <v>66명 완료</v>
      </c>
    </row>
    <row r="4">
      <c r="A4" s="220"/>
      <c r="B4" s="81" t="s">
        <v>20</v>
      </c>
      <c r="C4" s="82" t="s">
        <v>21</v>
      </c>
      <c r="D4" s="82" t="s">
        <v>22</v>
      </c>
      <c r="E4" s="83" t="s">
        <v>23</v>
      </c>
      <c r="F4" s="83" t="s">
        <v>24</v>
      </c>
      <c r="G4" s="84" t="s">
        <v>25</v>
      </c>
      <c r="H4" s="84" t="s">
        <v>25</v>
      </c>
      <c r="I4" s="84" t="s">
        <v>25</v>
      </c>
      <c r="J4" s="84" t="s">
        <v>25</v>
      </c>
      <c r="K4" s="84" t="s">
        <v>25</v>
      </c>
      <c r="L4" s="84" t="s">
        <v>25</v>
      </c>
      <c r="M4" s="84" t="s">
        <v>25</v>
      </c>
      <c r="N4" s="84" t="s">
        <v>25</v>
      </c>
      <c r="O4" s="84" t="s">
        <v>25</v>
      </c>
    </row>
    <row r="5">
      <c r="A5" s="21"/>
      <c r="B5" s="22">
        <v>1.0</v>
      </c>
      <c r="C5" s="23" t="s">
        <v>26</v>
      </c>
      <c r="D5" s="24" t="s">
        <v>27</v>
      </c>
      <c r="E5" s="88" t="str">
        <f t="shared" ref="E5:E124" si="2">IF(COUNTIF(G5:O5, "완료")=0, "", COUNTIF($G$4:$O$4, "완료") &amp; "번 중 " &amp; COUNTIF(G5:O5, "완료") &amp; "번 참여")
</f>
        <v>9번 중 9번 참여</v>
      </c>
      <c r="F5" s="89">
        <f t="shared" ref="F5:F124" si="3">IF(COUNTIF($G$4:$O$4, "완료")=0, "", IF(COUNTIF(G5:O5, "완료")=0, "", COUNTIF(G5:O5, "완료") / COUNTIF($G$4:$O$4, "완료")))
</f>
        <v>1</v>
      </c>
      <c r="G5" s="90" t="s">
        <v>25</v>
      </c>
      <c r="H5" s="90" t="s">
        <v>25</v>
      </c>
      <c r="I5" s="90" t="s">
        <v>25</v>
      </c>
      <c r="J5" s="90" t="s">
        <v>25</v>
      </c>
      <c r="K5" s="90" t="s">
        <v>25</v>
      </c>
      <c r="L5" s="90" t="s">
        <v>25</v>
      </c>
      <c r="M5" s="90" t="s">
        <v>25</v>
      </c>
      <c r="N5" s="90" t="s">
        <v>25</v>
      </c>
      <c r="O5" s="90" t="s">
        <v>25</v>
      </c>
    </row>
    <row r="6">
      <c r="A6" s="29"/>
      <c r="B6" s="121">
        <v>2.0</v>
      </c>
      <c r="C6" s="93" t="s">
        <v>28</v>
      </c>
      <c r="D6" s="93" t="s">
        <v>29</v>
      </c>
      <c r="E6" s="88" t="str">
        <f t="shared" si="2"/>
        <v>9번 중 9번 참여</v>
      </c>
      <c r="F6" s="89">
        <f t="shared" si="3"/>
        <v>1</v>
      </c>
      <c r="G6" s="90" t="s">
        <v>25</v>
      </c>
      <c r="H6" s="90" t="s">
        <v>25</v>
      </c>
      <c r="I6" s="90" t="s">
        <v>25</v>
      </c>
      <c r="J6" s="90" t="s">
        <v>25</v>
      </c>
      <c r="K6" s="90" t="s">
        <v>25</v>
      </c>
      <c r="L6" s="90" t="s">
        <v>25</v>
      </c>
      <c r="M6" s="90" t="s">
        <v>25</v>
      </c>
      <c r="N6" s="90" t="s">
        <v>25</v>
      </c>
      <c r="O6" s="90" t="s">
        <v>25</v>
      </c>
    </row>
    <row r="7">
      <c r="A7" s="21"/>
      <c r="B7" s="22">
        <v>3.0</v>
      </c>
      <c r="C7" s="31" t="s">
        <v>30</v>
      </c>
      <c r="D7" s="31" t="s">
        <v>31</v>
      </c>
      <c r="E7" s="88" t="str">
        <f t="shared" si="2"/>
        <v>9번 중 8번 참여</v>
      </c>
      <c r="F7" s="89">
        <f t="shared" si="3"/>
        <v>0.8888888889</v>
      </c>
      <c r="G7" s="90" t="s">
        <v>25</v>
      </c>
      <c r="H7" s="90" t="s">
        <v>25</v>
      </c>
      <c r="I7" s="90" t="s">
        <v>25</v>
      </c>
      <c r="J7" s="90" t="s">
        <v>25</v>
      </c>
      <c r="K7" s="90" t="s">
        <v>25</v>
      </c>
      <c r="L7" s="90" t="s">
        <v>25</v>
      </c>
      <c r="M7" s="90" t="s">
        <v>25</v>
      </c>
      <c r="N7" s="90" t="s">
        <v>25</v>
      </c>
      <c r="O7" s="41"/>
    </row>
    <row r="8">
      <c r="A8" s="29"/>
      <c r="B8" s="30">
        <v>4.0</v>
      </c>
      <c r="C8" s="23" t="s">
        <v>32</v>
      </c>
      <c r="D8" s="23" t="s">
        <v>33</v>
      </c>
      <c r="E8" s="88" t="str">
        <f t="shared" si="2"/>
        <v>9번 중 8번 참여</v>
      </c>
      <c r="F8" s="89">
        <f t="shared" si="3"/>
        <v>0.8888888889</v>
      </c>
      <c r="G8" s="90" t="s">
        <v>25</v>
      </c>
      <c r="H8" s="90" t="s">
        <v>25</v>
      </c>
      <c r="I8" s="90" t="s">
        <v>25</v>
      </c>
      <c r="J8" s="90" t="s">
        <v>25</v>
      </c>
      <c r="K8" s="90" t="s">
        <v>25</v>
      </c>
      <c r="L8" s="90" t="s">
        <v>25</v>
      </c>
      <c r="M8" s="90" t="s">
        <v>25</v>
      </c>
      <c r="N8" s="90" t="s">
        <v>25</v>
      </c>
      <c r="O8" s="41"/>
    </row>
    <row r="9">
      <c r="A9" s="21"/>
      <c r="B9" s="22">
        <v>5.0</v>
      </c>
      <c r="C9" s="31" t="s">
        <v>34</v>
      </c>
      <c r="D9" s="31" t="s">
        <v>35</v>
      </c>
      <c r="E9" s="88" t="str">
        <f t="shared" si="2"/>
        <v>9번 중 8번 참여</v>
      </c>
      <c r="F9" s="89">
        <f t="shared" si="3"/>
        <v>0.8888888889</v>
      </c>
      <c r="G9" s="90" t="s">
        <v>25</v>
      </c>
      <c r="H9" s="41"/>
      <c r="I9" s="90" t="s">
        <v>25</v>
      </c>
      <c r="J9" s="90" t="s">
        <v>25</v>
      </c>
      <c r="K9" s="90" t="s">
        <v>25</v>
      </c>
      <c r="L9" s="90" t="s">
        <v>25</v>
      </c>
      <c r="M9" s="90" t="s">
        <v>25</v>
      </c>
      <c r="N9" s="90" t="s">
        <v>25</v>
      </c>
      <c r="O9" s="90" t="s">
        <v>25</v>
      </c>
    </row>
    <row r="10">
      <c r="A10" s="29"/>
      <c r="B10" s="30">
        <v>6.0</v>
      </c>
      <c r="C10" s="23" t="s">
        <v>36</v>
      </c>
      <c r="D10" s="23" t="s">
        <v>72</v>
      </c>
      <c r="E10" s="88" t="str">
        <f t="shared" si="2"/>
        <v>9번 중 9번 참여</v>
      </c>
      <c r="F10" s="89">
        <f t="shared" si="3"/>
        <v>1</v>
      </c>
      <c r="G10" s="90" t="s">
        <v>25</v>
      </c>
      <c r="H10" s="90" t="s">
        <v>25</v>
      </c>
      <c r="I10" s="90" t="s">
        <v>25</v>
      </c>
      <c r="J10" s="90" t="s">
        <v>25</v>
      </c>
      <c r="K10" s="90" t="s">
        <v>25</v>
      </c>
      <c r="L10" s="90" t="s">
        <v>25</v>
      </c>
      <c r="M10" s="90" t="s">
        <v>25</v>
      </c>
      <c r="N10" s="90" t="s">
        <v>25</v>
      </c>
      <c r="O10" s="90" t="s">
        <v>25</v>
      </c>
    </row>
    <row r="11">
      <c r="A11" s="21"/>
      <c r="B11" s="22">
        <v>7.0</v>
      </c>
      <c r="C11" s="31" t="s">
        <v>38</v>
      </c>
      <c r="D11" s="31" t="s">
        <v>39</v>
      </c>
      <c r="E11" s="88" t="str">
        <f t="shared" si="2"/>
        <v>9번 중 9번 참여</v>
      </c>
      <c r="F11" s="89">
        <f t="shared" si="3"/>
        <v>1</v>
      </c>
      <c r="G11" s="90" t="s">
        <v>25</v>
      </c>
      <c r="H11" s="90" t="s">
        <v>25</v>
      </c>
      <c r="I11" s="90" t="s">
        <v>25</v>
      </c>
      <c r="J11" s="90" t="s">
        <v>25</v>
      </c>
      <c r="K11" s="90" t="s">
        <v>25</v>
      </c>
      <c r="L11" s="90" t="s">
        <v>25</v>
      </c>
      <c r="M11" s="90" t="s">
        <v>25</v>
      </c>
      <c r="N11" s="90" t="s">
        <v>25</v>
      </c>
      <c r="O11" s="90" t="s">
        <v>25</v>
      </c>
    </row>
    <row r="12">
      <c r="A12" s="29"/>
      <c r="B12" s="30">
        <v>8.0</v>
      </c>
      <c r="C12" s="23" t="s">
        <v>40</v>
      </c>
      <c r="D12" s="23" t="s">
        <v>41</v>
      </c>
      <c r="E12" s="88" t="str">
        <f t="shared" si="2"/>
        <v>9번 중 9번 참여</v>
      </c>
      <c r="F12" s="89">
        <f t="shared" si="3"/>
        <v>1</v>
      </c>
      <c r="G12" s="90" t="s">
        <v>25</v>
      </c>
      <c r="H12" s="90" t="s">
        <v>25</v>
      </c>
      <c r="I12" s="90" t="s">
        <v>25</v>
      </c>
      <c r="J12" s="90" t="s">
        <v>25</v>
      </c>
      <c r="K12" s="90" t="s">
        <v>25</v>
      </c>
      <c r="L12" s="90" t="s">
        <v>25</v>
      </c>
      <c r="M12" s="90" t="s">
        <v>25</v>
      </c>
      <c r="N12" s="90" t="s">
        <v>25</v>
      </c>
      <c r="O12" s="90" t="s">
        <v>25</v>
      </c>
    </row>
    <row r="13">
      <c r="A13" s="21"/>
      <c r="B13" s="22">
        <v>9.0</v>
      </c>
      <c r="C13" s="31" t="s">
        <v>42</v>
      </c>
      <c r="D13" s="31" t="s">
        <v>43</v>
      </c>
      <c r="E13" s="88" t="str">
        <f t="shared" si="2"/>
        <v>9번 중 5번 참여</v>
      </c>
      <c r="F13" s="89">
        <f t="shared" si="3"/>
        <v>0.5555555556</v>
      </c>
      <c r="G13" s="90" t="s">
        <v>80</v>
      </c>
      <c r="H13" s="41"/>
      <c r="I13" s="90" t="s">
        <v>25</v>
      </c>
      <c r="J13" s="90" t="s">
        <v>25</v>
      </c>
      <c r="K13" s="41"/>
      <c r="L13" s="90" t="s">
        <v>25</v>
      </c>
      <c r="M13" s="90" t="s">
        <v>25</v>
      </c>
      <c r="N13" s="90" t="s">
        <v>25</v>
      </c>
      <c r="O13" s="41"/>
    </row>
    <row r="14">
      <c r="A14" s="29"/>
      <c r="B14" s="30">
        <v>10.0</v>
      </c>
      <c r="C14" s="153" t="s">
        <v>418</v>
      </c>
      <c r="D14" s="153" t="s">
        <v>327</v>
      </c>
      <c r="E14" s="88" t="str">
        <f t="shared" si="2"/>
        <v/>
      </c>
      <c r="F14" s="89" t="str">
        <f t="shared" si="3"/>
        <v/>
      </c>
      <c r="G14" s="41"/>
      <c r="H14" s="41"/>
      <c r="I14" s="41"/>
      <c r="J14" s="41"/>
      <c r="K14" s="41"/>
      <c r="L14" s="41"/>
      <c r="M14" s="41"/>
      <c r="N14" s="41"/>
      <c r="O14" s="41"/>
    </row>
    <row r="15">
      <c r="A15" s="21"/>
      <c r="B15" s="22">
        <v>11.0</v>
      </c>
      <c r="C15" s="153" t="s">
        <v>419</v>
      </c>
      <c r="D15" s="153" t="s">
        <v>328</v>
      </c>
      <c r="E15" s="88" t="str">
        <f t="shared" si="2"/>
        <v/>
      </c>
      <c r="F15" s="89" t="str">
        <f t="shared" si="3"/>
        <v/>
      </c>
      <c r="G15" s="41"/>
      <c r="H15" s="41"/>
      <c r="I15" s="41"/>
      <c r="J15" s="41"/>
      <c r="K15" s="41"/>
      <c r="L15" s="41"/>
      <c r="M15" s="41"/>
      <c r="N15" s="41"/>
      <c r="O15" s="41"/>
    </row>
    <row r="16">
      <c r="A16" s="29"/>
      <c r="B16" s="30">
        <v>12.0</v>
      </c>
      <c r="C16" s="23" t="s">
        <v>44</v>
      </c>
      <c r="D16" s="23" t="s">
        <v>45</v>
      </c>
      <c r="E16" s="88" t="str">
        <f t="shared" si="2"/>
        <v>9번 중 9번 참여</v>
      </c>
      <c r="F16" s="89">
        <f t="shared" si="3"/>
        <v>1</v>
      </c>
      <c r="G16" s="90" t="s">
        <v>25</v>
      </c>
      <c r="H16" s="90" t="s">
        <v>25</v>
      </c>
      <c r="I16" s="90" t="s">
        <v>25</v>
      </c>
      <c r="J16" s="90" t="s">
        <v>25</v>
      </c>
      <c r="K16" s="90" t="s">
        <v>25</v>
      </c>
      <c r="L16" s="90" t="s">
        <v>25</v>
      </c>
      <c r="M16" s="90" t="s">
        <v>25</v>
      </c>
      <c r="N16" s="90" t="s">
        <v>25</v>
      </c>
      <c r="O16" s="90" t="s">
        <v>25</v>
      </c>
    </row>
    <row r="17">
      <c r="A17" s="21"/>
      <c r="B17" s="22">
        <v>13.0</v>
      </c>
      <c r="C17" s="31" t="s">
        <v>46</v>
      </c>
      <c r="D17" s="31" t="s">
        <v>47</v>
      </c>
      <c r="E17" s="88" t="str">
        <f t="shared" si="2"/>
        <v>9번 중 9번 참여</v>
      </c>
      <c r="F17" s="89">
        <f t="shared" si="3"/>
        <v>1</v>
      </c>
      <c r="G17" s="90" t="s">
        <v>25</v>
      </c>
      <c r="H17" s="90" t="s">
        <v>25</v>
      </c>
      <c r="I17" s="90" t="s">
        <v>25</v>
      </c>
      <c r="J17" s="90" t="s">
        <v>25</v>
      </c>
      <c r="K17" s="90" t="s">
        <v>25</v>
      </c>
      <c r="L17" s="90" t="s">
        <v>25</v>
      </c>
      <c r="M17" s="90" t="s">
        <v>25</v>
      </c>
      <c r="N17" s="90" t="s">
        <v>25</v>
      </c>
      <c r="O17" s="90" t="s">
        <v>25</v>
      </c>
    </row>
    <row r="18">
      <c r="A18" s="29"/>
      <c r="B18" s="30">
        <v>14.0</v>
      </c>
      <c r="C18" s="23" t="s">
        <v>48</v>
      </c>
      <c r="D18" s="23" t="s">
        <v>49</v>
      </c>
      <c r="E18" s="88" t="str">
        <f t="shared" si="2"/>
        <v>9번 중 8번 참여</v>
      </c>
      <c r="F18" s="89">
        <f t="shared" si="3"/>
        <v>0.8888888889</v>
      </c>
      <c r="G18" s="90" t="s">
        <v>25</v>
      </c>
      <c r="H18" s="90" t="s">
        <v>25</v>
      </c>
      <c r="I18" s="90" t="s">
        <v>25</v>
      </c>
      <c r="J18" s="90" t="s">
        <v>25</v>
      </c>
      <c r="K18" s="90" t="s">
        <v>25</v>
      </c>
      <c r="L18" s="90" t="s">
        <v>25</v>
      </c>
      <c r="M18" s="90" t="s">
        <v>25</v>
      </c>
      <c r="N18" s="90" t="s">
        <v>25</v>
      </c>
      <c r="O18" s="41"/>
    </row>
    <row r="19">
      <c r="A19" s="21"/>
      <c r="B19" s="22">
        <v>15.0</v>
      </c>
      <c r="C19" s="31" t="s">
        <v>50</v>
      </c>
      <c r="D19" s="31" t="s">
        <v>51</v>
      </c>
      <c r="E19" s="88" t="str">
        <f t="shared" si="2"/>
        <v>9번 중 9번 참여</v>
      </c>
      <c r="F19" s="89">
        <f t="shared" si="3"/>
        <v>1</v>
      </c>
      <c r="G19" s="90" t="s">
        <v>25</v>
      </c>
      <c r="H19" s="90" t="s">
        <v>25</v>
      </c>
      <c r="I19" s="90" t="s">
        <v>25</v>
      </c>
      <c r="J19" s="90" t="s">
        <v>25</v>
      </c>
      <c r="K19" s="90" t="s">
        <v>25</v>
      </c>
      <c r="L19" s="90" t="s">
        <v>25</v>
      </c>
      <c r="M19" s="90" t="s">
        <v>25</v>
      </c>
      <c r="N19" s="90" t="s">
        <v>25</v>
      </c>
      <c r="O19" s="90" t="s">
        <v>25</v>
      </c>
    </row>
    <row r="20">
      <c r="A20" s="29"/>
      <c r="B20" s="30">
        <v>16.0</v>
      </c>
      <c r="C20" s="23" t="s">
        <v>52</v>
      </c>
      <c r="D20" s="23" t="s">
        <v>53</v>
      </c>
      <c r="E20" s="88" t="str">
        <f t="shared" si="2"/>
        <v>9번 중 9번 참여</v>
      </c>
      <c r="F20" s="89">
        <f t="shared" si="3"/>
        <v>1</v>
      </c>
      <c r="G20" s="90" t="s">
        <v>25</v>
      </c>
      <c r="H20" s="90" t="s">
        <v>25</v>
      </c>
      <c r="I20" s="90" t="s">
        <v>25</v>
      </c>
      <c r="J20" s="90" t="s">
        <v>25</v>
      </c>
      <c r="K20" s="90" t="s">
        <v>25</v>
      </c>
      <c r="L20" s="90" t="s">
        <v>25</v>
      </c>
      <c r="M20" s="90" t="s">
        <v>25</v>
      </c>
      <c r="N20" s="90" t="s">
        <v>25</v>
      </c>
      <c r="O20" s="90" t="s">
        <v>25</v>
      </c>
    </row>
    <row r="21">
      <c r="A21" s="21"/>
      <c r="B21" s="22">
        <v>17.0</v>
      </c>
      <c r="C21" s="153" t="s">
        <v>329</v>
      </c>
      <c r="D21" s="153" t="s">
        <v>330</v>
      </c>
      <c r="E21" s="88" t="str">
        <f t="shared" si="2"/>
        <v/>
      </c>
      <c r="F21" s="89" t="str">
        <f t="shared" si="3"/>
        <v/>
      </c>
      <c r="G21" s="41"/>
      <c r="H21" s="41"/>
      <c r="I21" s="41"/>
      <c r="J21" s="41"/>
      <c r="K21" s="41"/>
      <c r="L21" s="41"/>
      <c r="M21" s="41"/>
      <c r="N21" s="41"/>
      <c r="O21" s="41"/>
    </row>
    <row r="22">
      <c r="A22" s="29"/>
      <c r="B22" s="30">
        <v>18.0</v>
      </c>
      <c r="C22" s="23" t="s">
        <v>56</v>
      </c>
      <c r="D22" s="23" t="s">
        <v>57</v>
      </c>
      <c r="E22" s="88" t="str">
        <f t="shared" si="2"/>
        <v>9번 중 9번 참여</v>
      </c>
      <c r="F22" s="89">
        <f t="shared" si="3"/>
        <v>1</v>
      </c>
      <c r="G22" s="90" t="s">
        <v>25</v>
      </c>
      <c r="H22" s="90" t="s">
        <v>25</v>
      </c>
      <c r="I22" s="90" t="s">
        <v>25</v>
      </c>
      <c r="J22" s="90" t="s">
        <v>25</v>
      </c>
      <c r="K22" s="90" t="s">
        <v>25</v>
      </c>
      <c r="L22" s="90" t="s">
        <v>25</v>
      </c>
      <c r="M22" s="90" t="s">
        <v>25</v>
      </c>
      <c r="N22" s="90" t="s">
        <v>25</v>
      </c>
      <c r="O22" s="90" t="s">
        <v>25</v>
      </c>
    </row>
    <row r="23">
      <c r="A23" s="21"/>
      <c r="B23" s="22">
        <v>19.0</v>
      </c>
      <c r="C23" s="31" t="s">
        <v>58</v>
      </c>
      <c r="D23" s="31" t="s">
        <v>59</v>
      </c>
      <c r="E23" s="88" t="str">
        <f t="shared" si="2"/>
        <v>9번 중 7번 참여</v>
      </c>
      <c r="F23" s="89">
        <f t="shared" si="3"/>
        <v>0.7777777778</v>
      </c>
      <c r="G23" s="90" t="s">
        <v>25</v>
      </c>
      <c r="H23" s="90" t="s">
        <v>25</v>
      </c>
      <c r="I23" s="90" t="s">
        <v>25</v>
      </c>
      <c r="J23" s="90" t="s">
        <v>25</v>
      </c>
      <c r="K23" s="90" t="s">
        <v>25</v>
      </c>
      <c r="L23" s="90" t="s">
        <v>25</v>
      </c>
      <c r="M23" s="41"/>
      <c r="N23" s="41"/>
      <c r="O23" s="90" t="s">
        <v>25</v>
      </c>
    </row>
    <row r="24">
      <c r="A24" s="29"/>
      <c r="B24" s="30">
        <v>20.0</v>
      </c>
      <c r="C24" s="23" t="s">
        <v>60</v>
      </c>
      <c r="D24" s="24" t="s">
        <v>61</v>
      </c>
      <c r="E24" s="88" t="str">
        <f t="shared" si="2"/>
        <v>9번 중 9번 참여</v>
      </c>
      <c r="F24" s="89">
        <f t="shared" si="3"/>
        <v>1</v>
      </c>
      <c r="G24" s="90" t="s">
        <v>25</v>
      </c>
      <c r="H24" s="90" t="s">
        <v>25</v>
      </c>
      <c r="I24" s="90" t="s">
        <v>25</v>
      </c>
      <c r="J24" s="90" t="s">
        <v>25</v>
      </c>
      <c r="K24" s="90" t="s">
        <v>25</v>
      </c>
      <c r="L24" s="90" t="s">
        <v>25</v>
      </c>
      <c r="M24" s="90" t="s">
        <v>25</v>
      </c>
      <c r="N24" s="90" t="s">
        <v>25</v>
      </c>
      <c r="O24" s="90" t="s">
        <v>25</v>
      </c>
    </row>
    <row r="25">
      <c r="A25" s="21"/>
      <c r="B25" s="22">
        <v>21.0</v>
      </c>
      <c r="C25" s="98" t="s">
        <v>62</v>
      </c>
      <c r="D25" s="268" t="s">
        <v>63</v>
      </c>
      <c r="E25" s="88" t="str">
        <f t="shared" si="2"/>
        <v>9번 중 9번 참여</v>
      </c>
      <c r="F25" s="89">
        <f t="shared" si="3"/>
        <v>1</v>
      </c>
      <c r="G25" s="90" t="s">
        <v>25</v>
      </c>
      <c r="H25" s="90" t="s">
        <v>25</v>
      </c>
      <c r="I25" s="90" t="s">
        <v>25</v>
      </c>
      <c r="J25" s="90" t="s">
        <v>25</v>
      </c>
      <c r="K25" s="90" t="s">
        <v>25</v>
      </c>
      <c r="L25" s="90" t="s">
        <v>25</v>
      </c>
      <c r="M25" s="90" t="s">
        <v>25</v>
      </c>
      <c r="N25" s="90" t="s">
        <v>25</v>
      </c>
      <c r="O25" s="90" t="s">
        <v>25</v>
      </c>
    </row>
    <row r="26">
      <c r="A26" s="29"/>
      <c r="B26" s="30">
        <v>22.0</v>
      </c>
      <c r="C26" s="23" t="s">
        <v>64</v>
      </c>
      <c r="D26" s="23" t="s">
        <v>65</v>
      </c>
      <c r="E26" s="88" t="str">
        <f t="shared" si="2"/>
        <v>9번 중 9번 참여</v>
      </c>
      <c r="F26" s="89">
        <f t="shared" si="3"/>
        <v>1</v>
      </c>
      <c r="G26" s="90" t="s">
        <v>25</v>
      </c>
      <c r="H26" s="90" t="s">
        <v>25</v>
      </c>
      <c r="I26" s="90" t="s">
        <v>25</v>
      </c>
      <c r="J26" s="90" t="s">
        <v>25</v>
      </c>
      <c r="K26" s="90" t="s">
        <v>25</v>
      </c>
      <c r="L26" s="90" t="s">
        <v>25</v>
      </c>
      <c r="M26" s="90" t="s">
        <v>25</v>
      </c>
      <c r="N26" s="90" t="s">
        <v>25</v>
      </c>
      <c r="O26" s="90" t="s">
        <v>25</v>
      </c>
    </row>
    <row r="27">
      <c r="A27" s="21"/>
      <c r="B27" s="22">
        <v>23.0</v>
      </c>
      <c r="C27" s="101" t="s">
        <v>66</v>
      </c>
      <c r="D27" s="101" t="s">
        <v>67</v>
      </c>
      <c r="E27" s="88" t="str">
        <f t="shared" si="2"/>
        <v>9번 중 9번 참여</v>
      </c>
      <c r="F27" s="89">
        <f t="shared" si="3"/>
        <v>1</v>
      </c>
      <c r="G27" s="90" t="s">
        <v>25</v>
      </c>
      <c r="H27" s="90" t="s">
        <v>25</v>
      </c>
      <c r="I27" s="90" t="s">
        <v>25</v>
      </c>
      <c r="J27" s="90" t="s">
        <v>25</v>
      </c>
      <c r="K27" s="90" t="s">
        <v>25</v>
      </c>
      <c r="L27" s="90" t="s">
        <v>25</v>
      </c>
      <c r="M27" s="90" t="s">
        <v>25</v>
      </c>
      <c r="N27" s="90" t="s">
        <v>25</v>
      </c>
      <c r="O27" s="90" t="s">
        <v>25</v>
      </c>
    </row>
    <row r="28">
      <c r="A28" s="29"/>
      <c r="B28" s="30">
        <v>24.0</v>
      </c>
      <c r="C28" s="103" t="s">
        <v>68</v>
      </c>
      <c r="D28" s="103" t="s">
        <v>69</v>
      </c>
      <c r="E28" s="88" t="str">
        <f t="shared" si="2"/>
        <v>9번 중 8번 참여</v>
      </c>
      <c r="F28" s="89">
        <f t="shared" si="3"/>
        <v>0.8888888889</v>
      </c>
      <c r="G28" s="90" t="s">
        <v>25</v>
      </c>
      <c r="H28" s="90" t="s">
        <v>25</v>
      </c>
      <c r="I28" s="90" t="s">
        <v>25</v>
      </c>
      <c r="J28" s="90" t="s">
        <v>25</v>
      </c>
      <c r="K28" s="90" t="s">
        <v>25</v>
      </c>
      <c r="L28" s="90" t="s">
        <v>25</v>
      </c>
      <c r="M28" s="90" t="s">
        <v>25</v>
      </c>
      <c r="N28" s="90" t="s">
        <v>25</v>
      </c>
      <c r="O28" s="41"/>
    </row>
    <row r="29">
      <c r="A29" s="21"/>
      <c r="B29" s="22">
        <v>25.0</v>
      </c>
      <c r="C29" s="31" t="s">
        <v>74</v>
      </c>
      <c r="D29" s="31" t="s">
        <v>75</v>
      </c>
      <c r="E29" s="88" t="str">
        <f t="shared" si="2"/>
        <v>9번 중 7번 참여</v>
      </c>
      <c r="F29" s="89">
        <f t="shared" si="3"/>
        <v>0.7777777778</v>
      </c>
      <c r="G29" s="90" t="s">
        <v>25</v>
      </c>
      <c r="H29" s="90" t="s">
        <v>25</v>
      </c>
      <c r="I29" s="41"/>
      <c r="J29" s="90" t="s">
        <v>25</v>
      </c>
      <c r="K29" s="90" t="s">
        <v>25</v>
      </c>
      <c r="L29" s="90" t="s">
        <v>25</v>
      </c>
      <c r="M29" s="90" t="s">
        <v>25</v>
      </c>
      <c r="N29" s="41"/>
      <c r="O29" s="90" t="s">
        <v>25</v>
      </c>
    </row>
    <row r="30">
      <c r="A30" s="29"/>
      <c r="B30" s="30">
        <v>26.0</v>
      </c>
      <c r="C30" s="23" t="s">
        <v>76</v>
      </c>
      <c r="D30" s="24" t="s">
        <v>77</v>
      </c>
      <c r="E30" s="88" t="str">
        <f t="shared" si="2"/>
        <v>9번 중 8번 참여</v>
      </c>
      <c r="F30" s="89">
        <f t="shared" si="3"/>
        <v>0.8888888889</v>
      </c>
      <c r="G30" s="41"/>
      <c r="H30" s="90" t="s">
        <v>25</v>
      </c>
      <c r="I30" s="90" t="s">
        <v>25</v>
      </c>
      <c r="J30" s="90" t="s">
        <v>25</v>
      </c>
      <c r="K30" s="90" t="s">
        <v>25</v>
      </c>
      <c r="L30" s="90" t="s">
        <v>25</v>
      </c>
      <c r="M30" s="90" t="s">
        <v>25</v>
      </c>
      <c r="N30" s="90" t="s">
        <v>25</v>
      </c>
      <c r="O30" s="90" t="s">
        <v>25</v>
      </c>
    </row>
    <row r="31">
      <c r="A31" s="21"/>
      <c r="B31" s="22">
        <v>27.0</v>
      </c>
      <c r="C31" s="31" t="s">
        <v>78</v>
      </c>
      <c r="D31" s="151" t="s">
        <v>79</v>
      </c>
      <c r="E31" s="88" t="str">
        <f t="shared" si="2"/>
        <v>9번 중 9번 참여</v>
      </c>
      <c r="F31" s="89">
        <f t="shared" si="3"/>
        <v>1</v>
      </c>
      <c r="G31" s="90" t="s">
        <v>25</v>
      </c>
      <c r="H31" s="90" t="s">
        <v>25</v>
      </c>
      <c r="I31" s="90" t="s">
        <v>25</v>
      </c>
      <c r="J31" s="90" t="s">
        <v>25</v>
      </c>
      <c r="K31" s="90" t="s">
        <v>25</v>
      </c>
      <c r="L31" s="90" t="s">
        <v>25</v>
      </c>
      <c r="M31" s="90" t="s">
        <v>25</v>
      </c>
      <c r="N31" s="90" t="s">
        <v>25</v>
      </c>
      <c r="O31" s="90" t="s">
        <v>25</v>
      </c>
    </row>
    <row r="32">
      <c r="A32" s="29"/>
      <c r="B32" s="30">
        <v>28.0</v>
      </c>
      <c r="C32" s="153" t="s">
        <v>130</v>
      </c>
      <c r="D32" s="155" t="s">
        <v>484</v>
      </c>
      <c r="E32" s="88" t="str">
        <f t="shared" si="2"/>
        <v/>
      </c>
      <c r="F32" s="89" t="str">
        <f t="shared" si="3"/>
        <v/>
      </c>
      <c r="G32" s="41"/>
      <c r="H32" s="41"/>
      <c r="I32" s="41"/>
      <c r="J32" s="41"/>
      <c r="K32" s="41"/>
      <c r="L32" s="41"/>
      <c r="M32" s="41"/>
      <c r="N32" s="41"/>
      <c r="O32" s="41"/>
    </row>
    <row r="33">
      <c r="A33" s="21"/>
      <c r="B33" s="22">
        <v>29.0</v>
      </c>
      <c r="C33" s="31" t="s">
        <v>81</v>
      </c>
      <c r="D33" s="31" t="s">
        <v>82</v>
      </c>
      <c r="E33" s="88" t="str">
        <f t="shared" si="2"/>
        <v>9번 중 8번 참여</v>
      </c>
      <c r="F33" s="89">
        <f t="shared" si="3"/>
        <v>0.8888888889</v>
      </c>
      <c r="G33" s="90" t="s">
        <v>25</v>
      </c>
      <c r="H33" s="90" t="s">
        <v>25</v>
      </c>
      <c r="I33" s="90" t="s">
        <v>25</v>
      </c>
      <c r="J33" s="90" t="s">
        <v>25</v>
      </c>
      <c r="K33" s="41"/>
      <c r="L33" s="90" t="s">
        <v>25</v>
      </c>
      <c r="M33" s="90" t="s">
        <v>25</v>
      </c>
      <c r="N33" s="90" t="s">
        <v>25</v>
      </c>
      <c r="O33" s="90" t="s">
        <v>25</v>
      </c>
    </row>
    <row r="34">
      <c r="A34" s="29"/>
      <c r="B34" s="30">
        <v>30.0</v>
      </c>
      <c r="C34" s="93" t="s">
        <v>83</v>
      </c>
      <c r="D34" s="93" t="s">
        <v>84</v>
      </c>
      <c r="E34" s="88" t="str">
        <f t="shared" si="2"/>
        <v>9번 중 2번 참여</v>
      </c>
      <c r="F34" s="89">
        <f t="shared" si="3"/>
        <v>0.2222222222</v>
      </c>
      <c r="G34" s="90" t="s">
        <v>25</v>
      </c>
      <c r="H34" s="41"/>
      <c r="I34" s="41"/>
      <c r="J34" s="41"/>
      <c r="K34" s="41"/>
      <c r="L34" s="41"/>
      <c r="M34" s="41"/>
      <c r="N34" s="41"/>
      <c r="O34" s="90" t="s">
        <v>25</v>
      </c>
    </row>
    <row r="35">
      <c r="A35" s="21"/>
      <c r="B35" s="22">
        <v>31.0</v>
      </c>
      <c r="C35" s="31" t="s">
        <v>85</v>
      </c>
      <c r="D35" s="31" t="s">
        <v>86</v>
      </c>
      <c r="E35" s="88" t="str">
        <f t="shared" si="2"/>
        <v>9번 중 9번 참여</v>
      </c>
      <c r="F35" s="89">
        <f t="shared" si="3"/>
        <v>1</v>
      </c>
      <c r="G35" s="90" t="s">
        <v>25</v>
      </c>
      <c r="H35" s="90" t="s">
        <v>25</v>
      </c>
      <c r="I35" s="90" t="s">
        <v>25</v>
      </c>
      <c r="J35" s="90" t="s">
        <v>25</v>
      </c>
      <c r="K35" s="90" t="s">
        <v>25</v>
      </c>
      <c r="L35" s="90" t="s">
        <v>25</v>
      </c>
      <c r="M35" s="90" t="s">
        <v>25</v>
      </c>
      <c r="N35" s="90" t="s">
        <v>25</v>
      </c>
      <c r="O35" s="90" t="s">
        <v>25</v>
      </c>
    </row>
    <row r="36">
      <c r="A36" s="29"/>
      <c r="B36" s="30">
        <v>32.0</v>
      </c>
      <c r="C36" s="23" t="s">
        <v>87</v>
      </c>
      <c r="D36" s="24" t="s">
        <v>88</v>
      </c>
      <c r="E36" s="88" t="str">
        <f t="shared" si="2"/>
        <v>9번 중 7번 참여</v>
      </c>
      <c r="F36" s="89">
        <f t="shared" si="3"/>
        <v>0.7777777778</v>
      </c>
      <c r="G36" s="41"/>
      <c r="H36" s="90" t="s">
        <v>25</v>
      </c>
      <c r="I36" s="90" t="s">
        <v>25</v>
      </c>
      <c r="J36" s="41"/>
      <c r="K36" s="90" t="s">
        <v>25</v>
      </c>
      <c r="L36" s="90" t="s">
        <v>25</v>
      </c>
      <c r="M36" s="90" t="s">
        <v>25</v>
      </c>
      <c r="N36" s="90" t="s">
        <v>25</v>
      </c>
      <c r="O36" s="90" t="s">
        <v>25</v>
      </c>
    </row>
    <row r="37">
      <c r="A37" s="21"/>
      <c r="B37" s="22">
        <v>33.0</v>
      </c>
      <c r="C37" s="109" t="s">
        <v>89</v>
      </c>
      <c r="D37" s="109" t="s">
        <v>90</v>
      </c>
      <c r="E37" s="88" t="str">
        <f t="shared" si="2"/>
        <v>9번 중 8번 참여</v>
      </c>
      <c r="F37" s="89">
        <f t="shared" si="3"/>
        <v>0.8888888889</v>
      </c>
      <c r="G37" s="90" t="s">
        <v>25</v>
      </c>
      <c r="H37" s="90" t="s">
        <v>25</v>
      </c>
      <c r="I37" s="90" t="s">
        <v>25</v>
      </c>
      <c r="J37" s="90" t="s">
        <v>25</v>
      </c>
      <c r="K37" s="90" t="s">
        <v>25</v>
      </c>
      <c r="L37" s="90" t="s">
        <v>25</v>
      </c>
      <c r="M37" s="90" t="s">
        <v>25</v>
      </c>
      <c r="N37" s="90" t="s">
        <v>25</v>
      </c>
      <c r="O37" s="41"/>
    </row>
    <row r="38">
      <c r="A38" s="29"/>
      <c r="B38" s="30">
        <v>34.0</v>
      </c>
      <c r="C38" s="113" t="s">
        <v>91</v>
      </c>
      <c r="D38" s="61" t="s">
        <v>92</v>
      </c>
      <c r="E38" s="88" t="str">
        <f t="shared" si="2"/>
        <v>9번 중 9번 참여</v>
      </c>
      <c r="F38" s="89">
        <f t="shared" si="3"/>
        <v>1</v>
      </c>
      <c r="G38" s="90" t="s">
        <v>25</v>
      </c>
      <c r="H38" s="90" t="s">
        <v>25</v>
      </c>
      <c r="I38" s="90" t="s">
        <v>25</v>
      </c>
      <c r="J38" s="90" t="s">
        <v>25</v>
      </c>
      <c r="K38" s="90" t="s">
        <v>25</v>
      </c>
      <c r="L38" s="90" t="s">
        <v>25</v>
      </c>
      <c r="M38" s="90" t="s">
        <v>25</v>
      </c>
      <c r="N38" s="90" t="s">
        <v>25</v>
      </c>
      <c r="O38" s="90" t="s">
        <v>25</v>
      </c>
    </row>
    <row r="39">
      <c r="A39" s="21"/>
      <c r="B39" s="22">
        <v>35.0</v>
      </c>
      <c r="C39" s="31" t="s">
        <v>93</v>
      </c>
      <c r="D39" s="31" t="s">
        <v>94</v>
      </c>
      <c r="E39" s="88" t="str">
        <f t="shared" si="2"/>
        <v>9번 중 7번 참여</v>
      </c>
      <c r="F39" s="89">
        <f t="shared" si="3"/>
        <v>0.7777777778</v>
      </c>
      <c r="G39" s="90" t="s">
        <v>25</v>
      </c>
      <c r="H39" s="41"/>
      <c r="I39" s="90" t="s">
        <v>25</v>
      </c>
      <c r="J39" s="90" t="s">
        <v>25</v>
      </c>
      <c r="K39" s="90" t="s">
        <v>25</v>
      </c>
      <c r="L39" s="90" t="s">
        <v>25</v>
      </c>
      <c r="M39" s="90" t="s">
        <v>25</v>
      </c>
      <c r="N39" s="41"/>
      <c r="O39" s="90" t="s">
        <v>25</v>
      </c>
    </row>
    <row r="40">
      <c r="A40" s="29"/>
      <c r="B40" s="30">
        <v>36.0</v>
      </c>
      <c r="C40" s="23" t="s">
        <v>124</v>
      </c>
      <c r="D40" s="23" t="s">
        <v>125</v>
      </c>
      <c r="E40" s="88" t="str">
        <f t="shared" si="2"/>
        <v>9번 중 9번 참여</v>
      </c>
      <c r="F40" s="89">
        <f t="shared" si="3"/>
        <v>1</v>
      </c>
      <c r="G40" s="90" t="s">
        <v>25</v>
      </c>
      <c r="H40" s="90" t="s">
        <v>25</v>
      </c>
      <c r="I40" s="90" t="s">
        <v>25</v>
      </c>
      <c r="J40" s="90" t="s">
        <v>25</v>
      </c>
      <c r="K40" s="90" t="s">
        <v>25</v>
      </c>
      <c r="L40" s="90" t="s">
        <v>25</v>
      </c>
      <c r="M40" s="90" t="s">
        <v>25</v>
      </c>
      <c r="N40" s="90" t="s">
        <v>25</v>
      </c>
      <c r="O40" s="90" t="s">
        <v>25</v>
      </c>
    </row>
    <row r="41">
      <c r="A41" s="21"/>
      <c r="B41" s="22">
        <v>37.0</v>
      </c>
      <c r="C41" s="31" t="s">
        <v>128</v>
      </c>
      <c r="D41" s="31" t="s">
        <v>129</v>
      </c>
      <c r="E41" s="88" t="str">
        <f t="shared" si="2"/>
        <v>9번 중 9번 참여</v>
      </c>
      <c r="F41" s="89">
        <f t="shared" si="3"/>
        <v>1</v>
      </c>
      <c r="G41" s="90" t="s">
        <v>25</v>
      </c>
      <c r="H41" s="90" t="s">
        <v>25</v>
      </c>
      <c r="I41" s="90" t="s">
        <v>25</v>
      </c>
      <c r="J41" s="90" t="s">
        <v>25</v>
      </c>
      <c r="K41" s="90" t="s">
        <v>25</v>
      </c>
      <c r="L41" s="90" t="s">
        <v>25</v>
      </c>
      <c r="M41" s="90" t="s">
        <v>25</v>
      </c>
      <c r="N41" s="90" t="s">
        <v>25</v>
      </c>
      <c r="O41" s="90" t="s">
        <v>25</v>
      </c>
    </row>
    <row r="42">
      <c r="A42" s="29"/>
      <c r="B42" s="30">
        <v>38.0</v>
      </c>
      <c r="C42" s="23" t="s">
        <v>99</v>
      </c>
      <c r="D42" s="23" t="s">
        <v>100</v>
      </c>
      <c r="E42" s="88" t="str">
        <f t="shared" si="2"/>
        <v>9번 중 7번 참여</v>
      </c>
      <c r="F42" s="89">
        <f t="shared" si="3"/>
        <v>0.7777777778</v>
      </c>
      <c r="G42" s="90" t="s">
        <v>25</v>
      </c>
      <c r="H42" s="41"/>
      <c r="I42" s="41"/>
      <c r="J42" s="90" t="s">
        <v>25</v>
      </c>
      <c r="K42" s="90" t="s">
        <v>25</v>
      </c>
      <c r="L42" s="90" t="s">
        <v>25</v>
      </c>
      <c r="M42" s="90" t="s">
        <v>25</v>
      </c>
      <c r="N42" s="90" t="s">
        <v>25</v>
      </c>
      <c r="O42" s="90" t="s">
        <v>25</v>
      </c>
    </row>
    <row r="43">
      <c r="A43" s="21"/>
      <c r="B43" s="22">
        <v>39.0</v>
      </c>
      <c r="C43" s="31" t="s">
        <v>347</v>
      </c>
      <c r="D43" s="31" t="s">
        <v>348</v>
      </c>
      <c r="E43" s="88" t="str">
        <f t="shared" si="2"/>
        <v>9번 중 9번 참여</v>
      </c>
      <c r="F43" s="89">
        <f t="shared" si="3"/>
        <v>1</v>
      </c>
      <c r="G43" s="90" t="s">
        <v>25</v>
      </c>
      <c r="H43" s="90" t="s">
        <v>25</v>
      </c>
      <c r="I43" s="90" t="s">
        <v>25</v>
      </c>
      <c r="J43" s="90" t="s">
        <v>25</v>
      </c>
      <c r="K43" s="90" t="s">
        <v>25</v>
      </c>
      <c r="L43" s="90" t="s">
        <v>25</v>
      </c>
      <c r="M43" s="90" t="s">
        <v>25</v>
      </c>
      <c r="N43" s="90" t="s">
        <v>25</v>
      </c>
      <c r="O43" s="90" t="s">
        <v>25</v>
      </c>
    </row>
    <row r="44">
      <c r="A44" s="29"/>
      <c r="B44" s="30">
        <v>40.0</v>
      </c>
      <c r="C44" s="23" t="s">
        <v>95</v>
      </c>
      <c r="D44" s="23" t="s">
        <v>96</v>
      </c>
      <c r="E44" s="88" t="str">
        <f t="shared" si="2"/>
        <v>9번 중 9번 참여</v>
      </c>
      <c r="F44" s="89">
        <f t="shared" si="3"/>
        <v>1</v>
      </c>
      <c r="G44" s="90" t="s">
        <v>25</v>
      </c>
      <c r="H44" s="90" t="s">
        <v>25</v>
      </c>
      <c r="I44" s="90" t="s">
        <v>25</v>
      </c>
      <c r="J44" s="90" t="s">
        <v>25</v>
      </c>
      <c r="K44" s="90" t="s">
        <v>25</v>
      </c>
      <c r="L44" s="90" t="s">
        <v>25</v>
      </c>
      <c r="M44" s="90" t="s">
        <v>25</v>
      </c>
      <c r="N44" s="90" t="s">
        <v>25</v>
      </c>
      <c r="O44" s="90" t="s">
        <v>25</v>
      </c>
    </row>
    <row r="45">
      <c r="A45" s="21"/>
      <c r="B45" s="22">
        <v>41.0</v>
      </c>
      <c r="C45" s="31" t="s">
        <v>97</v>
      </c>
      <c r="D45" s="31" t="s">
        <v>98</v>
      </c>
      <c r="E45" s="88" t="str">
        <f t="shared" si="2"/>
        <v>9번 중 9번 참여</v>
      </c>
      <c r="F45" s="89">
        <f t="shared" si="3"/>
        <v>1</v>
      </c>
      <c r="G45" s="90" t="s">
        <v>25</v>
      </c>
      <c r="H45" s="90" t="s">
        <v>25</v>
      </c>
      <c r="I45" s="90" t="s">
        <v>25</v>
      </c>
      <c r="J45" s="90" t="s">
        <v>25</v>
      </c>
      <c r="K45" s="90" t="s">
        <v>25</v>
      </c>
      <c r="L45" s="90" t="s">
        <v>25</v>
      </c>
      <c r="M45" s="90" t="s">
        <v>25</v>
      </c>
      <c r="N45" s="90" t="s">
        <v>25</v>
      </c>
      <c r="O45" s="90" t="s">
        <v>25</v>
      </c>
    </row>
    <row r="46">
      <c r="A46" s="29"/>
      <c r="B46" s="30">
        <v>42.0</v>
      </c>
      <c r="C46" s="152" t="s">
        <v>538</v>
      </c>
      <c r="D46" s="152" t="s">
        <v>539</v>
      </c>
      <c r="E46" s="88" t="str">
        <f t="shared" si="2"/>
        <v/>
      </c>
      <c r="F46" s="89" t="str">
        <f t="shared" si="3"/>
        <v/>
      </c>
      <c r="G46" s="41"/>
      <c r="H46" s="41"/>
      <c r="I46" s="41"/>
      <c r="J46" s="41"/>
      <c r="K46" s="41"/>
      <c r="L46" s="90"/>
      <c r="M46" s="41"/>
      <c r="N46" s="41"/>
      <c r="O46" s="41"/>
    </row>
    <row r="47">
      <c r="A47" s="21"/>
      <c r="B47" s="22">
        <v>43.0</v>
      </c>
      <c r="C47" s="23" t="s">
        <v>103</v>
      </c>
      <c r="D47" s="23" t="s">
        <v>104</v>
      </c>
      <c r="E47" s="88" t="str">
        <f t="shared" si="2"/>
        <v>9번 중 9번 참여</v>
      </c>
      <c r="F47" s="89">
        <f t="shared" si="3"/>
        <v>1</v>
      </c>
      <c r="G47" s="90" t="s">
        <v>25</v>
      </c>
      <c r="H47" s="90" t="s">
        <v>25</v>
      </c>
      <c r="I47" s="90" t="s">
        <v>25</v>
      </c>
      <c r="J47" s="90" t="s">
        <v>25</v>
      </c>
      <c r="K47" s="90" t="s">
        <v>25</v>
      </c>
      <c r="L47" s="90" t="s">
        <v>25</v>
      </c>
      <c r="M47" s="90" t="s">
        <v>25</v>
      </c>
      <c r="N47" s="90" t="s">
        <v>25</v>
      </c>
      <c r="O47" s="90" t="s">
        <v>25</v>
      </c>
    </row>
    <row r="48">
      <c r="A48" s="29"/>
      <c r="B48" s="30">
        <v>44.0</v>
      </c>
      <c r="C48" s="153" t="s">
        <v>351</v>
      </c>
      <c r="D48" s="153" t="s">
        <v>352</v>
      </c>
      <c r="E48" s="88" t="str">
        <f t="shared" si="2"/>
        <v/>
      </c>
      <c r="F48" s="89" t="str">
        <f t="shared" si="3"/>
        <v/>
      </c>
      <c r="G48" s="41"/>
      <c r="H48" s="41"/>
      <c r="I48" s="41"/>
      <c r="J48" s="41"/>
      <c r="K48" s="41"/>
      <c r="L48" s="41"/>
      <c r="M48" s="41"/>
      <c r="N48" s="41"/>
      <c r="O48" s="41"/>
    </row>
    <row r="49">
      <c r="A49" s="21"/>
      <c r="B49" s="22">
        <v>45.0</v>
      </c>
      <c r="C49" s="23" t="s">
        <v>284</v>
      </c>
      <c r="D49" s="23" t="s">
        <v>121</v>
      </c>
      <c r="E49" s="88" t="str">
        <f t="shared" si="2"/>
        <v>9번 중 9번 참여</v>
      </c>
      <c r="F49" s="89">
        <f t="shared" si="3"/>
        <v>1</v>
      </c>
      <c r="G49" s="90" t="s">
        <v>25</v>
      </c>
      <c r="H49" s="90" t="s">
        <v>25</v>
      </c>
      <c r="I49" s="90" t="s">
        <v>25</v>
      </c>
      <c r="J49" s="90" t="s">
        <v>25</v>
      </c>
      <c r="K49" s="90" t="s">
        <v>25</v>
      </c>
      <c r="L49" s="90" t="s">
        <v>25</v>
      </c>
      <c r="M49" s="90" t="s">
        <v>25</v>
      </c>
      <c r="N49" s="90" t="s">
        <v>25</v>
      </c>
      <c r="O49" s="90" t="s">
        <v>25</v>
      </c>
    </row>
    <row r="50">
      <c r="A50" s="29"/>
      <c r="B50" s="30">
        <v>46.0</v>
      </c>
      <c r="C50" s="31" t="s">
        <v>101</v>
      </c>
      <c r="D50" s="31" t="s">
        <v>102</v>
      </c>
      <c r="E50" s="88" t="str">
        <f t="shared" si="2"/>
        <v>9번 중 9번 참여</v>
      </c>
      <c r="F50" s="89">
        <f t="shared" si="3"/>
        <v>1</v>
      </c>
      <c r="G50" s="90" t="s">
        <v>25</v>
      </c>
      <c r="H50" s="90" t="s">
        <v>25</v>
      </c>
      <c r="I50" s="90" t="s">
        <v>25</v>
      </c>
      <c r="J50" s="90" t="s">
        <v>25</v>
      </c>
      <c r="K50" s="90" t="s">
        <v>25</v>
      </c>
      <c r="L50" s="90" t="s">
        <v>25</v>
      </c>
      <c r="M50" s="90" t="s">
        <v>25</v>
      </c>
      <c r="N50" s="90" t="s">
        <v>25</v>
      </c>
      <c r="O50" s="90" t="s">
        <v>25</v>
      </c>
    </row>
    <row r="51">
      <c r="A51" s="21"/>
      <c r="B51" s="22">
        <v>47.0</v>
      </c>
      <c r="C51" s="111" t="s">
        <v>281</v>
      </c>
      <c r="D51" s="112" t="s">
        <v>282</v>
      </c>
      <c r="E51" s="88" t="str">
        <f t="shared" si="2"/>
        <v>9번 중 9번 참여</v>
      </c>
      <c r="F51" s="89">
        <f t="shared" si="3"/>
        <v>1</v>
      </c>
      <c r="G51" s="90" t="s">
        <v>25</v>
      </c>
      <c r="H51" s="90" t="s">
        <v>25</v>
      </c>
      <c r="I51" s="90" t="s">
        <v>25</v>
      </c>
      <c r="J51" s="90" t="s">
        <v>25</v>
      </c>
      <c r="K51" s="90" t="s">
        <v>25</v>
      </c>
      <c r="L51" s="90" t="s">
        <v>25</v>
      </c>
      <c r="M51" s="90" t="s">
        <v>25</v>
      </c>
      <c r="N51" s="90" t="s">
        <v>25</v>
      </c>
      <c r="O51" s="90" t="s">
        <v>25</v>
      </c>
    </row>
    <row r="52">
      <c r="A52" s="29"/>
      <c r="B52" s="30">
        <v>48.0</v>
      </c>
      <c r="C52" s="61" t="s">
        <v>126</v>
      </c>
      <c r="D52" s="61" t="s">
        <v>127</v>
      </c>
      <c r="E52" s="88" t="str">
        <f t="shared" si="2"/>
        <v>9번 중 9번 참여</v>
      </c>
      <c r="F52" s="89">
        <f t="shared" si="3"/>
        <v>1</v>
      </c>
      <c r="G52" s="90" t="s">
        <v>25</v>
      </c>
      <c r="H52" s="90" t="s">
        <v>25</v>
      </c>
      <c r="I52" s="90" t="s">
        <v>25</v>
      </c>
      <c r="J52" s="90" t="s">
        <v>25</v>
      </c>
      <c r="K52" s="90" t="s">
        <v>25</v>
      </c>
      <c r="L52" s="90" t="s">
        <v>25</v>
      </c>
      <c r="M52" s="90" t="s">
        <v>25</v>
      </c>
      <c r="N52" s="90" t="s">
        <v>25</v>
      </c>
      <c r="O52" s="90" t="s">
        <v>25</v>
      </c>
    </row>
    <row r="53">
      <c r="A53" s="21"/>
      <c r="B53" s="22">
        <v>49.0</v>
      </c>
      <c r="C53" s="95" t="s">
        <v>109</v>
      </c>
      <c r="D53" s="95" t="s">
        <v>110</v>
      </c>
      <c r="E53" s="88" t="str">
        <f t="shared" si="2"/>
        <v>9번 중 8번 참여</v>
      </c>
      <c r="F53" s="89">
        <f t="shared" si="3"/>
        <v>0.8888888889</v>
      </c>
      <c r="G53" s="90" t="s">
        <v>25</v>
      </c>
      <c r="H53" s="90" t="s">
        <v>80</v>
      </c>
      <c r="I53" s="90" t="s">
        <v>25</v>
      </c>
      <c r="J53" s="90" t="s">
        <v>25</v>
      </c>
      <c r="K53" s="90" t="s">
        <v>25</v>
      </c>
      <c r="L53" s="90" t="s">
        <v>25</v>
      </c>
      <c r="M53" s="90" t="s">
        <v>25</v>
      </c>
      <c r="N53" s="90" t="s">
        <v>25</v>
      </c>
      <c r="O53" s="90" t="s">
        <v>25</v>
      </c>
    </row>
    <row r="54">
      <c r="A54" s="29"/>
      <c r="B54" s="30">
        <v>50.0</v>
      </c>
      <c r="C54" s="31" t="s">
        <v>111</v>
      </c>
      <c r="D54" s="31" t="s">
        <v>112</v>
      </c>
      <c r="E54" s="88" t="str">
        <f t="shared" si="2"/>
        <v>9번 중 8번 참여</v>
      </c>
      <c r="F54" s="89">
        <f t="shared" si="3"/>
        <v>0.8888888889</v>
      </c>
      <c r="G54" s="90" t="s">
        <v>25</v>
      </c>
      <c r="H54" s="90" t="s">
        <v>25</v>
      </c>
      <c r="I54" s="90" t="s">
        <v>25</v>
      </c>
      <c r="J54" s="90" t="s">
        <v>25</v>
      </c>
      <c r="K54" s="90" t="s">
        <v>25</v>
      </c>
      <c r="L54" s="90" t="s">
        <v>25</v>
      </c>
      <c r="M54" s="90" t="s">
        <v>25</v>
      </c>
      <c r="N54" s="41"/>
      <c r="O54" s="90" t="s">
        <v>25</v>
      </c>
    </row>
    <row r="55">
      <c r="A55" s="21"/>
      <c r="B55" s="22">
        <v>51.0</v>
      </c>
      <c r="C55" s="23" t="s">
        <v>113</v>
      </c>
      <c r="D55" s="23" t="s">
        <v>114</v>
      </c>
      <c r="E55" s="88" t="str">
        <f t="shared" si="2"/>
        <v>9번 중 9번 참여</v>
      </c>
      <c r="F55" s="89">
        <f t="shared" si="3"/>
        <v>1</v>
      </c>
      <c r="G55" s="90" t="s">
        <v>25</v>
      </c>
      <c r="H55" s="90" t="s">
        <v>25</v>
      </c>
      <c r="I55" s="90" t="s">
        <v>25</v>
      </c>
      <c r="J55" s="90" t="s">
        <v>25</v>
      </c>
      <c r="K55" s="90" t="s">
        <v>25</v>
      </c>
      <c r="L55" s="90" t="s">
        <v>25</v>
      </c>
      <c r="M55" s="90" t="s">
        <v>25</v>
      </c>
      <c r="N55" s="90" t="s">
        <v>25</v>
      </c>
      <c r="O55" s="90" t="s">
        <v>25</v>
      </c>
    </row>
    <row r="56">
      <c r="A56" s="29"/>
      <c r="B56" s="30">
        <v>52.0</v>
      </c>
      <c r="C56" s="93" t="s">
        <v>361</v>
      </c>
      <c r="D56" s="93" t="s">
        <v>362</v>
      </c>
      <c r="E56" s="88" t="str">
        <f t="shared" si="2"/>
        <v>9번 중 1번 참여</v>
      </c>
      <c r="F56" s="89">
        <f t="shared" si="3"/>
        <v>0.1111111111</v>
      </c>
      <c r="G56" s="41"/>
      <c r="H56" s="41"/>
      <c r="I56" s="41"/>
      <c r="J56" s="41"/>
      <c r="K56" s="41"/>
      <c r="L56" s="41"/>
      <c r="M56" s="41"/>
      <c r="N56" s="41"/>
      <c r="O56" s="90" t="s">
        <v>25</v>
      </c>
    </row>
    <row r="57">
      <c r="A57" s="21"/>
      <c r="B57" s="22">
        <v>53.0</v>
      </c>
      <c r="C57" s="23" t="s">
        <v>132</v>
      </c>
      <c r="D57" s="23" t="s">
        <v>133</v>
      </c>
      <c r="E57" s="88" t="str">
        <f t="shared" si="2"/>
        <v>9번 중 9번 참여</v>
      </c>
      <c r="F57" s="89">
        <f t="shared" si="3"/>
        <v>1</v>
      </c>
      <c r="G57" s="90" t="s">
        <v>25</v>
      </c>
      <c r="H57" s="90" t="s">
        <v>25</v>
      </c>
      <c r="I57" s="90" t="s">
        <v>25</v>
      </c>
      <c r="J57" s="90" t="s">
        <v>25</v>
      </c>
      <c r="K57" s="90" t="s">
        <v>25</v>
      </c>
      <c r="L57" s="90" t="s">
        <v>25</v>
      </c>
      <c r="M57" s="90" t="s">
        <v>25</v>
      </c>
      <c r="N57" s="90" t="s">
        <v>25</v>
      </c>
      <c r="O57" s="90" t="s">
        <v>25</v>
      </c>
    </row>
    <row r="58">
      <c r="A58" s="255" t="s">
        <v>226</v>
      </c>
      <c r="B58" s="30">
        <v>54.0</v>
      </c>
      <c r="C58" s="31" t="s">
        <v>283</v>
      </c>
      <c r="D58" s="31" t="s">
        <v>119</v>
      </c>
      <c r="E58" s="88" t="str">
        <f t="shared" si="2"/>
        <v>9번 중 9번 참여</v>
      </c>
      <c r="F58" s="89">
        <f t="shared" si="3"/>
        <v>1</v>
      </c>
      <c r="G58" s="90" t="s">
        <v>25</v>
      </c>
      <c r="H58" s="90" t="s">
        <v>25</v>
      </c>
      <c r="I58" s="90" t="s">
        <v>25</v>
      </c>
      <c r="J58" s="90" t="s">
        <v>25</v>
      </c>
      <c r="K58" s="90" t="s">
        <v>25</v>
      </c>
      <c r="L58" s="90" t="s">
        <v>25</v>
      </c>
      <c r="M58" s="90" t="s">
        <v>25</v>
      </c>
      <c r="N58" s="90" t="s">
        <v>25</v>
      </c>
      <c r="O58" s="90" t="s">
        <v>25</v>
      </c>
    </row>
    <row r="59">
      <c r="A59" s="21"/>
      <c r="B59" s="22">
        <v>55.0</v>
      </c>
      <c r="C59" s="95" t="s">
        <v>363</v>
      </c>
      <c r="D59" s="23" t="s">
        <v>364</v>
      </c>
      <c r="E59" s="88" t="str">
        <f t="shared" si="2"/>
        <v>9번 중 7번 참여</v>
      </c>
      <c r="F59" s="89">
        <f t="shared" si="3"/>
        <v>0.7777777778</v>
      </c>
      <c r="G59" s="90" t="s">
        <v>25</v>
      </c>
      <c r="H59" s="41"/>
      <c r="I59" s="90" t="s">
        <v>25</v>
      </c>
      <c r="J59" s="90" t="s">
        <v>25</v>
      </c>
      <c r="K59" s="41"/>
      <c r="L59" s="90" t="s">
        <v>25</v>
      </c>
      <c r="M59" s="90" t="s">
        <v>25</v>
      </c>
      <c r="N59" s="90" t="s">
        <v>25</v>
      </c>
      <c r="O59" s="90" t="s">
        <v>25</v>
      </c>
    </row>
    <row r="60">
      <c r="A60" s="29"/>
      <c r="B60" s="30">
        <v>56.0</v>
      </c>
      <c r="C60" s="98" t="s">
        <v>28</v>
      </c>
      <c r="D60" s="98" t="s">
        <v>70</v>
      </c>
      <c r="E60" s="88" t="str">
        <f t="shared" si="2"/>
        <v>9번 중 9번 참여</v>
      </c>
      <c r="F60" s="89">
        <f t="shared" si="3"/>
        <v>1</v>
      </c>
      <c r="G60" s="90" t="s">
        <v>25</v>
      </c>
      <c r="H60" s="90" t="s">
        <v>25</v>
      </c>
      <c r="I60" s="90" t="s">
        <v>25</v>
      </c>
      <c r="J60" s="90" t="s">
        <v>25</v>
      </c>
      <c r="K60" s="90" t="s">
        <v>25</v>
      </c>
      <c r="L60" s="90" t="s">
        <v>25</v>
      </c>
      <c r="M60" s="90" t="s">
        <v>25</v>
      </c>
      <c r="N60" s="90" t="s">
        <v>25</v>
      </c>
      <c r="O60" s="90" t="s">
        <v>25</v>
      </c>
    </row>
    <row r="61">
      <c r="A61" s="21"/>
      <c r="B61" s="22">
        <v>57.0</v>
      </c>
      <c r="C61" s="31" t="s">
        <v>369</v>
      </c>
      <c r="D61" s="31" t="s">
        <v>108</v>
      </c>
      <c r="E61" s="88" t="str">
        <f t="shared" si="2"/>
        <v>9번 중 7번 참여</v>
      </c>
      <c r="F61" s="89">
        <f t="shared" si="3"/>
        <v>0.7777777778</v>
      </c>
      <c r="G61" s="90" t="s">
        <v>25</v>
      </c>
      <c r="H61" s="90" t="s">
        <v>25</v>
      </c>
      <c r="I61" s="90" t="s">
        <v>25</v>
      </c>
      <c r="J61" s="90" t="s">
        <v>25</v>
      </c>
      <c r="K61" s="90" t="s">
        <v>25</v>
      </c>
      <c r="L61" s="90" t="s">
        <v>25</v>
      </c>
      <c r="M61" s="41"/>
      <c r="N61" s="41"/>
      <c r="O61" s="90" t="s">
        <v>25</v>
      </c>
    </row>
    <row r="62">
      <c r="A62" s="29"/>
      <c r="B62" s="30">
        <v>58.0</v>
      </c>
      <c r="C62" s="95" t="s">
        <v>138</v>
      </c>
      <c r="D62" s="23" t="s">
        <v>139</v>
      </c>
      <c r="E62" s="88" t="str">
        <f t="shared" si="2"/>
        <v>9번 중 7번 참여</v>
      </c>
      <c r="F62" s="89">
        <f t="shared" si="3"/>
        <v>0.7777777778</v>
      </c>
      <c r="G62" s="90" t="s">
        <v>25</v>
      </c>
      <c r="H62" s="90" t="s">
        <v>25</v>
      </c>
      <c r="I62" s="90" t="s">
        <v>25</v>
      </c>
      <c r="J62" s="90" t="s">
        <v>25</v>
      </c>
      <c r="K62" s="90" t="s">
        <v>25</v>
      </c>
      <c r="L62" s="90" t="s">
        <v>25</v>
      </c>
      <c r="M62" s="90" t="s">
        <v>25</v>
      </c>
      <c r="N62" s="41"/>
      <c r="O62" s="41"/>
    </row>
    <row r="63">
      <c r="A63" s="21"/>
      <c r="B63" s="22">
        <v>59.0</v>
      </c>
      <c r="C63" s="101" t="s">
        <v>136</v>
      </c>
      <c r="D63" s="31" t="s">
        <v>137</v>
      </c>
      <c r="E63" s="88" t="str">
        <f t="shared" si="2"/>
        <v>9번 중 7번 참여</v>
      </c>
      <c r="F63" s="89">
        <f t="shared" si="3"/>
        <v>0.7777777778</v>
      </c>
      <c r="G63" s="90" t="s">
        <v>25</v>
      </c>
      <c r="H63" s="90" t="s">
        <v>25</v>
      </c>
      <c r="I63" s="90" t="s">
        <v>25</v>
      </c>
      <c r="J63" s="90" t="s">
        <v>25</v>
      </c>
      <c r="K63" s="90" t="s">
        <v>25</v>
      </c>
      <c r="L63" s="90" t="s">
        <v>25</v>
      </c>
      <c r="M63" s="90" t="s">
        <v>25</v>
      </c>
      <c r="N63" s="41"/>
      <c r="O63" s="41"/>
    </row>
    <row r="64">
      <c r="A64" s="29"/>
      <c r="B64" s="30">
        <v>60.0</v>
      </c>
      <c r="C64" s="23" t="s">
        <v>142</v>
      </c>
      <c r="D64" s="23" t="s">
        <v>143</v>
      </c>
      <c r="E64" s="88" t="str">
        <f t="shared" si="2"/>
        <v>9번 중 6번 참여</v>
      </c>
      <c r="F64" s="89">
        <f t="shared" si="3"/>
        <v>0.6666666667</v>
      </c>
      <c r="G64" s="90" t="s">
        <v>25</v>
      </c>
      <c r="H64" s="90" t="s">
        <v>25</v>
      </c>
      <c r="I64" s="41"/>
      <c r="J64" s="41"/>
      <c r="K64" s="90" t="s">
        <v>25</v>
      </c>
      <c r="L64" s="90" t="s">
        <v>25</v>
      </c>
      <c r="M64" s="41"/>
      <c r="N64" s="90" t="s">
        <v>25</v>
      </c>
      <c r="O64" s="90" t="s">
        <v>25</v>
      </c>
    </row>
    <row r="65">
      <c r="A65" s="21"/>
      <c r="B65" s="22">
        <v>61.0</v>
      </c>
      <c r="C65" s="31" t="s">
        <v>144</v>
      </c>
      <c r="D65" s="31" t="s">
        <v>145</v>
      </c>
      <c r="E65" s="88" t="str">
        <f t="shared" si="2"/>
        <v>9번 중 7번 참여</v>
      </c>
      <c r="F65" s="89">
        <f t="shared" si="3"/>
        <v>0.7777777778</v>
      </c>
      <c r="G65" s="90" t="s">
        <v>25</v>
      </c>
      <c r="H65" s="90" t="s">
        <v>25</v>
      </c>
      <c r="I65" s="41"/>
      <c r="J65" s="41"/>
      <c r="K65" s="90" t="s">
        <v>25</v>
      </c>
      <c r="L65" s="90" t="s">
        <v>25</v>
      </c>
      <c r="M65" s="90" t="s">
        <v>25</v>
      </c>
      <c r="N65" s="90" t="s">
        <v>25</v>
      </c>
      <c r="O65" s="90" t="s">
        <v>25</v>
      </c>
    </row>
    <row r="66">
      <c r="A66" s="29"/>
      <c r="B66" s="30">
        <v>62.0</v>
      </c>
      <c r="C66" s="23" t="s">
        <v>146</v>
      </c>
      <c r="D66" s="23" t="s">
        <v>147</v>
      </c>
      <c r="E66" s="88" t="str">
        <f t="shared" si="2"/>
        <v>9번 중 9번 참여</v>
      </c>
      <c r="F66" s="89">
        <f t="shared" si="3"/>
        <v>1</v>
      </c>
      <c r="G66" s="90" t="s">
        <v>25</v>
      </c>
      <c r="H66" s="90" t="s">
        <v>25</v>
      </c>
      <c r="I66" s="90" t="s">
        <v>25</v>
      </c>
      <c r="J66" s="90" t="s">
        <v>25</v>
      </c>
      <c r="K66" s="90" t="s">
        <v>25</v>
      </c>
      <c r="L66" s="90" t="s">
        <v>25</v>
      </c>
      <c r="M66" s="90" t="s">
        <v>25</v>
      </c>
      <c r="N66" s="90" t="s">
        <v>25</v>
      </c>
      <c r="O66" s="90" t="s">
        <v>25</v>
      </c>
    </row>
    <row r="67">
      <c r="A67" s="21"/>
      <c r="B67" s="22">
        <v>63.0</v>
      </c>
      <c r="C67" s="31" t="s">
        <v>148</v>
      </c>
      <c r="D67" s="31" t="s">
        <v>149</v>
      </c>
      <c r="E67" s="88" t="str">
        <f t="shared" si="2"/>
        <v>9번 중 8번 참여</v>
      </c>
      <c r="F67" s="89">
        <f t="shared" si="3"/>
        <v>0.8888888889</v>
      </c>
      <c r="G67" s="90" t="s">
        <v>25</v>
      </c>
      <c r="H67" s="90" t="s">
        <v>25</v>
      </c>
      <c r="I67" s="90" t="s">
        <v>25</v>
      </c>
      <c r="J67" s="41"/>
      <c r="K67" s="90" t="s">
        <v>25</v>
      </c>
      <c r="L67" s="90" t="s">
        <v>25</v>
      </c>
      <c r="M67" s="90" t="s">
        <v>25</v>
      </c>
      <c r="N67" s="90" t="s">
        <v>25</v>
      </c>
      <c r="O67" s="90" t="s">
        <v>25</v>
      </c>
    </row>
    <row r="68">
      <c r="A68" s="29"/>
      <c r="B68" s="30">
        <v>64.0</v>
      </c>
      <c r="C68" s="152" t="s">
        <v>186</v>
      </c>
      <c r="D68" s="152" t="s">
        <v>553</v>
      </c>
      <c r="E68" s="88" t="str">
        <f t="shared" si="2"/>
        <v/>
      </c>
      <c r="F68" s="89" t="str">
        <f t="shared" si="3"/>
        <v/>
      </c>
      <c r="G68" s="41"/>
      <c r="H68" s="41"/>
      <c r="I68" s="41"/>
      <c r="J68" s="41"/>
      <c r="K68" s="41"/>
      <c r="L68" s="41"/>
      <c r="M68" s="41"/>
      <c r="N68" s="41"/>
      <c r="O68" s="41"/>
    </row>
    <row r="69">
      <c r="A69" s="21"/>
      <c r="B69" s="22">
        <v>65.0</v>
      </c>
      <c r="C69" s="23" t="s">
        <v>140</v>
      </c>
      <c r="D69" s="23" t="s">
        <v>141</v>
      </c>
      <c r="E69" s="88" t="str">
        <f t="shared" si="2"/>
        <v>9번 중 8번 참여</v>
      </c>
      <c r="F69" s="89">
        <f t="shared" si="3"/>
        <v>0.8888888889</v>
      </c>
      <c r="G69" s="90" t="s">
        <v>25</v>
      </c>
      <c r="H69" s="90" t="s">
        <v>25</v>
      </c>
      <c r="I69" s="90" t="s">
        <v>25</v>
      </c>
      <c r="J69" s="90" t="s">
        <v>25</v>
      </c>
      <c r="K69" s="90" t="s">
        <v>25</v>
      </c>
      <c r="L69" s="41"/>
      <c r="M69" s="90" t="s">
        <v>25</v>
      </c>
      <c r="N69" s="90" t="s">
        <v>25</v>
      </c>
      <c r="O69" s="90" t="s">
        <v>25</v>
      </c>
    </row>
    <row r="70">
      <c r="A70" s="29"/>
      <c r="B70" s="30">
        <v>66.0</v>
      </c>
      <c r="C70" s="31" t="s">
        <v>150</v>
      </c>
      <c r="D70" s="43" t="s">
        <v>151</v>
      </c>
      <c r="E70" s="88" t="str">
        <f t="shared" si="2"/>
        <v>9번 중 1번 참여</v>
      </c>
      <c r="F70" s="89">
        <f t="shared" si="3"/>
        <v>0.1111111111</v>
      </c>
      <c r="G70" s="90" t="s">
        <v>25</v>
      </c>
      <c r="H70" s="41"/>
      <c r="I70" s="41"/>
      <c r="J70" s="41"/>
      <c r="K70" s="41"/>
      <c r="L70" s="41"/>
      <c r="M70" s="41"/>
      <c r="N70" s="41"/>
      <c r="O70" s="41"/>
    </row>
    <row r="71">
      <c r="A71" s="21"/>
      <c r="B71" s="22">
        <v>67.0</v>
      </c>
      <c r="C71" s="23" t="s">
        <v>152</v>
      </c>
      <c r="D71" s="23" t="s">
        <v>153</v>
      </c>
      <c r="E71" s="88" t="str">
        <f t="shared" si="2"/>
        <v>9번 중 7번 참여</v>
      </c>
      <c r="F71" s="89">
        <f t="shared" si="3"/>
        <v>0.7777777778</v>
      </c>
      <c r="G71" s="90" t="s">
        <v>25</v>
      </c>
      <c r="H71" s="90" t="s">
        <v>25</v>
      </c>
      <c r="I71" s="90" t="s">
        <v>25</v>
      </c>
      <c r="J71" s="41"/>
      <c r="K71" s="90" t="s">
        <v>25</v>
      </c>
      <c r="L71" s="41"/>
      <c r="M71" s="90" t="s">
        <v>25</v>
      </c>
      <c r="N71" s="90" t="s">
        <v>25</v>
      </c>
      <c r="O71" s="90" t="s">
        <v>25</v>
      </c>
    </row>
    <row r="72">
      <c r="A72" s="29"/>
      <c r="B72" s="30">
        <v>68.0</v>
      </c>
      <c r="C72" s="31" t="s">
        <v>386</v>
      </c>
      <c r="D72" s="31" t="s">
        <v>387</v>
      </c>
      <c r="E72" s="88" t="str">
        <f t="shared" si="2"/>
        <v>9번 중 5번 참여</v>
      </c>
      <c r="F72" s="89">
        <f t="shared" si="3"/>
        <v>0.5555555556</v>
      </c>
      <c r="G72" s="41"/>
      <c r="H72" s="90" t="s">
        <v>25</v>
      </c>
      <c r="I72" s="90" t="s">
        <v>25</v>
      </c>
      <c r="J72" s="90" t="s">
        <v>25</v>
      </c>
      <c r="K72" s="41"/>
      <c r="L72" s="90" t="s">
        <v>25</v>
      </c>
      <c r="M72" s="90" t="s">
        <v>25</v>
      </c>
      <c r="N72" s="41"/>
      <c r="O72" s="41"/>
    </row>
    <row r="73">
      <c r="A73" s="21"/>
      <c r="B73" s="22">
        <v>69.0</v>
      </c>
      <c r="C73" s="23" t="s">
        <v>156</v>
      </c>
      <c r="D73" s="23" t="s">
        <v>157</v>
      </c>
      <c r="E73" s="88" t="str">
        <f t="shared" si="2"/>
        <v>9번 중 9번 참여</v>
      </c>
      <c r="F73" s="89">
        <f t="shared" si="3"/>
        <v>1</v>
      </c>
      <c r="G73" s="90" t="s">
        <v>25</v>
      </c>
      <c r="H73" s="90" t="s">
        <v>25</v>
      </c>
      <c r="I73" s="90" t="s">
        <v>25</v>
      </c>
      <c r="J73" s="90" t="s">
        <v>25</v>
      </c>
      <c r="K73" s="90" t="s">
        <v>25</v>
      </c>
      <c r="L73" s="90" t="s">
        <v>25</v>
      </c>
      <c r="M73" s="90" t="s">
        <v>25</v>
      </c>
      <c r="N73" s="90" t="s">
        <v>25</v>
      </c>
      <c r="O73" s="90" t="s">
        <v>25</v>
      </c>
    </row>
    <row r="74">
      <c r="A74" s="29"/>
      <c r="B74" s="30">
        <v>70.0</v>
      </c>
      <c r="C74" s="125" t="s">
        <v>158</v>
      </c>
      <c r="D74" s="125" t="s">
        <v>159</v>
      </c>
      <c r="E74" s="88" t="str">
        <f t="shared" si="2"/>
        <v>9번 중 9번 참여</v>
      </c>
      <c r="F74" s="89">
        <f t="shared" si="3"/>
        <v>1</v>
      </c>
      <c r="G74" s="90" t="s">
        <v>25</v>
      </c>
      <c r="H74" s="90" t="s">
        <v>25</v>
      </c>
      <c r="I74" s="90" t="s">
        <v>25</v>
      </c>
      <c r="J74" s="90" t="s">
        <v>25</v>
      </c>
      <c r="K74" s="90" t="s">
        <v>25</v>
      </c>
      <c r="L74" s="90" t="s">
        <v>25</v>
      </c>
      <c r="M74" s="90" t="s">
        <v>25</v>
      </c>
      <c r="N74" s="90" t="s">
        <v>25</v>
      </c>
      <c r="O74" s="90" t="s">
        <v>25</v>
      </c>
    </row>
    <row r="75">
      <c r="A75" s="21"/>
      <c r="B75" s="22">
        <v>71.0</v>
      </c>
      <c r="C75" s="127" t="s">
        <v>160</v>
      </c>
      <c r="D75" s="127" t="s">
        <v>161</v>
      </c>
      <c r="E75" s="88" t="str">
        <f t="shared" si="2"/>
        <v>9번 중 9번 참여</v>
      </c>
      <c r="F75" s="89">
        <f t="shared" si="3"/>
        <v>1</v>
      </c>
      <c r="G75" s="90" t="s">
        <v>25</v>
      </c>
      <c r="H75" s="90" t="s">
        <v>25</v>
      </c>
      <c r="I75" s="90" t="s">
        <v>25</v>
      </c>
      <c r="J75" s="90" t="s">
        <v>25</v>
      </c>
      <c r="K75" s="90" t="s">
        <v>25</v>
      </c>
      <c r="L75" s="90" t="s">
        <v>25</v>
      </c>
      <c r="M75" s="90" t="s">
        <v>25</v>
      </c>
      <c r="N75" s="90" t="s">
        <v>25</v>
      </c>
      <c r="O75" s="90" t="s">
        <v>25</v>
      </c>
    </row>
    <row r="76">
      <c r="A76" s="29"/>
      <c r="B76" s="30">
        <v>72.0</v>
      </c>
      <c r="C76" s="31" t="s">
        <v>162</v>
      </c>
      <c r="D76" s="31" t="s">
        <v>163</v>
      </c>
      <c r="E76" s="88" t="str">
        <f t="shared" si="2"/>
        <v>9번 중 9번 참여</v>
      </c>
      <c r="F76" s="89">
        <f t="shared" si="3"/>
        <v>1</v>
      </c>
      <c r="G76" s="90" t="s">
        <v>25</v>
      </c>
      <c r="H76" s="90" t="s">
        <v>25</v>
      </c>
      <c r="I76" s="90" t="s">
        <v>25</v>
      </c>
      <c r="J76" s="90" t="s">
        <v>25</v>
      </c>
      <c r="K76" s="90" t="s">
        <v>25</v>
      </c>
      <c r="L76" s="90" t="s">
        <v>25</v>
      </c>
      <c r="M76" s="90" t="s">
        <v>25</v>
      </c>
      <c r="N76" s="90" t="s">
        <v>25</v>
      </c>
      <c r="O76" s="90" t="s">
        <v>25</v>
      </c>
    </row>
    <row r="77">
      <c r="A77" s="21"/>
      <c r="B77" s="22">
        <v>73.0</v>
      </c>
      <c r="C77" s="23" t="s">
        <v>164</v>
      </c>
      <c r="D77" s="23" t="s">
        <v>165</v>
      </c>
      <c r="E77" s="88" t="str">
        <f t="shared" si="2"/>
        <v>9번 중 9번 참여</v>
      </c>
      <c r="F77" s="89">
        <f t="shared" si="3"/>
        <v>1</v>
      </c>
      <c r="G77" s="90" t="s">
        <v>25</v>
      </c>
      <c r="H77" s="90" t="s">
        <v>25</v>
      </c>
      <c r="I77" s="90" t="s">
        <v>25</v>
      </c>
      <c r="J77" s="90" t="s">
        <v>25</v>
      </c>
      <c r="K77" s="90" t="s">
        <v>25</v>
      </c>
      <c r="L77" s="90" t="s">
        <v>25</v>
      </c>
      <c r="M77" s="90" t="s">
        <v>25</v>
      </c>
      <c r="N77" s="90" t="s">
        <v>25</v>
      </c>
      <c r="O77" s="90" t="s">
        <v>25</v>
      </c>
    </row>
    <row r="78">
      <c r="A78" s="29"/>
      <c r="B78" s="30">
        <v>74.0</v>
      </c>
      <c r="C78" s="125" t="s">
        <v>166</v>
      </c>
      <c r="D78" s="125" t="s">
        <v>167</v>
      </c>
      <c r="E78" s="88" t="str">
        <f t="shared" si="2"/>
        <v>9번 중 8번 참여</v>
      </c>
      <c r="F78" s="89">
        <f t="shared" si="3"/>
        <v>0.8888888889</v>
      </c>
      <c r="G78" s="90" t="s">
        <v>25</v>
      </c>
      <c r="H78" s="90" t="s">
        <v>25</v>
      </c>
      <c r="I78" s="90" t="s">
        <v>25</v>
      </c>
      <c r="J78" s="90" t="s">
        <v>25</v>
      </c>
      <c r="K78" s="90" t="s">
        <v>25</v>
      </c>
      <c r="L78" s="90" t="s">
        <v>25</v>
      </c>
      <c r="M78" s="90" t="s">
        <v>25</v>
      </c>
      <c r="N78" s="90" t="s">
        <v>25</v>
      </c>
      <c r="O78" s="41"/>
    </row>
    <row r="79">
      <c r="A79" s="21"/>
      <c r="B79" s="22">
        <v>75.0</v>
      </c>
      <c r="C79" s="155" t="s">
        <v>575</v>
      </c>
      <c r="D79" s="156" t="s">
        <v>556</v>
      </c>
      <c r="E79" s="88" t="str">
        <f t="shared" si="2"/>
        <v/>
      </c>
      <c r="F79" s="89" t="str">
        <f t="shared" si="3"/>
        <v/>
      </c>
      <c r="G79" s="41"/>
      <c r="H79" s="41"/>
      <c r="I79" s="41"/>
      <c r="J79" s="41"/>
      <c r="K79" s="41"/>
      <c r="L79" s="41"/>
      <c r="M79" s="41"/>
      <c r="N79" s="41"/>
      <c r="O79" s="41"/>
    </row>
    <row r="80">
      <c r="A80" s="29"/>
      <c r="B80" s="30">
        <v>76.0</v>
      </c>
      <c r="C80" s="31" t="s">
        <v>154</v>
      </c>
      <c r="D80" s="31" t="s">
        <v>155</v>
      </c>
      <c r="E80" s="88" t="str">
        <f t="shared" si="2"/>
        <v>9번 중 9번 참여</v>
      </c>
      <c r="F80" s="89">
        <f t="shared" si="3"/>
        <v>1</v>
      </c>
      <c r="G80" s="90" t="s">
        <v>25</v>
      </c>
      <c r="H80" s="90" t="s">
        <v>25</v>
      </c>
      <c r="I80" s="90" t="s">
        <v>25</v>
      </c>
      <c r="J80" s="90" t="s">
        <v>25</v>
      </c>
      <c r="K80" s="90" t="s">
        <v>25</v>
      </c>
      <c r="L80" s="90" t="s">
        <v>25</v>
      </c>
      <c r="M80" s="90" t="s">
        <v>25</v>
      </c>
      <c r="N80" s="90" t="s">
        <v>25</v>
      </c>
      <c r="O80" s="90" t="s">
        <v>25</v>
      </c>
    </row>
    <row r="81">
      <c r="A81" s="21"/>
      <c r="B81" s="22">
        <v>77.0</v>
      </c>
      <c r="C81" s="153" t="s">
        <v>430</v>
      </c>
      <c r="D81" s="153" t="s">
        <v>431</v>
      </c>
      <c r="E81" s="88" t="str">
        <f t="shared" si="2"/>
        <v/>
      </c>
      <c r="F81" s="89" t="str">
        <f t="shared" si="3"/>
        <v/>
      </c>
      <c r="G81" s="41"/>
      <c r="H81" s="41"/>
      <c r="I81" s="41"/>
      <c r="J81" s="41"/>
      <c r="K81" s="41"/>
      <c r="L81" s="41"/>
      <c r="M81" s="41"/>
      <c r="N81" s="41"/>
      <c r="O81" s="41"/>
    </row>
    <row r="82">
      <c r="A82" s="29"/>
      <c r="B82" s="30">
        <v>78.0</v>
      </c>
      <c r="C82" s="31" t="s">
        <v>170</v>
      </c>
      <c r="D82" s="31" t="s">
        <v>171</v>
      </c>
      <c r="E82" s="88" t="str">
        <f t="shared" si="2"/>
        <v>9번 중 9번 참여</v>
      </c>
      <c r="F82" s="89">
        <f t="shared" si="3"/>
        <v>1</v>
      </c>
      <c r="G82" s="90" t="s">
        <v>25</v>
      </c>
      <c r="H82" s="90" t="s">
        <v>25</v>
      </c>
      <c r="I82" s="90" t="s">
        <v>25</v>
      </c>
      <c r="J82" s="90" t="s">
        <v>25</v>
      </c>
      <c r="K82" s="90" t="s">
        <v>25</v>
      </c>
      <c r="L82" s="90" t="s">
        <v>25</v>
      </c>
      <c r="M82" s="90" t="s">
        <v>25</v>
      </c>
      <c r="N82" s="90" t="s">
        <v>25</v>
      </c>
      <c r="O82" s="90" t="s">
        <v>25</v>
      </c>
    </row>
    <row r="83">
      <c r="A83" s="21"/>
      <c r="B83" s="22">
        <v>79.0</v>
      </c>
      <c r="C83" s="23" t="s">
        <v>172</v>
      </c>
      <c r="D83" s="23" t="s">
        <v>173</v>
      </c>
      <c r="E83" s="88" t="str">
        <f t="shared" si="2"/>
        <v>9번 중 9번 참여</v>
      </c>
      <c r="F83" s="89">
        <f t="shared" si="3"/>
        <v>1</v>
      </c>
      <c r="G83" s="90" t="s">
        <v>25</v>
      </c>
      <c r="H83" s="90" t="s">
        <v>25</v>
      </c>
      <c r="I83" s="90" t="s">
        <v>25</v>
      </c>
      <c r="J83" s="90" t="s">
        <v>25</v>
      </c>
      <c r="K83" s="90" t="s">
        <v>25</v>
      </c>
      <c r="L83" s="90" t="s">
        <v>25</v>
      </c>
      <c r="M83" s="90" t="s">
        <v>25</v>
      </c>
      <c r="N83" s="90" t="s">
        <v>25</v>
      </c>
      <c r="O83" s="90" t="s">
        <v>25</v>
      </c>
    </row>
    <row r="84">
      <c r="A84" s="29"/>
      <c r="B84" s="30">
        <v>80.0</v>
      </c>
      <c r="C84" s="125" t="s">
        <v>343</v>
      </c>
      <c r="D84" s="125" t="s">
        <v>576</v>
      </c>
      <c r="E84" s="88" t="str">
        <f t="shared" si="2"/>
        <v/>
      </c>
      <c r="F84" s="89" t="str">
        <f t="shared" si="3"/>
        <v/>
      </c>
      <c r="G84" s="41"/>
      <c r="H84" s="41"/>
      <c r="I84" s="41"/>
      <c r="J84" s="41"/>
      <c r="K84" s="41"/>
      <c r="L84" s="41"/>
      <c r="M84" s="41"/>
      <c r="N84" s="41"/>
      <c r="O84" s="41"/>
    </row>
    <row r="85">
      <c r="A85" s="21"/>
      <c r="B85" s="22">
        <v>81.0</v>
      </c>
      <c r="C85" s="115" t="s">
        <v>115</v>
      </c>
      <c r="D85" s="115" t="s">
        <v>577</v>
      </c>
      <c r="E85" s="88" t="str">
        <f t="shared" si="2"/>
        <v/>
      </c>
      <c r="F85" s="89" t="str">
        <f t="shared" si="3"/>
        <v/>
      </c>
      <c r="G85" s="41"/>
      <c r="H85" s="41"/>
      <c r="I85" s="41"/>
      <c r="J85" s="41"/>
      <c r="K85" s="41"/>
      <c r="L85" s="41"/>
      <c r="M85" s="41"/>
      <c r="N85" s="41"/>
      <c r="O85" s="41"/>
    </row>
    <row r="86">
      <c r="A86" s="29"/>
      <c r="B86" s="30">
        <v>82.0</v>
      </c>
      <c r="C86" s="31" t="s">
        <v>174</v>
      </c>
      <c r="D86" s="43" t="s">
        <v>175</v>
      </c>
      <c r="E86" s="88" t="str">
        <f t="shared" si="2"/>
        <v>9번 중 4번 참여</v>
      </c>
      <c r="F86" s="89">
        <f t="shared" si="3"/>
        <v>0.4444444444</v>
      </c>
      <c r="G86" s="41"/>
      <c r="H86" s="90" t="s">
        <v>25</v>
      </c>
      <c r="I86" s="41"/>
      <c r="J86" s="90" t="s">
        <v>25</v>
      </c>
      <c r="K86" s="90" t="s">
        <v>25</v>
      </c>
      <c r="L86" s="41"/>
      <c r="M86" s="90" t="s">
        <v>25</v>
      </c>
      <c r="N86" s="41"/>
      <c r="O86" s="41"/>
    </row>
    <row r="87">
      <c r="A87" s="21"/>
      <c r="B87" s="22">
        <v>83.0</v>
      </c>
      <c r="C87" s="23" t="s">
        <v>168</v>
      </c>
      <c r="D87" s="23" t="s">
        <v>169</v>
      </c>
      <c r="E87" s="88" t="str">
        <f t="shared" si="2"/>
        <v>9번 중 7번 참여</v>
      </c>
      <c r="F87" s="89">
        <f t="shared" si="3"/>
        <v>0.7777777778</v>
      </c>
      <c r="G87" s="90" t="s">
        <v>25</v>
      </c>
      <c r="H87" s="41"/>
      <c r="I87" s="90" t="s">
        <v>25</v>
      </c>
      <c r="J87" s="90" t="s">
        <v>25</v>
      </c>
      <c r="K87" s="90" t="s">
        <v>25</v>
      </c>
      <c r="L87" s="41"/>
      <c r="M87" s="90" t="s">
        <v>25</v>
      </c>
      <c r="N87" s="90" t="s">
        <v>25</v>
      </c>
      <c r="O87" s="90" t="s">
        <v>25</v>
      </c>
    </row>
    <row r="88">
      <c r="A88" s="29"/>
      <c r="B88" s="30">
        <v>84.0</v>
      </c>
      <c r="C88" s="94" t="s">
        <v>578</v>
      </c>
      <c r="D88" s="94" t="s">
        <v>579</v>
      </c>
      <c r="E88" s="88" t="str">
        <f t="shared" si="2"/>
        <v/>
      </c>
      <c r="F88" s="89" t="str">
        <f t="shared" si="3"/>
        <v/>
      </c>
      <c r="G88" s="41"/>
      <c r="H88" s="41"/>
      <c r="I88" s="41"/>
      <c r="J88" s="41"/>
      <c r="K88" s="41"/>
      <c r="L88" s="41"/>
      <c r="M88" s="41"/>
      <c r="N88" s="41"/>
      <c r="O88" s="41"/>
    </row>
    <row r="89">
      <c r="A89" s="21"/>
      <c r="B89" s="22">
        <v>85.0</v>
      </c>
      <c r="C89" s="109" t="s">
        <v>176</v>
      </c>
      <c r="D89" s="109" t="s">
        <v>177</v>
      </c>
      <c r="E89" s="88" t="str">
        <f t="shared" si="2"/>
        <v>9번 중 9번 참여</v>
      </c>
      <c r="F89" s="89">
        <f t="shared" si="3"/>
        <v>1</v>
      </c>
      <c r="G89" s="90" t="s">
        <v>25</v>
      </c>
      <c r="H89" s="90" t="s">
        <v>25</v>
      </c>
      <c r="I89" s="90" t="s">
        <v>25</v>
      </c>
      <c r="J89" s="90" t="s">
        <v>25</v>
      </c>
      <c r="K89" s="90" t="s">
        <v>25</v>
      </c>
      <c r="L89" s="90" t="s">
        <v>25</v>
      </c>
      <c r="M89" s="90" t="s">
        <v>25</v>
      </c>
      <c r="N89" s="90" t="s">
        <v>25</v>
      </c>
      <c r="O89" s="90" t="s">
        <v>25</v>
      </c>
    </row>
    <row r="90">
      <c r="A90" s="29"/>
      <c r="B90" s="30">
        <v>86.0</v>
      </c>
      <c r="C90" s="94" t="s">
        <v>178</v>
      </c>
      <c r="D90" s="94" t="s">
        <v>179</v>
      </c>
      <c r="E90" s="88" t="str">
        <f t="shared" si="2"/>
        <v>9번 중 9번 참여</v>
      </c>
      <c r="F90" s="89">
        <f t="shared" si="3"/>
        <v>1</v>
      </c>
      <c r="G90" s="90" t="s">
        <v>25</v>
      </c>
      <c r="H90" s="90" t="s">
        <v>25</v>
      </c>
      <c r="I90" s="90" t="s">
        <v>25</v>
      </c>
      <c r="J90" s="90" t="s">
        <v>25</v>
      </c>
      <c r="K90" s="90" t="s">
        <v>25</v>
      </c>
      <c r="L90" s="90" t="s">
        <v>25</v>
      </c>
      <c r="M90" s="90" t="s">
        <v>25</v>
      </c>
      <c r="N90" s="90" t="s">
        <v>25</v>
      </c>
      <c r="O90" s="90" t="s">
        <v>25</v>
      </c>
    </row>
    <row r="91">
      <c r="A91" s="21"/>
      <c r="B91" s="22">
        <v>87.0</v>
      </c>
      <c r="C91" s="273" t="s">
        <v>180</v>
      </c>
      <c r="D91" s="273" t="s">
        <v>181</v>
      </c>
      <c r="E91" s="88" t="str">
        <f t="shared" si="2"/>
        <v>9번 중 9번 참여</v>
      </c>
      <c r="F91" s="89">
        <f t="shared" si="3"/>
        <v>1</v>
      </c>
      <c r="G91" s="90" t="s">
        <v>25</v>
      </c>
      <c r="H91" s="90" t="s">
        <v>25</v>
      </c>
      <c r="I91" s="90" t="s">
        <v>25</v>
      </c>
      <c r="J91" s="90" t="s">
        <v>25</v>
      </c>
      <c r="K91" s="90" t="s">
        <v>25</v>
      </c>
      <c r="L91" s="90" t="s">
        <v>25</v>
      </c>
      <c r="M91" s="90" t="s">
        <v>25</v>
      </c>
      <c r="N91" s="90" t="s">
        <v>25</v>
      </c>
      <c r="O91" s="90" t="s">
        <v>25</v>
      </c>
    </row>
    <row r="92">
      <c r="A92" s="29"/>
      <c r="B92" s="30">
        <v>88.0</v>
      </c>
      <c r="C92" s="274" t="s">
        <v>460</v>
      </c>
      <c r="D92" s="284" t="s">
        <v>461</v>
      </c>
      <c r="E92" s="88" t="str">
        <f t="shared" si="2"/>
        <v>9번 중 5번 참여</v>
      </c>
      <c r="F92" s="89">
        <f t="shared" si="3"/>
        <v>0.5555555556</v>
      </c>
      <c r="G92" s="90" t="s">
        <v>25</v>
      </c>
      <c r="H92" s="90" t="s">
        <v>25</v>
      </c>
      <c r="I92" s="90" t="s">
        <v>25</v>
      </c>
      <c r="J92" s="90" t="s">
        <v>25</v>
      </c>
      <c r="K92" s="41"/>
      <c r="L92" s="41"/>
      <c r="M92" s="90" t="s">
        <v>25</v>
      </c>
      <c r="N92" s="41"/>
      <c r="O92" s="41"/>
    </row>
    <row r="93">
      <c r="A93" s="21"/>
      <c r="B93" s="22">
        <v>89.0</v>
      </c>
      <c r="C93" s="275" t="s">
        <v>462</v>
      </c>
      <c r="D93" s="276" t="s">
        <v>463</v>
      </c>
      <c r="E93" s="88" t="str">
        <f t="shared" si="2"/>
        <v>9번 중 4번 참여</v>
      </c>
      <c r="F93" s="89">
        <f t="shared" si="3"/>
        <v>0.4444444444</v>
      </c>
      <c r="G93" s="90" t="s">
        <v>25</v>
      </c>
      <c r="H93" s="90" t="s">
        <v>25</v>
      </c>
      <c r="I93" s="90" t="s">
        <v>25</v>
      </c>
      <c r="J93" s="41"/>
      <c r="K93" s="90" t="s">
        <v>25</v>
      </c>
      <c r="L93" s="41"/>
      <c r="M93" s="41"/>
      <c r="N93" s="41"/>
      <c r="O93" s="41"/>
    </row>
    <row r="94">
      <c r="A94" s="29"/>
      <c r="B94" s="30">
        <v>90.0</v>
      </c>
      <c r="C94" s="109" t="s">
        <v>491</v>
      </c>
      <c r="D94" s="109" t="s">
        <v>492</v>
      </c>
      <c r="E94" s="88" t="str">
        <f t="shared" si="2"/>
        <v>9번 중 1번 참여</v>
      </c>
      <c r="F94" s="89">
        <f t="shared" si="3"/>
        <v>0.1111111111</v>
      </c>
      <c r="G94" s="90" t="s">
        <v>25</v>
      </c>
      <c r="H94" s="41"/>
      <c r="I94" s="41"/>
      <c r="J94" s="41"/>
      <c r="K94" s="41"/>
      <c r="L94" s="41"/>
      <c r="M94" s="41"/>
      <c r="N94" s="41"/>
      <c r="O94" s="41"/>
    </row>
    <row r="95">
      <c r="A95" s="21"/>
      <c r="B95" s="22">
        <v>91.0</v>
      </c>
      <c r="C95" s="275" t="s">
        <v>182</v>
      </c>
      <c r="D95" s="275" t="s">
        <v>183</v>
      </c>
      <c r="E95" s="88" t="str">
        <f t="shared" si="2"/>
        <v>9번 중 7번 참여</v>
      </c>
      <c r="F95" s="89">
        <f t="shared" si="3"/>
        <v>0.7777777778</v>
      </c>
      <c r="G95" s="90" t="s">
        <v>25</v>
      </c>
      <c r="H95" s="90" t="s">
        <v>25</v>
      </c>
      <c r="I95" s="90" t="s">
        <v>25</v>
      </c>
      <c r="J95" s="90" t="s">
        <v>25</v>
      </c>
      <c r="K95" s="90" t="s">
        <v>25</v>
      </c>
      <c r="L95" s="90" t="s">
        <v>25</v>
      </c>
      <c r="M95" s="90" t="s">
        <v>25</v>
      </c>
      <c r="N95" s="41"/>
      <c r="O95" s="41"/>
    </row>
    <row r="96">
      <c r="A96" s="29"/>
      <c r="B96" s="30">
        <v>92.0</v>
      </c>
      <c r="C96" s="274" t="s">
        <v>489</v>
      </c>
      <c r="D96" s="278" t="s">
        <v>490</v>
      </c>
      <c r="E96" s="88" t="str">
        <f t="shared" si="2"/>
        <v>9번 중 9번 참여</v>
      </c>
      <c r="F96" s="89">
        <f t="shared" si="3"/>
        <v>1</v>
      </c>
      <c r="G96" s="90" t="s">
        <v>25</v>
      </c>
      <c r="H96" s="90" t="s">
        <v>25</v>
      </c>
      <c r="I96" s="90" t="s">
        <v>25</v>
      </c>
      <c r="J96" s="90" t="s">
        <v>25</v>
      </c>
      <c r="K96" s="90" t="s">
        <v>25</v>
      </c>
      <c r="L96" s="90" t="s">
        <v>25</v>
      </c>
      <c r="M96" s="90" t="s">
        <v>25</v>
      </c>
      <c r="N96" s="90" t="s">
        <v>25</v>
      </c>
      <c r="O96" s="90" t="s">
        <v>25</v>
      </c>
    </row>
    <row r="97">
      <c r="A97" s="21"/>
      <c r="B97" s="22">
        <v>93.0</v>
      </c>
      <c r="C97" s="111" t="s">
        <v>184</v>
      </c>
      <c r="D97" s="279" t="s">
        <v>580</v>
      </c>
      <c r="E97" s="88" t="str">
        <f t="shared" si="2"/>
        <v>9번 중 9번 참여</v>
      </c>
      <c r="F97" s="89">
        <f t="shared" si="3"/>
        <v>1</v>
      </c>
      <c r="G97" s="90" t="s">
        <v>25</v>
      </c>
      <c r="H97" s="90" t="s">
        <v>25</v>
      </c>
      <c r="I97" s="90" t="s">
        <v>25</v>
      </c>
      <c r="J97" s="90" t="s">
        <v>25</v>
      </c>
      <c r="K97" s="90" t="s">
        <v>25</v>
      </c>
      <c r="L97" s="90" t="s">
        <v>25</v>
      </c>
      <c r="M97" s="90" t="s">
        <v>25</v>
      </c>
      <c r="N97" s="90" t="s">
        <v>25</v>
      </c>
      <c r="O97" s="90" t="s">
        <v>25</v>
      </c>
    </row>
    <row r="98">
      <c r="A98" s="29"/>
      <c r="B98" s="30">
        <v>94.0</v>
      </c>
      <c r="C98" s="130" t="s">
        <v>581</v>
      </c>
      <c r="D98" s="61" t="s">
        <v>127</v>
      </c>
      <c r="E98" s="88" t="str">
        <f t="shared" si="2"/>
        <v/>
      </c>
      <c r="F98" s="89" t="str">
        <f t="shared" si="3"/>
        <v/>
      </c>
      <c r="G98" s="41"/>
      <c r="H98" s="41"/>
      <c r="I98" s="41"/>
      <c r="J98" s="41"/>
      <c r="K98" s="41"/>
      <c r="L98" s="41"/>
      <c r="M98" s="41"/>
      <c r="N98" s="41"/>
      <c r="O98" s="41"/>
    </row>
    <row r="99">
      <c r="A99" s="21"/>
      <c r="B99" s="22">
        <v>95.0</v>
      </c>
      <c r="C99" s="109" t="s">
        <v>582</v>
      </c>
      <c r="D99" s="109" t="s">
        <v>90</v>
      </c>
      <c r="E99" s="88" t="str">
        <f t="shared" si="2"/>
        <v/>
      </c>
      <c r="F99" s="89" t="str">
        <f t="shared" si="3"/>
        <v/>
      </c>
      <c r="G99" s="41"/>
      <c r="H99" s="41"/>
      <c r="I99" s="41"/>
      <c r="J99" s="41"/>
      <c r="K99" s="41"/>
      <c r="L99" s="41"/>
      <c r="M99" s="41"/>
      <c r="N99" s="41"/>
      <c r="O99" s="41"/>
    </row>
    <row r="100">
      <c r="A100" s="29"/>
      <c r="B100" s="30">
        <v>96.0</v>
      </c>
      <c r="C100" s="125" t="s">
        <v>583</v>
      </c>
      <c r="D100" s="125" t="s">
        <v>554</v>
      </c>
      <c r="E100" s="88" t="str">
        <f t="shared" si="2"/>
        <v/>
      </c>
      <c r="F100" s="89" t="str">
        <f t="shared" si="3"/>
        <v/>
      </c>
      <c r="G100" s="41"/>
      <c r="H100" s="41"/>
      <c r="I100" s="41"/>
      <c r="J100" s="41"/>
      <c r="K100" s="41"/>
      <c r="L100" s="41"/>
      <c r="M100" s="41"/>
      <c r="N100" s="41"/>
      <c r="O100" s="41"/>
    </row>
    <row r="101">
      <c r="A101" s="21"/>
      <c r="B101" s="22">
        <v>97.0</v>
      </c>
      <c r="C101" s="109" t="s">
        <v>584</v>
      </c>
      <c r="D101" s="109" t="s">
        <v>492</v>
      </c>
      <c r="E101" s="88" t="str">
        <f t="shared" si="2"/>
        <v/>
      </c>
      <c r="F101" s="89" t="str">
        <f t="shared" si="3"/>
        <v/>
      </c>
      <c r="G101" s="41"/>
      <c r="H101" s="41"/>
      <c r="I101" s="41"/>
      <c r="J101" s="41"/>
      <c r="K101" s="41"/>
      <c r="L101" s="41"/>
      <c r="M101" s="41"/>
      <c r="N101" s="41"/>
      <c r="O101" s="41"/>
    </row>
    <row r="102">
      <c r="A102" s="29"/>
      <c r="B102" s="30">
        <v>98.0</v>
      </c>
      <c r="C102" s="281" t="s">
        <v>134</v>
      </c>
      <c r="D102" s="281" t="s">
        <v>429</v>
      </c>
      <c r="E102" s="88" t="str">
        <f t="shared" si="2"/>
        <v>9번 중 9번 참여</v>
      </c>
      <c r="F102" s="89">
        <f t="shared" si="3"/>
        <v>1</v>
      </c>
      <c r="G102" s="90" t="s">
        <v>25</v>
      </c>
      <c r="H102" s="90" t="s">
        <v>25</v>
      </c>
      <c r="I102" s="90" t="s">
        <v>25</v>
      </c>
      <c r="J102" s="90" t="s">
        <v>25</v>
      </c>
      <c r="K102" s="90" t="s">
        <v>25</v>
      </c>
      <c r="L102" s="90" t="s">
        <v>25</v>
      </c>
      <c r="M102" s="90" t="s">
        <v>25</v>
      </c>
      <c r="N102" s="90" t="s">
        <v>25</v>
      </c>
      <c r="O102" s="90" t="s">
        <v>25</v>
      </c>
    </row>
    <row r="103">
      <c r="A103" s="21"/>
      <c r="B103" s="22">
        <v>99.0</v>
      </c>
      <c r="C103" s="223"/>
      <c r="D103" s="223"/>
      <c r="E103" s="88" t="str">
        <f t="shared" si="2"/>
        <v/>
      </c>
      <c r="F103" s="89" t="str">
        <f t="shared" si="3"/>
        <v/>
      </c>
      <c r="G103" s="41"/>
      <c r="H103" s="41"/>
      <c r="I103" s="41"/>
      <c r="J103" s="41"/>
      <c r="K103" s="41"/>
      <c r="L103" s="41"/>
      <c r="M103" s="41"/>
      <c r="N103" s="41"/>
      <c r="O103" s="41"/>
    </row>
    <row r="104">
      <c r="A104" s="29"/>
      <c r="B104" s="30">
        <v>100.0</v>
      </c>
      <c r="C104" s="67"/>
      <c r="D104" s="67"/>
      <c r="E104" s="88" t="str">
        <f t="shared" si="2"/>
        <v/>
      </c>
      <c r="F104" s="89" t="str">
        <f t="shared" si="3"/>
        <v/>
      </c>
      <c r="G104" s="41"/>
      <c r="H104" s="41"/>
      <c r="I104" s="41"/>
      <c r="J104" s="41"/>
      <c r="K104" s="41"/>
      <c r="L104" s="41"/>
      <c r="M104" s="41"/>
      <c r="N104" s="41"/>
      <c r="O104" s="41"/>
    </row>
    <row r="105">
      <c r="A105" s="21"/>
      <c r="B105" s="22">
        <v>101.0</v>
      </c>
      <c r="C105" s="68"/>
      <c r="D105" s="68"/>
      <c r="E105" s="88" t="str">
        <f t="shared" si="2"/>
        <v/>
      </c>
      <c r="F105" s="89" t="str">
        <f t="shared" si="3"/>
        <v/>
      </c>
      <c r="G105" s="41"/>
      <c r="H105" s="41"/>
      <c r="I105" s="41"/>
      <c r="J105" s="41"/>
      <c r="K105" s="41"/>
      <c r="L105" s="41"/>
      <c r="M105" s="41"/>
      <c r="N105" s="41"/>
      <c r="O105" s="41"/>
    </row>
    <row r="106">
      <c r="A106" s="29"/>
      <c r="B106" s="30">
        <v>102.0</v>
      </c>
      <c r="C106" s="67"/>
      <c r="D106" s="67"/>
      <c r="E106" s="88" t="str">
        <f t="shared" si="2"/>
        <v/>
      </c>
      <c r="F106" s="89" t="str">
        <f t="shared" si="3"/>
        <v/>
      </c>
      <c r="G106" s="41"/>
      <c r="H106" s="41"/>
      <c r="I106" s="41"/>
      <c r="J106" s="41"/>
      <c r="K106" s="41"/>
      <c r="L106" s="41"/>
      <c r="M106" s="41"/>
      <c r="N106" s="41"/>
      <c r="O106" s="41"/>
    </row>
    <row r="107">
      <c r="A107" s="21"/>
      <c r="B107" s="22">
        <v>103.0</v>
      </c>
      <c r="C107" s="68"/>
      <c r="D107" s="68"/>
      <c r="E107" s="88" t="str">
        <f t="shared" si="2"/>
        <v/>
      </c>
      <c r="F107" s="89" t="str">
        <f t="shared" si="3"/>
        <v/>
      </c>
      <c r="G107" s="41"/>
      <c r="H107" s="41"/>
      <c r="I107" s="41"/>
      <c r="J107" s="41"/>
      <c r="K107" s="41"/>
      <c r="L107" s="41"/>
      <c r="M107" s="41"/>
      <c r="N107" s="41"/>
      <c r="O107" s="41"/>
    </row>
    <row r="108">
      <c r="A108" s="29"/>
      <c r="B108" s="30">
        <v>104.0</v>
      </c>
      <c r="C108" s="67"/>
      <c r="D108" s="67"/>
      <c r="E108" s="88" t="str">
        <f t="shared" si="2"/>
        <v/>
      </c>
      <c r="F108" s="89" t="str">
        <f t="shared" si="3"/>
        <v/>
      </c>
      <c r="G108" s="41"/>
      <c r="H108" s="41"/>
      <c r="I108" s="41"/>
      <c r="J108" s="41"/>
      <c r="K108" s="41"/>
      <c r="L108" s="41"/>
      <c r="M108" s="41"/>
      <c r="N108" s="41"/>
      <c r="O108" s="41"/>
    </row>
    <row r="109">
      <c r="A109" s="21"/>
      <c r="B109" s="22">
        <v>105.0</v>
      </c>
      <c r="C109" s="68"/>
      <c r="D109" s="68"/>
      <c r="E109" s="88" t="str">
        <f t="shared" si="2"/>
        <v/>
      </c>
      <c r="F109" s="89" t="str">
        <f t="shared" si="3"/>
        <v/>
      </c>
      <c r="G109" s="41"/>
      <c r="H109" s="41"/>
      <c r="I109" s="41"/>
      <c r="J109" s="41"/>
      <c r="K109" s="41"/>
      <c r="L109" s="41"/>
      <c r="M109" s="41"/>
      <c r="N109" s="41"/>
      <c r="O109" s="41"/>
    </row>
    <row r="110">
      <c r="A110" s="29"/>
      <c r="B110" s="30">
        <v>106.0</v>
      </c>
      <c r="C110" s="67"/>
      <c r="D110" s="67"/>
      <c r="E110" s="88" t="str">
        <f t="shared" si="2"/>
        <v/>
      </c>
      <c r="F110" s="89" t="str">
        <f t="shared" si="3"/>
        <v/>
      </c>
      <c r="G110" s="41"/>
      <c r="H110" s="41"/>
      <c r="I110" s="41"/>
      <c r="J110" s="41"/>
      <c r="K110" s="41"/>
      <c r="L110" s="41"/>
      <c r="M110" s="41"/>
      <c r="N110" s="41"/>
      <c r="O110" s="41"/>
    </row>
    <row r="111">
      <c r="A111" s="21"/>
      <c r="B111" s="22">
        <v>107.0</v>
      </c>
      <c r="C111" s="68"/>
      <c r="D111" s="68"/>
      <c r="E111" s="88" t="str">
        <f t="shared" si="2"/>
        <v/>
      </c>
      <c r="F111" s="89" t="str">
        <f t="shared" si="3"/>
        <v/>
      </c>
      <c r="G111" s="41"/>
      <c r="H111" s="41"/>
      <c r="I111" s="41"/>
      <c r="J111" s="41"/>
      <c r="K111" s="41"/>
      <c r="L111" s="41"/>
      <c r="M111" s="41"/>
      <c r="N111" s="41"/>
      <c r="O111" s="41"/>
    </row>
    <row r="112">
      <c r="A112" s="29"/>
      <c r="B112" s="30">
        <v>108.0</v>
      </c>
      <c r="C112" s="67"/>
      <c r="D112" s="67"/>
      <c r="E112" s="88" t="str">
        <f t="shared" si="2"/>
        <v/>
      </c>
      <c r="F112" s="89" t="str">
        <f t="shared" si="3"/>
        <v/>
      </c>
      <c r="G112" s="41"/>
      <c r="H112" s="41"/>
      <c r="I112" s="41"/>
      <c r="J112" s="41"/>
      <c r="K112" s="41"/>
      <c r="L112" s="41"/>
      <c r="M112" s="41"/>
      <c r="N112" s="41"/>
      <c r="O112" s="41"/>
    </row>
    <row r="113">
      <c r="A113" s="21"/>
      <c r="B113" s="22">
        <v>109.0</v>
      </c>
      <c r="C113" s="68"/>
      <c r="D113" s="68"/>
      <c r="E113" s="88" t="str">
        <f t="shared" si="2"/>
        <v/>
      </c>
      <c r="F113" s="89" t="str">
        <f t="shared" si="3"/>
        <v/>
      </c>
      <c r="G113" s="41"/>
      <c r="H113" s="41"/>
      <c r="I113" s="41"/>
      <c r="J113" s="41"/>
      <c r="K113" s="41"/>
      <c r="L113" s="41"/>
      <c r="M113" s="41"/>
      <c r="N113" s="41"/>
      <c r="O113" s="41"/>
    </row>
    <row r="114">
      <c r="A114" s="29"/>
      <c r="B114" s="30">
        <v>110.0</v>
      </c>
      <c r="C114" s="67"/>
      <c r="D114" s="67"/>
      <c r="E114" s="88" t="str">
        <f t="shared" si="2"/>
        <v/>
      </c>
      <c r="F114" s="89" t="str">
        <f t="shared" si="3"/>
        <v/>
      </c>
      <c r="G114" s="41"/>
      <c r="H114" s="41"/>
      <c r="I114" s="41"/>
      <c r="J114" s="41"/>
      <c r="K114" s="41"/>
      <c r="L114" s="41"/>
      <c r="M114" s="41"/>
      <c r="N114" s="41"/>
      <c r="O114" s="41"/>
    </row>
    <row r="115">
      <c r="A115" s="21"/>
      <c r="B115" s="22">
        <v>111.0</v>
      </c>
      <c r="C115" s="68"/>
      <c r="D115" s="68"/>
      <c r="E115" s="88" t="str">
        <f t="shared" si="2"/>
        <v/>
      </c>
      <c r="F115" s="89" t="str">
        <f t="shared" si="3"/>
        <v/>
      </c>
      <c r="G115" s="41"/>
      <c r="H115" s="41"/>
      <c r="I115" s="41"/>
      <c r="J115" s="41"/>
      <c r="K115" s="41"/>
      <c r="L115" s="41"/>
      <c r="M115" s="41"/>
      <c r="N115" s="41"/>
      <c r="O115" s="41"/>
    </row>
    <row r="116">
      <c r="A116" s="29"/>
      <c r="B116" s="30">
        <v>112.0</v>
      </c>
      <c r="C116" s="67"/>
      <c r="D116" s="67"/>
      <c r="E116" s="88" t="str">
        <f t="shared" si="2"/>
        <v/>
      </c>
      <c r="F116" s="89" t="str">
        <f t="shared" si="3"/>
        <v/>
      </c>
      <c r="G116" s="41"/>
      <c r="H116" s="41"/>
      <c r="I116" s="41"/>
      <c r="J116" s="41"/>
      <c r="K116" s="41"/>
      <c r="L116" s="41"/>
      <c r="M116" s="41"/>
      <c r="N116" s="41"/>
      <c r="O116" s="41"/>
    </row>
    <row r="117">
      <c r="A117" s="21"/>
      <c r="B117" s="22">
        <v>113.0</v>
      </c>
      <c r="C117" s="68"/>
      <c r="D117" s="68"/>
      <c r="E117" s="88" t="str">
        <f t="shared" si="2"/>
        <v/>
      </c>
      <c r="F117" s="89" t="str">
        <f t="shared" si="3"/>
        <v/>
      </c>
      <c r="G117" s="41"/>
      <c r="H117" s="41"/>
      <c r="I117" s="41"/>
      <c r="J117" s="41"/>
      <c r="K117" s="41"/>
      <c r="L117" s="41"/>
      <c r="M117" s="41"/>
      <c r="N117" s="41"/>
      <c r="O117" s="41"/>
    </row>
    <row r="118">
      <c r="A118" s="29"/>
      <c r="B118" s="30">
        <v>114.0</v>
      </c>
      <c r="C118" s="67"/>
      <c r="D118" s="67"/>
      <c r="E118" s="88" t="str">
        <f t="shared" si="2"/>
        <v/>
      </c>
      <c r="F118" s="89" t="str">
        <f t="shared" si="3"/>
        <v/>
      </c>
      <c r="G118" s="41"/>
      <c r="H118" s="41"/>
      <c r="I118" s="41"/>
      <c r="J118" s="41"/>
      <c r="K118" s="41"/>
      <c r="L118" s="41"/>
      <c r="M118" s="41"/>
      <c r="N118" s="41"/>
      <c r="O118" s="41"/>
    </row>
    <row r="119">
      <c r="A119" s="21"/>
      <c r="B119" s="22">
        <v>115.0</v>
      </c>
      <c r="C119" s="68"/>
      <c r="D119" s="68"/>
      <c r="E119" s="88" t="str">
        <f t="shared" si="2"/>
        <v/>
      </c>
      <c r="F119" s="89" t="str">
        <f t="shared" si="3"/>
        <v/>
      </c>
      <c r="G119" s="41"/>
      <c r="H119" s="41"/>
      <c r="I119" s="41"/>
      <c r="J119" s="41"/>
      <c r="K119" s="41"/>
      <c r="L119" s="41"/>
      <c r="M119" s="41"/>
      <c r="N119" s="41"/>
      <c r="O119" s="41"/>
    </row>
    <row r="120">
      <c r="A120" s="29"/>
      <c r="B120" s="30">
        <v>116.0</v>
      </c>
      <c r="C120" s="67"/>
      <c r="D120" s="67"/>
      <c r="E120" s="88" t="str">
        <f t="shared" si="2"/>
        <v/>
      </c>
      <c r="F120" s="89" t="str">
        <f t="shared" si="3"/>
        <v/>
      </c>
      <c r="G120" s="41"/>
      <c r="H120" s="41"/>
      <c r="I120" s="41"/>
      <c r="J120" s="41"/>
      <c r="K120" s="41"/>
      <c r="L120" s="41"/>
      <c r="M120" s="41"/>
      <c r="N120" s="41"/>
      <c r="O120" s="41"/>
    </row>
    <row r="121">
      <c r="A121" s="21"/>
      <c r="B121" s="22">
        <v>117.0</v>
      </c>
      <c r="C121" s="68"/>
      <c r="D121" s="68"/>
      <c r="E121" s="88" t="str">
        <f t="shared" si="2"/>
        <v/>
      </c>
      <c r="F121" s="89" t="str">
        <f t="shared" si="3"/>
        <v/>
      </c>
      <c r="G121" s="41"/>
      <c r="H121" s="41"/>
      <c r="I121" s="41"/>
      <c r="J121" s="41"/>
      <c r="K121" s="41"/>
      <c r="L121" s="41"/>
      <c r="M121" s="41"/>
      <c r="N121" s="41"/>
      <c r="O121" s="41"/>
    </row>
    <row r="122">
      <c r="A122" s="14"/>
      <c r="B122" s="69">
        <v>118.0</v>
      </c>
      <c r="C122" s="70"/>
      <c r="D122" s="70"/>
      <c r="E122" s="88" t="str">
        <f t="shared" si="2"/>
        <v/>
      </c>
      <c r="F122" s="89" t="str">
        <f t="shared" si="3"/>
        <v/>
      </c>
      <c r="G122" s="73"/>
      <c r="H122" s="73"/>
      <c r="I122" s="73"/>
      <c r="J122" s="73"/>
      <c r="K122" s="73"/>
      <c r="L122" s="73"/>
      <c r="M122" s="73"/>
      <c r="N122" s="73"/>
      <c r="O122" s="73"/>
    </row>
    <row r="123">
      <c r="A123" s="14"/>
      <c r="B123" s="69">
        <v>119.0</v>
      </c>
      <c r="C123" s="70"/>
      <c r="D123" s="70"/>
      <c r="E123" s="88" t="str">
        <f t="shared" si="2"/>
        <v/>
      </c>
      <c r="F123" s="89" t="str">
        <f t="shared" si="3"/>
        <v/>
      </c>
      <c r="G123" s="73"/>
      <c r="H123" s="73"/>
      <c r="I123" s="73"/>
      <c r="J123" s="73"/>
      <c r="K123" s="73"/>
      <c r="L123" s="73"/>
      <c r="M123" s="73"/>
      <c r="N123" s="73"/>
      <c r="O123" s="73"/>
    </row>
    <row r="124">
      <c r="A124" s="14"/>
      <c r="B124" s="69">
        <v>120.0</v>
      </c>
      <c r="C124" s="70"/>
      <c r="D124" s="70"/>
      <c r="E124" s="88" t="str">
        <f t="shared" si="2"/>
        <v/>
      </c>
      <c r="F124" s="89" t="str">
        <f t="shared" si="3"/>
        <v/>
      </c>
      <c r="G124" s="73"/>
      <c r="H124" s="73"/>
      <c r="I124" s="73"/>
      <c r="J124" s="73"/>
      <c r="K124" s="73"/>
      <c r="L124" s="73"/>
      <c r="M124" s="73"/>
      <c r="N124" s="73"/>
      <c r="O124" s="73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</row>
  </sheetData>
  <mergeCells count="2">
    <mergeCell ref="B1:D2"/>
    <mergeCell ref="E1:F2"/>
  </mergeCells>
  <dataValidations>
    <dataValidation type="list" allowBlank="1" showErrorMessage="1" sqref="G4:O124">
      <formula1>"선택,완료"</formula1>
    </dataValidation>
  </dataValidations>
  <hyperlinks>
    <hyperlink r:id="rId1" ref="D5"/>
    <hyperlink r:id="rId2" ref="D24"/>
    <hyperlink r:id="rId3" ref="D25"/>
    <hyperlink r:id="rId4" ref="D30"/>
    <hyperlink r:id="rId5" ref="D31"/>
    <hyperlink r:id="rId6" ref="D36"/>
    <hyperlink r:id="rId7" ref="D51"/>
    <hyperlink r:id="rId8" ref="D70"/>
    <hyperlink r:id="rId9" ref="D86"/>
    <hyperlink r:id="rId10" ref="D93"/>
    <hyperlink r:id="rId11" ref="D96"/>
    <hyperlink r:id="rId12" ref="D97"/>
  </hyperlinks>
  <drawing r:id="rId13"/>
  <tableParts count="1">
    <tablePart r:id="rId15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.0"/>
    <col customWidth="1" min="2" max="2" width="5.75"/>
    <col customWidth="1" min="3" max="3" width="18.63"/>
    <col customWidth="1" min="4" max="4" width="21.13"/>
  </cols>
  <sheetData>
    <row r="1">
      <c r="A1" s="1"/>
      <c r="B1" s="75" t="s">
        <v>0</v>
      </c>
      <c r="E1" s="3" t="s">
        <v>1</v>
      </c>
      <c r="G1" s="143" t="s">
        <v>585</v>
      </c>
      <c r="H1" s="143" t="s">
        <v>586</v>
      </c>
      <c r="I1" s="143" t="s">
        <v>587</v>
      </c>
      <c r="J1" s="143" t="s">
        <v>588</v>
      </c>
      <c r="K1" s="143" t="s">
        <v>589</v>
      </c>
      <c r="L1" s="143" t="s">
        <v>590</v>
      </c>
      <c r="M1" s="143" t="s">
        <v>591</v>
      </c>
      <c r="N1" s="143" t="s">
        <v>592</v>
      </c>
    </row>
    <row r="2">
      <c r="A2" s="1"/>
      <c r="G2" s="78" t="s">
        <v>593</v>
      </c>
      <c r="H2" s="78" t="s">
        <v>594</v>
      </c>
      <c r="I2" s="78" t="s">
        <v>595</v>
      </c>
      <c r="J2" s="78" t="s">
        <v>596</v>
      </c>
      <c r="K2" s="78" t="s">
        <v>597</v>
      </c>
      <c r="L2" s="78" t="s">
        <v>598</v>
      </c>
      <c r="M2" s="78" t="s">
        <v>599</v>
      </c>
      <c r="N2" s="78" t="s">
        <v>600</v>
      </c>
    </row>
    <row r="3">
      <c r="A3" s="1"/>
      <c r="B3" s="1"/>
      <c r="C3" s="1"/>
      <c r="D3" s="1"/>
      <c r="E3" s="9"/>
      <c r="F3" s="9"/>
      <c r="G3" s="11" t="str">
        <f t="shared" ref="G3:N3" si="1">COUNTIF(G5:G200, "완료") &amp; "명 완료"
</f>
        <v>65명 완료</v>
      </c>
      <c r="H3" s="11" t="str">
        <f t="shared" si="1"/>
        <v>68명 완료</v>
      </c>
      <c r="I3" s="11" t="str">
        <f t="shared" si="1"/>
        <v>74명 완료</v>
      </c>
      <c r="J3" s="11" t="str">
        <f t="shared" si="1"/>
        <v>74명 완료</v>
      </c>
      <c r="K3" s="11" t="str">
        <f t="shared" si="1"/>
        <v>70명 완료</v>
      </c>
      <c r="L3" s="11" t="str">
        <f t="shared" si="1"/>
        <v>69명 완료</v>
      </c>
      <c r="M3" s="11" t="str">
        <f t="shared" si="1"/>
        <v>62명 완료</v>
      </c>
      <c r="N3" s="11" t="str">
        <f t="shared" si="1"/>
        <v>60명 완료</v>
      </c>
    </row>
    <row r="4">
      <c r="A4" s="220"/>
      <c r="B4" s="81" t="s">
        <v>20</v>
      </c>
      <c r="C4" s="82" t="s">
        <v>21</v>
      </c>
      <c r="D4" s="82" t="s">
        <v>22</v>
      </c>
      <c r="E4" s="83" t="s">
        <v>23</v>
      </c>
      <c r="F4" s="83" t="s">
        <v>24</v>
      </c>
      <c r="G4" s="84" t="s">
        <v>25</v>
      </c>
      <c r="H4" s="84" t="s">
        <v>25</v>
      </c>
      <c r="I4" s="84" t="s">
        <v>25</v>
      </c>
      <c r="J4" s="84" t="s">
        <v>25</v>
      </c>
      <c r="K4" s="84" t="s">
        <v>25</v>
      </c>
      <c r="L4" s="84" t="s">
        <v>25</v>
      </c>
      <c r="M4" s="84" t="s">
        <v>25</v>
      </c>
      <c r="N4" s="84" t="s">
        <v>25</v>
      </c>
    </row>
    <row r="5">
      <c r="A5" s="21"/>
      <c r="B5" s="22">
        <v>1.0</v>
      </c>
      <c r="C5" s="23" t="s">
        <v>26</v>
      </c>
      <c r="D5" s="87" t="s">
        <v>27</v>
      </c>
      <c r="E5" s="88" t="str">
        <f t="shared" ref="E5:E124" si="2">IF(COUNTIF(G5:O5, "완료")=0, "", COUNTIF($G$4:$O$4, "완료") &amp; "번 중 " &amp; COUNTIF(G5:O5, "완료") &amp; "번 참여")
</f>
        <v>8번 중 8번 참여</v>
      </c>
      <c r="F5" s="89">
        <f t="shared" ref="F5:F124" si="3">IF(COUNTIF($G$4:$N$4, "완료")=0, "", IF(COUNTIF(G5:O5, "완료")=0, "", COUNTIF(G5:O5, "완료") / COUNTIF($G$4:$O$4, "완료")))
</f>
        <v>1</v>
      </c>
      <c r="G5" s="90" t="s">
        <v>25</v>
      </c>
      <c r="H5" s="90" t="s">
        <v>25</v>
      </c>
      <c r="I5" s="90" t="s">
        <v>25</v>
      </c>
      <c r="J5" s="90" t="s">
        <v>25</v>
      </c>
      <c r="K5" s="90" t="s">
        <v>25</v>
      </c>
      <c r="L5" s="90" t="s">
        <v>25</v>
      </c>
      <c r="M5" s="90" t="s">
        <v>25</v>
      </c>
      <c r="N5" s="90" t="s">
        <v>25</v>
      </c>
    </row>
    <row r="6">
      <c r="A6" s="29"/>
      <c r="B6" s="30">
        <v>2.0</v>
      </c>
      <c r="C6" s="93" t="s">
        <v>28</v>
      </c>
      <c r="D6" s="93" t="s">
        <v>29</v>
      </c>
      <c r="E6" s="88" t="str">
        <f t="shared" si="2"/>
        <v>8번 중 8번 참여</v>
      </c>
      <c r="F6" s="89">
        <f t="shared" si="3"/>
        <v>1</v>
      </c>
      <c r="G6" s="90" t="s">
        <v>25</v>
      </c>
      <c r="H6" s="90" t="s">
        <v>25</v>
      </c>
      <c r="I6" s="90" t="s">
        <v>25</v>
      </c>
      <c r="J6" s="90" t="s">
        <v>25</v>
      </c>
      <c r="K6" s="90" t="s">
        <v>25</v>
      </c>
      <c r="L6" s="90" t="s">
        <v>25</v>
      </c>
      <c r="M6" s="90" t="s">
        <v>25</v>
      </c>
      <c r="N6" s="90" t="s">
        <v>25</v>
      </c>
    </row>
    <row r="7">
      <c r="A7" s="21"/>
      <c r="B7" s="22">
        <v>3.0</v>
      </c>
      <c r="C7" s="31" t="s">
        <v>30</v>
      </c>
      <c r="D7" s="31" t="s">
        <v>31</v>
      </c>
      <c r="E7" s="88" t="str">
        <f t="shared" si="2"/>
        <v>8번 중 7번 참여</v>
      </c>
      <c r="F7" s="89">
        <f t="shared" si="3"/>
        <v>0.875</v>
      </c>
      <c r="G7" s="90" t="s">
        <v>25</v>
      </c>
      <c r="H7" s="90" t="s">
        <v>25</v>
      </c>
      <c r="I7" s="90" t="s">
        <v>25</v>
      </c>
      <c r="J7" s="90" t="s">
        <v>25</v>
      </c>
      <c r="K7" s="90" t="s">
        <v>25</v>
      </c>
      <c r="L7" s="41"/>
      <c r="M7" s="90" t="s">
        <v>25</v>
      </c>
      <c r="N7" s="90" t="s">
        <v>25</v>
      </c>
    </row>
    <row r="8">
      <c r="A8" s="29"/>
      <c r="B8" s="30">
        <v>4.0</v>
      </c>
      <c r="C8" s="23" t="s">
        <v>32</v>
      </c>
      <c r="D8" s="23" t="s">
        <v>33</v>
      </c>
      <c r="E8" s="88" t="str">
        <f t="shared" si="2"/>
        <v>8번 중 7번 참여</v>
      </c>
      <c r="F8" s="89">
        <f t="shared" si="3"/>
        <v>0.875</v>
      </c>
      <c r="G8" s="90" t="s">
        <v>25</v>
      </c>
      <c r="H8" s="90" t="s">
        <v>25</v>
      </c>
      <c r="I8" s="90" t="s">
        <v>25</v>
      </c>
      <c r="J8" s="90" t="s">
        <v>25</v>
      </c>
      <c r="K8" s="90" t="s">
        <v>25</v>
      </c>
      <c r="L8" s="41"/>
      <c r="M8" s="90" t="s">
        <v>25</v>
      </c>
      <c r="N8" s="90" t="s">
        <v>25</v>
      </c>
    </row>
    <row r="9">
      <c r="A9" s="21"/>
      <c r="B9" s="22">
        <v>5.0</v>
      </c>
      <c r="C9" s="31" t="s">
        <v>34</v>
      </c>
      <c r="D9" s="31" t="s">
        <v>35</v>
      </c>
      <c r="E9" s="88" t="str">
        <f t="shared" si="2"/>
        <v>8번 중 7번 참여</v>
      </c>
      <c r="F9" s="89">
        <f t="shared" si="3"/>
        <v>0.875</v>
      </c>
      <c r="G9" s="41"/>
      <c r="H9" s="90" t="s">
        <v>25</v>
      </c>
      <c r="I9" s="90" t="s">
        <v>25</v>
      </c>
      <c r="J9" s="90" t="s">
        <v>25</v>
      </c>
      <c r="K9" s="90" t="s">
        <v>25</v>
      </c>
      <c r="L9" s="90" t="s">
        <v>25</v>
      </c>
      <c r="M9" s="90" t="s">
        <v>25</v>
      </c>
      <c r="N9" s="90" t="s">
        <v>25</v>
      </c>
    </row>
    <row r="10">
      <c r="A10" s="29"/>
      <c r="B10" s="30">
        <v>6.0</v>
      </c>
      <c r="C10" s="23" t="s">
        <v>36</v>
      </c>
      <c r="D10" s="23" t="s">
        <v>72</v>
      </c>
      <c r="E10" s="88" t="str">
        <f t="shared" si="2"/>
        <v>8번 중 7번 참여</v>
      </c>
      <c r="F10" s="89">
        <f t="shared" si="3"/>
        <v>0.875</v>
      </c>
      <c r="G10" s="41"/>
      <c r="H10" s="90" t="s">
        <v>25</v>
      </c>
      <c r="I10" s="90" t="s">
        <v>25</v>
      </c>
      <c r="J10" s="90" t="s">
        <v>25</v>
      </c>
      <c r="K10" s="90" t="s">
        <v>25</v>
      </c>
      <c r="L10" s="90" t="s">
        <v>25</v>
      </c>
      <c r="M10" s="90" t="s">
        <v>25</v>
      </c>
      <c r="N10" s="90" t="s">
        <v>25</v>
      </c>
    </row>
    <row r="11">
      <c r="A11" s="21"/>
      <c r="B11" s="22">
        <v>7.0</v>
      </c>
      <c r="C11" s="31" t="s">
        <v>38</v>
      </c>
      <c r="D11" s="31" t="s">
        <v>39</v>
      </c>
      <c r="E11" s="88" t="str">
        <f t="shared" si="2"/>
        <v>8번 중 8번 참여</v>
      </c>
      <c r="F11" s="89">
        <f t="shared" si="3"/>
        <v>1</v>
      </c>
      <c r="G11" s="90" t="s">
        <v>25</v>
      </c>
      <c r="H11" s="90" t="s">
        <v>25</v>
      </c>
      <c r="I11" s="90" t="s">
        <v>25</v>
      </c>
      <c r="J11" s="90" t="s">
        <v>25</v>
      </c>
      <c r="K11" s="90" t="s">
        <v>25</v>
      </c>
      <c r="L11" s="90" t="s">
        <v>25</v>
      </c>
      <c r="M11" s="90" t="s">
        <v>25</v>
      </c>
      <c r="N11" s="90" t="s">
        <v>25</v>
      </c>
    </row>
    <row r="12">
      <c r="A12" s="29"/>
      <c r="B12" s="30">
        <v>8.0</v>
      </c>
      <c r="C12" s="23" t="s">
        <v>40</v>
      </c>
      <c r="D12" s="23" t="s">
        <v>41</v>
      </c>
      <c r="E12" s="88" t="str">
        <f t="shared" si="2"/>
        <v>8번 중 8번 참여</v>
      </c>
      <c r="F12" s="89">
        <f t="shared" si="3"/>
        <v>1</v>
      </c>
      <c r="G12" s="90" t="s">
        <v>25</v>
      </c>
      <c r="H12" s="90" t="s">
        <v>25</v>
      </c>
      <c r="I12" s="90" t="s">
        <v>25</v>
      </c>
      <c r="J12" s="90" t="s">
        <v>25</v>
      </c>
      <c r="K12" s="90" t="s">
        <v>25</v>
      </c>
      <c r="L12" s="90" t="s">
        <v>25</v>
      </c>
      <c r="M12" s="90" t="s">
        <v>25</v>
      </c>
      <c r="N12" s="90" t="s">
        <v>25</v>
      </c>
    </row>
    <row r="13">
      <c r="A13" s="21"/>
      <c r="B13" s="22">
        <v>9.0</v>
      </c>
      <c r="C13" s="31" t="s">
        <v>42</v>
      </c>
      <c r="D13" s="31" t="s">
        <v>43</v>
      </c>
      <c r="E13" s="88" t="str">
        <f t="shared" si="2"/>
        <v>8번 중 5번 참여</v>
      </c>
      <c r="F13" s="89">
        <f t="shared" si="3"/>
        <v>0.625</v>
      </c>
      <c r="G13" s="90" t="s">
        <v>25</v>
      </c>
      <c r="H13" s="41"/>
      <c r="I13" s="90" t="s">
        <v>25</v>
      </c>
      <c r="J13" s="90" t="s">
        <v>25</v>
      </c>
      <c r="K13" s="41"/>
      <c r="L13" s="41"/>
      <c r="M13" s="90" t="s">
        <v>25</v>
      </c>
      <c r="N13" s="90" t="s">
        <v>25</v>
      </c>
    </row>
    <row r="14">
      <c r="A14" s="29"/>
      <c r="B14" s="30">
        <v>10.0</v>
      </c>
      <c r="C14" s="127" t="s">
        <v>134</v>
      </c>
      <c r="D14" s="127" t="s">
        <v>429</v>
      </c>
      <c r="E14" s="88" t="str">
        <f t="shared" si="2"/>
        <v>8번 중 7번 참여</v>
      </c>
      <c r="F14" s="89">
        <f t="shared" si="3"/>
        <v>0.875</v>
      </c>
      <c r="G14" s="90" t="s">
        <v>25</v>
      </c>
      <c r="H14" s="90" t="s">
        <v>25</v>
      </c>
      <c r="I14" s="90" t="s">
        <v>25</v>
      </c>
      <c r="J14" s="90" t="s">
        <v>25</v>
      </c>
      <c r="K14" s="90" t="s">
        <v>25</v>
      </c>
      <c r="L14" s="90" t="s">
        <v>25</v>
      </c>
      <c r="M14" s="90" t="s">
        <v>25</v>
      </c>
      <c r="N14" s="41"/>
    </row>
    <row r="15">
      <c r="A15" s="21"/>
      <c r="B15" s="22">
        <v>11.0</v>
      </c>
      <c r="C15" s="155" t="s">
        <v>601</v>
      </c>
      <c r="D15" s="155" t="s">
        <v>602</v>
      </c>
      <c r="E15" s="88" t="str">
        <f t="shared" si="2"/>
        <v>8번 중 8번 참여</v>
      </c>
      <c r="F15" s="89">
        <f t="shared" si="3"/>
        <v>1</v>
      </c>
      <c r="G15" s="90" t="s">
        <v>25</v>
      </c>
      <c r="H15" s="90" t="s">
        <v>25</v>
      </c>
      <c r="I15" s="90" t="s">
        <v>25</v>
      </c>
      <c r="J15" s="90" t="s">
        <v>25</v>
      </c>
      <c r="K15" s="90" t="s">
        <v>25</v>
      </c>
      <c r="L15" s="90" t="s">
        <v>25</v>
      </c>
      <c r="M15" s="90" t="s">
        <v>25</v>
      </c>
      <c r="N15" s="90" t="s">
        <v>25</v>
      </c>
    </row>
    <row r="16">
      <c r="A16" s="29"/>
      <c r="B16" s="30">
        <v>12.0</v>
      </c>
      <c r="C16" s="23" t="s">
        <v>44</v>
      </c>
      <c r="D16" s="23" t="s">
        <v>45</v>
      </c>
      <c r="E16" s="88" t="str">
        <f t="shared" si="2"/>
        <v>8번 중 8번 참여</v>
      </c>
      <c r="F16" s="89">
        <f t="shared" si="3"/>
        <v>1</v>
      </c>
      <c r="G16" s="90" t="s">
        <v>25</v>
      </c>
      <c r="H16" s="90" t="s">
        <v>25</v>
      </c>
      <c r="I16" s="90" t="s">
        <v>25</v>
      </c>
      <c r="J16" s="90" t="s">
        <v>25</v>
      </c>
      <c r="K16" s="90" t="s">
        <v>25</v>
      </c>
      <c r="L16" s="90" t="s">
        <v>25</v>
      </c>
      <c r="M16" s="90" t="s">
        <v>25</v>
      </c>
      <c r="N16" s="90" t="s">
        <v>25</v>
      </c>
    </row>
    <row r="17">
      <c r="A17" s="21"/>
      <c r="B17" s="22">
        <v>13.0</v>
      </c>
      <c r="C17" s="31" t="s">
        <v>46</v>
      </c>
      <c r="D17" s="31" t="s">
        <v>47</v>
      </c>
      <c r="E17" s="88" t="str">
        <f t="shared" si="2"/>
        <v>8번 중 5번 참여</v>
      </c>
      <c r="F17" s="89">
        <f t="shared" si="3"/>
        <v>0.625</v>
      </c>
      <c r="G17" s="90" t="s">
        <v>25</v>
      </c>
      <c r="H17" s="90" t="s">
        <v>25</v>
      </c>
      <c r="I17" s="90" t="s">
        <v>25</v>
      </c>
      <c r="J17" s="90" t="s">
        <v>25</v>
      </c>
      <c r="K17" s="90" t="s">
        <v>25</v>
      </c>
      <c r="L17" s="41"/>
      <c r="M17" s="41"/>
      <c r="N17" s="41"/>
    </row>
    <row r="18">
      <c r="A18" s="29"/>
      <c r="B18" s="30">
        <v>14.0</v>
      </c>
      <c r="C18" s="23" t="s">
        <v>48</v>
      </c>
      <c r="D18" s="23" t="s">
        <v>49</v>
      </c>
      <c r="E18" s="88" t="str">
        <f t="shared" si="2"/>
        <v>8번 중 8번 참여</v>
      </c>
      <c r="F18" s="89">
        <f t="shared" si="3"/>
        <v>1</v>
      </c>
      <c r="G18" s="90" t="s">
        <v>25</v>
      </c>
      <c r="H18" s="90" t="s">
        <v>25</v>
      </c>
      <c r="I18" s="90" t="s">
        <v>25</v>
      </c>
      <c r="J18" s="90" t="s">
        <v>25</v>
      </c>
      <c r="K18" s="90" t="s">
        <v>25</v>
      </c>
      <c r="L18" s="90" t="s">
        <v>25</v>
      </c>
      <c r="M18" s="285" t="s">
        <v>25</v>
      </c>
      <c r="N18" s="90" t="s">
        <v>25</v>
      </c>
    </row>
    <row r="19">
      <c r="A19" s="21"/>
      <c r="B19" s="22">
        <v>15.0</v>
      </c>
      <c r="C19" s="31" t="s">
        <v>50</v>
      </c>
      <c r="D19" s="31" t="s">
        <v>51</v>
      </c>
      <c r="E19" s="88" t="str">
        <f t="shared" si="2"/>
        <v>8번 중 8번 참여</v>
      </c>
      <c r="F19" s="89">
        <f t="shared" si="3"/>
        <v>1</v>
      </c>
      <c r="G19" s="90" t="s">
        <v>25</v>
      </c>
      <c r="H19" s="90" t="s">
        <v>25</v>
      </c>
      <c r="I19" s="90" t="s">
        <v>25</v>
      </c>
      <c r="J19" s="90" t="s">
        <v>25</v>
      </c>
      <c r="K19" s="90" t="s">
        <v>25</v>
      </c>
      <c r="L19" s="90" t="s">
        <v>25</v>
      </c>
      <c r="M19" s="90" t="s">
        <v>25</v>
      </c>
      <c r="N19" s="90" t="s">
        <v>25</v>
      </c>
    </row>
    <row r="20">
      <c r="A20" s="29"/>
      <c r="B20" s="30">
        <v>16.0</v>
      </c>
      <c r="C20" s="23" t="s">
        <v>52</v>
      </c>
      <c r="D20" s="23" t="s">
        <v>53</v>
      </c>
      <c r="E20" s="88" t="str">
        <f t="shared" si="2"/>
        <v>8번 중 7번 참여</v>
      </c>
      <c r="F20" s="89">
        <f t="shared" si="3"/>
        <v>0.875</v>
      </c>
      <c r="G20" s="90" t="s">
        <v>25</v>
      </c>
      <c r="H20" s="90" t="s">
        <v>25</v>
      </c>
      <c r="I20" s="90" t="s">
        <v>25</v>
      </c>
      <c r="J20" s="90" t="s">
        <v>25</v>
      </c>
      <c r="K20" s="90" t="s">
        <v>25</v>
      </c>
      <c r="L20" s="90" t="s">
        <v>25</v>
      </c>
      <c r="M20" s="90" t="s">
        <v>25</v>
      </c>
      <c r="N20" s="41"/>
    </row>
    <row r="21">
      <c r="A21" s="21"/>
      <c r="B21" s="22">
        <v>17.0</v>
      </c>
      <c r="C21" s="155" t="s">
        <v>54</v>
      </c>
      <c r="D21" s="155" t="s">
        <v>55</v>
      </c>
      <c r="E21" s="88" t="str">
        <f t="shared" si="2"/>
        <v>8번 중 7번 참여</v>
      </c>
      <c r="F21" s="89">
        <f t="shared" si="3"/>
        <v>0.875</v>
      </c>
      <c r="G21" s="90" t="s">
        <v>25</v>
      </c>
      <c r="H21" s="41"/>
      <c r="I21" s="90" t="s">
        <v>25</v>
      </c>
      <c r="J21" s="90" t="s">
        <v>25</v>
      </c>
      <c r="K21" s="90" t="s">
        <v>25</v>
      </c>
      <c r="L21" s="90" t="s">
        <v>25</v>
      </c>
      <c r="M21" s="90" t="s">
        <v>25</v>
      </c>
      <c r="N21" s="90" t="s">
        <v>25</v>
      </c>
    </row>
    <row r="22">
      <c r="A22" s="29"/>
      <c r="B22" s="30">
        <v>18.0</v>
      </c>
      <c r="C22" s="23" t="s">
        <v>56</v>
      </c>
      <c r="D22" s="23" t="s">
        <v>57</v>
      </c>
      <c r="E22" s="88" t="str">
        <f t="shared" si="2"/>
        <v>8번 중 8번 참여</v>
      </c>
      <c r="F22" s="89">
        <f t="shared" si="3"/>
        <v>1</v>
      </c>
      <c r="G22" s="90" t="s">
        <v>25</v>
      </c>
      <c r="H22" s="90" t="s">
        <v>25</v>
      </c>
      <c r="I22" s="90" t="s">
        <v>25</v>
      </c>
      <c r="J22" s="90" t="s">
        <v>25</v>
      </c>
      <c r="K22" s="90" t="s">
        <v>25</v>
      </c>
      <c r="L22" s="90" t="s">
        <v>25</v>
      </c>
      <c r="M22" s="90" t="s">
        <v>25</v>
      </c>
      <c r="N22" s="90" t="s">
        <v>25</v>
      </c>
    </row>
    <row r="23">
      <c r="A23" s="21"/>
      <c r="B23" s="22">
        <v>19.0</v>
      </c>
      <c r="C23" s="31" t="s">
        <v>58</v>
      </c>
      <c r="D23" s="97" t="s">
        <v>59</v>
      </c>
      <c r="E23" s="88" t="str">
        <f t="shared" si="2"/>
        <v/>
      </c>
      <c r="F23" s="89" t="str">
        <f t="shared" si="3"/>
        <v/>
      </c>
      <c r="G23" s="41"/>
      <c r="H23" s="41"/>
      <c r="I23" s="41"/>
      <c r="J23" s="41"/>
      <c r="K23" s="41"/>
      <c r="L23" s="41"/>
      <c r="M23" s="41"/>
      <c r="N23" s="41"/>
    </row>
    <row r="24">
      <c r="A24" s="29"/>
      <c r="B24" s="30">
        <v>20.0</v>
      </c>
      <c r="C24" s="23" t="s">
        <v>60</v>
      </c>
      <c r="D24" s="87" t="s">
        <v>61</v>
      </c>
      <c r="E24" s="88" t="str">
        <f t="shared" si="2"/>
        <v>8번 중 8번 참여</v>
      </c>
      <c r="F24" s="89">
        <f t="shared" si="3"/>
        <v>1</v>
      </c>
      <c r="G24" s="90" t="s">
        <v>25</v>
      </c>
      <c r="H24" s="90" t="s">
        <v>25</v>
      </c>
      <c r="I24" s="90" t="s">
        <v>25</v>
      </c>
      <c r="J24" s="90" t="s">
        <v>25</v>
      </c>
      <c r="K24" s="90" t="s">
        <v>25</v>
      </c>
      <c r="L24" s="90" t="s">
        <v>25</v>
      </c>
      <c r="M24" s="90" t="s">
        <v>25</v>
      </c>
      <c r="N24" s="90" t="s">
        <v>25</v>
      </c>
    </row>
    <row r="25">
      <c r="A25" s="21"/>
      <c r="B25" s="22">
        <v>21.0</v>
      </c>
      <c r="C25" s="98" t="s">
        <v>62</v>
      </c>
      <c r="D25" s="99" t="s">
        <v>63</v>
      </c>
      <c r="E25" s="88" t="str">
        <f t="shared" si="2"/>
        <v>8번 중 8번 참여</v>
      </c>
      <c r="F25" s="89">
        <f t="shared" si="3"/>
        <v>1</v>
      </c>
      <c r="G25" s="90" t="s">
        <v>25</v>
      </c>
      <c r="H25" s="90" t="s">
        <v>25</v>
      </c>
      <c r="I25" s="90" t="s">
        <v>25</v>
      </c>
      <c r="J25" s="90" t="s">
        <v>25</v>
      </c>
      <c r="K25" s="90" t="s">
        <v>25</v>
      </c>
      <c r="L25" s="90" t="s">
        <v>25</v>
      </c>
      <c r="M25" s="90" t="s">
        <v>25</v>
      </c>
      <c r="N25" s="90" t="s">
        <v>25</v>
      </c>
    </row>
    <row r="26">
      <c r="A26" s="29"/>
      <c r="B26" s="30">
        <v>22.0</v>
      </c>
      <c r="C26" s="23" t="s">
        <v>64</v>
      </c>
      <c r="D26" s="100" t="s">
        <v>65</v>
      </c>
      <c r="E26" s="88" t="str">
        <f t="shared" si="2"/>
        <v>8번 중 8번 참여</v>
      </c>
      <c r="F26" s="89">
        <f t="shared" si="3"/>
        <v>1</v>
      </c>
      <c r="G26" s="90" t="s">
        <v>25</v>
      </c>
      <c r="H26" s="90" t="s">
        <v>25</v>
      </c>
      <c r="I26" s="90" t="s">
        <v>25</v>
      </c>
      <c r="J26" s="90" t="s">
        <v>25</v>
      </c>
      <c r="K26" s="90" t="s">
        <v>25</v>
      </c>
      <c r="L26" s="90" t="s">
        <v>25</v>
      </c>
      <c r="M26" s="90" t="s">
        <v>25</v>
      </c>
      <c r="N26" s="90" t="s">
        <v>25</v>
      </c>
    </row>
    <row r="27">
      <c r="A27" s="21"/>
      <c r="B27" s="22">
        <v>23.0</v>
      </c>
      <c r="C27" s="101" t="s">
        <v>66</v>
      </c>
      <c r="D27" s="102" t="s">
        <v>67</v>
      </c>
      <c r="E27" s="88" t="str">
        <f t="shared" si="2"/>
        <v>8번 중 8번 참여</v>
      </c>
      <c r="F27" s="89">
        <f t="shared" si="3"/>
        <v>1</v>
      </c>
      <c r="G27" s="90" t="s">
        <v>25</v>
      </c>
      <c r="H27" s="90" t="s">
        <v>25</v>
      </c>
      <c r="I27" s="90" t="s">
        <v>25</v>
      </c>
      <c r="J27" s="90" t="s">
        <v>25</v>
      </c>
      <c r="K27" s="90" t="s">
        <v>25</v>
      </c>
      <c r="L27" s="90" t="s">
        <v>25</v>
      </c>
      <c r="M27" s="90" t="s">
        <v>25</v>
      </c>
      <c r="N27" s="90" t="s">
        <v>25</v>
      </c>
    </row>
    <row r="28">
      <c r="A28" s="29"/>
      <c r="B28" s="30">
        <v>24.0</v>
      </c>
      <c r="C28" s="103" t="s">
        <v>68</v>
      </c>
      <c r="D28" s="104" t="s">
        <v>69</v>
      </c>
      <c r="E28" s="88" t="str">
        <f t="shared" si="2"/>
        <v/>
      </c>
      <c r="F28" s="89" t="str">
        <f t="shared" si="3"/>
        <v/>
      </c>
      <c r="G28" s="41"/>
      <c r="H28" s="41"/>
      <c r="I28" s="41"/>
      <c r="J28" s="41"/>
      <c r="K28" s="41"/>
      <c r="L28" s="41"/>
      <c r="M28" s="41"/>
      <c r="N28" s="41"/>
    </row>
    <row r="29">
      <c r="A29" s="21"/>
      <c r="B29" s="22">
        <v>25.0</v>
      </c>
      <c r="C29" s="31" t="s">
        <v>74</v>
      </c>
      <c r="D29" s="97" t="s">
        <v>75</v>
      </c>
      <c r="E29" s="88" t="str">
        <f t="shared" si="2"/>
        <v>8번 중 6번 참여</v>
      </c>
      <c r="F29" s="89">
        <f t="shared" si="3"/>
        <v>0.75</v>
      </c>
      <c r="G29" s="41"/>
      <c r="H29" s="90" t="s">
        <v>25</v>
      </c>
      <c r="I29" s="90" t="s">
        <v>25</v>
      </c>
      <c r="J29" s="90" t="s">
        <v>25</v>
      </c>
      <c r="K29" s="41"/>
      <c r="L29" s="90" t="s">
        <v>25</v>
      </c>
      <c r="M29" s="90" t="s">
        <v>25</v>
      </c>
      <c r="N29" s="90" t="s">
        <v>25</v>
      </c>
    </row>
    <row r="30">
      <c r="A30" s="29"/>
      <c r="B30" s="30">
        <v>26.0</v>
      </c>
      <c r="C30" s="23" t="s">
        <v>76</v>
      </c>
      <c r="D30" s="87" t="s">
        <v>77</v>
      </c>
      <c r="E30" s="88" t="str">
        <f t="shared" si="2"/>
        <v>8번 중 8번 참여</v>
      </c>
      <c r="F30" s="89">
        <f t="shared" si="3"/>
        <v>1</v>
      </c>
      <c r="G30" s="90" t="s">
        <v>25</v>
      </c>
      <c r="H30" s="90" t="s">
        <v>25</v>
      </c>
      <c r="I30" s="90" t="s">
        <v>25</v>
      </c>
      <c r="J30" s="90" t="s">
        <v>25</v>
      </c>
      <c r="K30" s="90" t="s">
        <v>25</v>
      </c>
      <c r="L30" s="90" t="s">
        <v>25</v>
      </c>
      <c r="M30" s="90" t="s">
        <v>25</v>
      </c>
      <c r="N30" s="90" t="s">
        <v>25</v>
      </c>
    </row>
    <row r="31">
      <c r="A31" s="21"/>
      <c r="B31" s="22">
        <v>27.0</v>
      </c>
      <c r="C31" s="31" t="s">
        <v>78</v>
      </c>
      <c r="D31" s="151" t="s">
        <v>79</v>
      </c>
      <c r="E31" s="88" t="str">
        <f t="shared" si="2"/>
        <v>8번 중 8번 참여</v>
      </c>
      <c r="F31" s="89">
        <f t="shared" si="3"/>
        <v>1</v>
      </c>
      <c r="G31" s="90" t="s">
        <v>25</v>
      </c>
      <c r="H31" s="90" t="s">
        <v>25</v>
      </c>
      <c r="I31" s="90" t="s">
        <v>25</v>
      </c>
      <c r="J31" s="90" t="s">
        <v>25</v>
      </c>
      <c r="K31" s="90" t="s">
        <v>25</v>
      </c>
      <c r="L31" s="90" t="s">
        <v>25</v>
      </c>
      <c r="M31" s="90" t="s">
        <v>25</v>
      </c>
      <c r="N31" s="90" t="s">
        <v>25</v>
      </c>
    </row>
    <row r="32">
      <c r="A32" s="29"/>
      <c r="B32" s="30">
        <v>28.0</v>
      </c>
      <c r="C32" s="155" t="s">
        <v>339</v>
      </c>
      <c r="D32" s="155" t="s">
        <v>340</v>
      </c>
      <c r="E32" s="88" t="str">
        <f t="shared" si="2"/>
        <v/>
      </c>
      <c r="F32" s="89" t="str">
        <f t="shared" si="3"/>
        <v/>
      </c>
      <c r="G32" s="41"/>
      <c r="H32" s="41"/>
      <c r="I32" s="41"/>
      <c r="J32" s="41"/>
      <c r="K32" s="41"/>
      <c r="L32" s="41"/>
      <c r="M32" s="41"/>
      <c r="N32" s="41"/>
    </row>
    <row r="33">
      <c r="A33" s="21"/>
      <c r="B33" s="22">
        <v>29.0</v>
      </c>
      <c r="C33" s="31" t="s">
        <v>81</v>
      </c>
      <c r="D33" s="31" t="s">
        <v>82</v>
      </c>
      <c r="E33" s="88" t="str">
        <f t="shared" si="2"/>
        <v>8번 중 7번 참여</v>
      </c>
      <c r="F33" s="89">
        <f t="shared" si="3"/>
        <v>0.875</v>
      </c>
      <c r="G33" s="41"/>
      <c r="H33" s="90" t="s">
        <v>25</v>
      </c>
      <c r="I33" s="90" t="s">
        <v>25</v>
      </c>
      <c r="J33" s="90" t="s">
        <v>25</v>
      </c>
      <c r="K33" s="90" t="s">
        <v>25</v>
      </c>
      <c r="L33" s="90" t="s">
        <v>25</v>
      </c>
      <c r="M33" s="90" t="s">
        <v>25</v>
      </c>
      <c r="N33" s="90" t="s">
        <v>25</v>
      </c>
    </row>
    <row r="34">
      <c r="A34" s="29"/>
      <c r="B34" s="30">
        <v>30.0</v>
      </c>
      <c r="C34" s="93" t="s">
        <v>83</v>
      </c>
      <c r="D34" s="108" t="s">
        <v>84</v>
      </c>
      <c r="E34" s="88" t="str">
        <f t="shared" si="2"/>
        <v>8번 중 1번 참여</v>
      </c>
      <c r="F34" s="89">
        <f t="shared" si="3"/>
        <v>0.125</v>
      </c>
      <c r="G34" s="90" t="s">
        <v>25</v>
      </c>
      <c r="H34" s="41"/>
      <c r="I34" s="41"/>
      <c r="J34" s="41"/>
      <c r="K34" s="41"/>
      <c r="L34" s="41"/>
      <c r="M34" s="41"/>
      <c r="N34" s="41"/>
    </row>
    <row r="35">
      <c r="A35" s="21"/>
      <c r="B35" s="22">
        <v>31.0</v>
      </c>
      <c r="C35" s="31" t="s">
        <v>85</v>
      </c>
      <c r="D35" s="97" t="s">
        <v>86</v>
      </c>
      <c r="E35" s="88" t="str">
        <f t="shared" si="2"/>
        <v>8번 중 7번 참여</v>
      </c>
      <c r="F35" s="89">
        <f t="shared" si="3"/>
        <v>0.875</v>
      </c>
      <c r="G35" s="41"/>
      <c r="H35" s="90" t="s">
        <v>25</v>
      </c>
      <c r="I35" s="90" t="s">
        <v>25</v>
      </c>
      <c r="J35" s="90" t="s">
        <v>25</v>
      </c>
      <c r="K35" s="90" t="s">
        <v>25</v>
      </c>
      <c r="L35" s="90" t="s">
        <v>25</v>
      </c>
      <c r="M35" s="90" t="s">
        <v>25</v>
      </c>
      <c r="N35" s="90" t="s">
        <v>25</v>
      </c>
    </row>
    <row r="36">
      <c r="A36" s="29"/>
      <c r="B36" s="30">
        <v>32.0</v>
      </c>
      <c r="C36" s="23" t="s">
        <v>87</v>
      </c>
      <c r="D36" s="87" t="s">
        <v>88</v>
      </c>
      <c r="E36" s="88" t="str">
        <f t="shared" si="2"/>
        <v>8번 중 4번 참여</v>
      </c>
      <c r="F36" s="89">
        <f t="shared" si="3"/>
        <v>0.5</v>
      </c>
      <c r="G36" s="41"/>
      <c r="H36" s="41"/>
      <c r="I36" s="90" t="s">
        <v>25</v>
      </c>
      <c r="J36" s="41"/>
      <c r="K36" s="90" t="s">
        <v>25</v>
      </c>
      <c r="L36" s="90" t="s">
        <v>25</v>
      </c>
      <c r="M36" s="41"/>
      <c r="N36" s="90" t="s">
        <v>25</v>
      </c>
    </row>
    <row r="37">
      <c r="A37" s="21"/>
      <c r="B37" s="22">
        <v>33.0</v>
      </c>
      <c r="C37" s="109" t="s">
        <v>89</v>
      </c>
      <c r="D37" s="110" t="s">
        <v>90</v>
      </c>
      <c r="E37" s="88" t="str">
        <f t="shared" si="2"/>
        <v>8번 중 4번 참여</v>
      </c>
      <c r="F37" s="89">
        <f t="shared" si="3"/>
        <v>0.5</v>
      </c>
      <c r="G37" s="90" t="s">
        <v>25</v>
      </c>
      <c r="H37" s="41"/>
      <c r="I37" s="90" t="s">
        <v>25</v>
      </c>
      <c r="J37" s="90" t="s">
        <v>25</v>
      </c>
      <c r="K37" s="90" t="s">
        <v>25</v>
      </c>
      <c r="L37" s="41"/>
      <c r="M37" s="41"/>
      <c r="N37" s="41"/>
    </row>
    <row r="38">
      <c r="A38" s="29"/>
      <c r="B38" s="30">
        <v>34.0</v>
      </c>
      <c r="C38" s="61" t="s">
        <v>91</v>
      </c>
      <c r="D38" s="61" t="s">
        <v>92</v>
      </c>
      <c r="E38" s="88" t="str">
        <f t="shared" si="2"/>
        <v>8번 중 7번 참여</v>
      </c>
      <c r="F38" s="89">
        <f t="shared" si="3"/>
        <v>0.875</v>
      </c>
      <c r="G38" s="90" t="s">
        <v>25</v>
      </c>
      <c r="H38" s="90" t="s">
        <v>25</v>
      </c>
      <c r="I38" s="90" t="s">
        <v>25</v>
      </c>
      <c r="J38" s="90" t="s">
        <v>25</v>
      </c>
      <c r="K38" s="90" t="s">
        <v>25</v>
      </c>
      <c r="L38" s="90" t="s">
        <v>25</v>
      </c>
      <c r="M38" s="41"/>
      <c r="N38" s="90" t="s">
        <v>25</v>
      </c>
    </row>
    <row r="39">
      <c r="A39" s="21"/>
      <c r="B39" s="22">
        <v>35.0</v>
      </c>
      <c r="C39" s="31" t="s">
        <v>93</v>
      </c>
      <c r="D39" s="31" t="s">
        <v>94</v>
      </c>
      <c r="E39" s="88" t="str">
        <f t="shared" si="2"/>
        <v>8번 중 6번 참여</v>
      </c>
      <c r="F39" s="89">
        <f t="shared" si="3"/>
        <v>0.75</v>
      </c>
      <c r="G39" s="90" t="s">
        <v>25</v>
      </c>
      <c r="H39" s="90" t="s">
        <v>25</v>
      </c>
      <c r="I39" s="90" t="s">
        <v>25</v>
      </c>
      <c r="J39" s="90" t="s">
        <v>25</v>
      </c>
      <c r="K39" s="90" t="s">
        <v>25</v>
      </c>
      <c r="L39" s="41"/>
      <c r="M39" s="90" t="s">
        <v>80</v>
      </c>
      <c r="N39" s="90" t="s">
        <v>25</v>
      </c>
    </row>
    <row r="40">
      <c r="A40" s="29"/>
      <c r="B40" s="30">
        <v>36.0</v>
      </c>
      <c r="C40" s="23" t="s">
        <v>124</v>
      </c>
      <c r="D40" s="23" t="s">
        <v>125</v>
      </c>
      <c r="E40" s="88" t="str">
        <f t="shared" si="2"/>
        <v>8번 중 8번 참여</v>
      </c>
      <c r="F40" s="89">
        <f t="shared" si="3"/>
        <v>1</v>
      </c>
      <c r="G40" s="90" t="s">
        <v>25</v>
      </c>
      <c r="H40" s="90" t="s">
        <v>25</v>
      </c>
      <c r="I40" s="90" t="s">
        <v>25</v>
      </c>
      <c r="J40" s="90" t="s">
        <v>25</v>
      </c>
      <c r="K40" s="90" t="s">
        <v>25</v>
      </c>
      <c r="L40" s="90" t="s">
        <v>25</v>
      </c>
      <c r="M40" s="90" t="s">
        <v>25</v>
      </c>
      <c r="N40" s="90" t="s">
        <v>25</v>
      </c>
    </row>
    <row r="41">
      <c r="A41" s="21"/>
      <c r="B41" s="22">
        <v>37.0</v>
      </c>
      <c r="C41" s="31" t="s">
        <v>128</v>
      </c>
      <c r="D41" s="31" t="s">
        <v>129</v>
      </c>
      <c r="E41" s="88" t="str">
        <f t="shared" si="2"/>
        <v>8번 중 8번 참여</v>
      </c>
      <c r="F41" s="89">
        <f t="shared" si="3"/>
        <v>1</v>
      </c>
      <c r="G41" s="90" t="s">
        <v>25</v>
      </c>
      <c r="H41" s="90" t="s">
        <v>25</v>
      </c>
      <c r="I41" s="90" t="s">
        <v>25</v>
      </c>
      <c r="J41" s="90" t="s">
        <v>25</v>
      </c>
      <c r="K41" s="90" t="s">
        <v>25</v>
      </c>
      <c r="L41" s="90" t="s">
        <v>25</v>
      </c>
      <c r="M41" s="90" t="s">
        <v>25</v>
      </c>
      <c r="N41" s="90" t="s">
        <v>25</v>
      </c>
    </row>
    <row r="42">
      <c r="A42" s="29"/>
      <c r="B42" s="30">
        <v>38.0</v>
      </c>
      <c r="C42" s="23" t="s">
        <v>99</v>
      </c>
      <c r="D42" s="23" t="s">
        <v>100</v>
      </c>
      <c r="E42" s="88" t="str">
        <f t="shared" si="2"/>
        <v>8번 중 8번 참여</v>
      </c>
      <c r="F42" s="89">
        <f t="shared" si="3"/>
        <v>1</v>
      </c>
      <c r="G42" s="90" t="s">
        <v>25</v>
      </c>
      <c r="H42" s="90" t="s">
        <v>25</v>
      </c>
      <c r="I42" s="90" t="s">
        <v>25</v>
      </c>
      <c r="J42" s="90" t="s">
        <v>25</v>
      </c>
      <c r="K42" s="90" t="s">
        <v>25</v>
      </c>
      <c r="L42" s="90" t="s">
        <v>25</v>
      </c>
      <c r="M42" s="90" t="s">
        <v>25</v>
      </c>
      <c r="N42" s="90" t="s">
        <v>25</v>
      </c>
    </row>
    <row r="43">
      <c r="A43" s="21"/>
      <c r="B43" s="22">
        <v>39.0</v>
      </c>
      <c r="C43" s="31" t="s">
        <v>347</v>
      </c>
      <c r="D43" s="31" t="s">
        <v>348</v>
      </c>
      <c r="E43" s="88" t="str">
        <f t="shared" si="2"/>
        <v>8번 중 8번 참여</v>
      </c>
      <c r="F43" s="89">
        <f t="shared" si="3"/>
        <v>1</v>
      </c>
      <c r="G43" s="90" t="s">
        <v>25</v>
      </c>
      <c r="H43" s="90" t="s">
        <v>25</v>
      </c>
      <c r="I43" s="90" t="s">
        <v>25</v>
      </c>
      <c r="J43" s="90" t="s">
        <v>25</v>
      </c>
      <c r="K43" s="90" t="s">
        <v>25</v>
      </c>
      <c r="L43" s="90" t="s">
        <v>25</v>
      </c>
      <c r="M43" s="90" t="s">
        <v>25</v>
      </c>
      <c r="N43" s="90" t="s">
        <v>25</v>
      </c>
    </row>
    <row r="44">
      <c r="A44" s="29"/>
      <c r="B44" s="30">
        <v>40.0</v>
      </c>
      <c r="C44" s="23" t="s">
        <v>95</v>
      </c>
      <c r="D44" s="23" t="s">
        <v>96</v>
      </c>
      <c r="E44" s="88" t="str">
        <f t="shared" si="2"/>
        <v>8번 중 8번 참여</v>
      </c>
      <c r="F44" s="89">
        <f t="shared" si="3"/>
        <v>1</v>
      </c>
      <c r="G44" s="90" t="s">
        <v>25</v>
      </c>
      <c r="H44" s="90" t="s">
        <v>25</v>
      </c>
      <c r="I44" s="90" t="s">
        <v>25</v>
      </c>
      <c r="J44" s="90" t="s">
        <v>25</v>
      </c>
      <c r="K44" s="90" t="s">
        <v>25</v>
      </c>
      <c r="L44" s="90" t="s">
        <v>25</v>
      </c>
      <c r="M44" s="90" t="s">
        <v>25</v>
      </c>
      <c r="N44" s="90" t="s">
        <v>25</v>
      </c>
    </row>
    <row r="45">
      <c r="A45" s="21"/>
      <c r="B45" s="22">
        <v>41.0</v>
      </c>
      <c r="C45" s="31" t="s">
        <v>97</v>
      </c>
      <c r="D45" s="31" t="s">
        <v>98</v>
      </c>
      <c r="E45" s="88" t="str">
        <f t="shared" si="2"/>
        <v>8번 중 8번 참여</v>
      </c>
      <c r="F45" s="89">
        <f t="shared" si="3"/>
        <v>1</v>
      </c>
      <c r="G45" s="90" t="s">
        <v>25</v>
      </c>
      <c r="H45" s="90" t="s">
        <v>25</v>
      </c>
      <c r="I45" s="90" t="s">
        <v>25</v>
      </c>
      <c r="J45" s="90" t="s">
        <v>25</v>
      </c>
      <c r="K45" s="90" t="s">
        <v>25</v>
      </c>
      <c r="L45" s="90" t="s">
        <v>25</v>
      </c>
      <c r="M45" s="90" t="s">
        <v>25</v>
      </c>
      <c r="N45" s="90" t="s">
        <v>25</v>
      </c>
    </row>
    <row r="46">
      <c r="A46" s="29"/>
      <c r="B46" s="30">
        <v>42.0</v>
      </c>
      <c r="C46" s="152"/>
      <c r="D46" s="152"/>
      <c r="E46" s="88" t="str">
        <f t="shared" si="2"/>
        <v/>
      </c>
      <c r="F46" s="89" t="str">
        <f t="shared" si="3"/>
        <v/>
      </c>
      <c r="G46" s="41"/>
      <c r="H46" s="41"/>
      <c r="I46" s="41"/>
      <c r="J46" s="41"/>
      <c r="K46" s="41"/>
      <c r="L46" s="41"/>
      <c r="M46" s="41"/>
      <c r="N46" s="41"/>
    </row>
    <row r="47">
      <c r="A47" s="21"/>
      <c r="B47" s="22">
        <v>43.0</v>
      </c>
      <c r="C47" s="23" t="s">
        <v>103</v>
      </c>
      <c r="D47" s="23" t="s">
        <v>104</v>
      </c>
      <c r="E47" s="88" t="str">
        <f t="shared" si="2"/>
        <v>8번 중 8번 참여</v>
      </c>
      <c r="F47" s="89">
        <f t="shared" si="3"/>
        <v>1</v>
      </c>
      <c r="G47" s="90" t="s">
        <v>25</v>
      </c>
      <c r="H47" s="90" t="s">
        <v>25</v>
      </c>
      <c r="I47" s="90" t="s">
        <v>25</v>
      </c>
      <c r="J47" s="90" t="s">
        <v>25</v>
      </c>
      <c r="K47" s="90" t="s">
        <v>25</v>
      </c>
      <c r="L47" s="90" t="s">
        <v>25</v>
      </c>
      <c r="M47" s="90" t="s">
        <v>25</v>
      </c>
      <c r="N47" s="90" t="s">
        <v>25</v>
      </c>
    </row>
    <row r="48">
      <c r="A48" s="29"/>
      <c r="B48" s="30">
        <v>44.0</v>
      </c>
      <c r="C48" s="153"/>
      <c r="D48" s="153"/>
      <c r="E48" s="88" t="str">
        <f t="shared" si="2"/>
        <v/>
      </c>
      <c r="F48" s="89" t="str">
        <f t="shared" si="3"/>
        <v/>
      </c>
      <c r="G48" s="41"/>
      <c r="H48" s="41"/>
      <c r="I48" s="41"/>
      <c r="J48" s="41"/>
      <c r="K48" s="41"/>
      <c r="L48" s="41"/>
      <c r="M48" s="41"/>
      <c r="N48" s="41"/>
    </row>
    <row r="49">
      <c r="A49" s="21"/>
      <c r="B49" s="22">
        <v>45.0</v>
      </c>
      <c r="C49" s="23" t="s">
        <v>284</v>
      </c>
      <c r="D49" s="100" t="s">
        <v>121</v>
      </c>
      <c r="E49" s="88" t="str">
        <f t="shared" si="2"/>
        <v>8번 중 8번 참여</v>
      </c>
      <c r="F49" s="89">
        <f t="shared" si="3"/>
        <v>1</v>
      </c>
      <c r="G49" s="90" t="s">
        <v>25</v>
      </c>
      <c r="H49" s="90" t="s">
        <v>25</v>
      </c>
      <c r="I49" s="90" t="s">
        <v>25</v>
      </c>
      <c r="J49" s="90" t="s">
        <v>25</v>
      </c>
      <c r="K49" s="90" t="s">
        <v>25</v>
      </c>
      <c r="L49" s="90" t="s">
        <v>25</v>
      </c>
      <c r="M49" s="90" t="s">
        <v>25</v>
      </c>
      <c r="N49" s="90" t="s">
        <v>25</v>
      </c>
    </row>
    <row r="50">
      <c r="A50" s="29"/>
      <c r="B50" s="30">
        <v>46.0</v>
      </c>
      <c r="C50" s="31" t="s">
        <v>101</v>
      </c>
      <c r="D50" s="97" t="s">
        <v>102</v>
      </c>
      <c r="E50" s="88" t="str">
        <f t="shared" si="2"/>
        <v>8번 중 7번 참여</v>
      </c>
      <c r="F50" s="89">
        <f t="shared" si="3"/>
        <v>0.875</v>
      </c>
      <c r="G50" s="90" t="s">
        <v>25</v>
      </c>
      <c r="H50" s="90" t="s">
        <v>25</v>
      </c>
      <c r="I50" s="90" t="s">
        <v>25</v>
      </c>
      <c r="J50" s="90" t="s">
        <v>25</v>
      </c>
      <c r="K50" s="90" t="s">
        <v>25</v>
      </c>
      <c r="L50" s="90" t="s">
        <v>25</v>
      </c>
      <c r="M50" s="90" t="s">
        <v>25</v>
      </c>
      <c r="N50" s="41"/>
    </row>
    <row r="51">
      <c r="A51" s="21"/>
      <c r="B51" s="22">
        <v>47.0</v>
      </c>
      <c r="C51" s="111" t="s">
        <v>281</v>
      </c>
      <c r="D51" s="144" t="s">
        <v>282</v>
      </c>
      <c r="E51" s="88" t="str">
        <f t="shared" si="2"/>
        <v>8번 중 8번 참여</v>
      </c>
      <c r="F51" s="89">
        <f t="shared" si="3"/>
        <v>1</v>
      </c>
      <c r="G51" s="90" t="s">
        <v>25</v>
      </c>
      <c r="H51" s="90" t="s">
        <v>25</v>
      </c>
      <c r="I51" s="90" t="s">
        <v>25</v>
      </c>
      <c r="J51" s="90" t="s">
        <v>25</v>
      </c>
      <c r="K51" s="90" t="s">
        <v>25</v>
      </c>
      <c r="L51" s="90" t="s">
        <v>25</v>
      </c>
      <c r="M51" s="90" t="s">
        <v>25</v>
      </c>
      <c r="N51" s="90" t="s">
        <v>25</v>
      </c>
    </row>
    <row r="52">
      <c r="A52" s="29"/>
      <c r="B52" s="30">
        <v>48.0</v>
      </c>
      <c r="C52" s="61" t="s">
        <v>126</v>
      </c>
      <c r="D52" s="123" t="s">
        <v>127</v>
      </c>
      <c r="E52" s="88" t="str">
        <f t="shared" si="2"/>
        <v>8번 중 8번 참여</v>
      </c>
      <c r="F52" s="89">
        <f t="shared" si="3"/>
        <v>1</v>
      </c>
      <c r="G52" s="90" t="s">
        <v>25</v>
      </c>
      <c r="H52" s="90" t="s">
        <v>25</v>
      </c>
      <c r="I52" s="90" t="s">
        <v>25</v>
      </c>
      <c r="J52" s="90" t="s">
        <v>25</v>
      </c>
      <c r="K52" s="90" t="s">
        <v>25</v>
      </c>
      <c r="L52" s="90" t="s">
        <v>25</v>
      </c>
      <c r="M52" s="90" t="s">
        <v>25</v>
      </c>
      <c r="N52" s="90" t="s">
        <v>25</v>
      </c>
    </row>
    <row r="53">
      <c r="A53" s="21"/>
      <c r="B53" s="22">
        <v>49.0</v>
      </c>
      <c r="C53" s="95" t="s">
        <v>109</v>
      </c>
      <c r="D53" s="95" t="s">
        <v>110</v>
      </c>
      <c r="E53" s="88" t="str">
        <f t="shared" si="2"/>
        <v>8번 중 6번 참여</v>
      </c>
      <c r="F53" s="89">
        <f t="shared" si="3"/>
        <v>0.75</v>
      </c>
      <c r="G53" s="41"/>
      <c r="H53" s="90" t="s">
        <v>25</v>
      </c>
      <c r="I53" s="41"/>
      <c r="J53" s="90" t="s">
        <v>25</v>
      </c>
      <c r="K53" s="90" t="s">
        <v>25</v>
      </c>
      <c r="L53" s="90" t="s">
        <v>25</v>
      </c>
      <c r="M53" s="90" t="s">
        <v>25</v>
      </c>
      <c r="N53" s="90" t="s">
        <v>25</v>
      </c>
    </row>
    <row r="54">
      <c r="A54" s="29"/>
      <c r="B54" s="30">
        <v>50.0</v>
      </c>
      <c r="C54" s="31" t="s">
        <v>111</v>
      </c>
      <c r="D54" s="31" t="s">
        <v>112</v>
      </c>
      <c r="E54" s="88" t="str">
        <f t="shared" si="2"/>
        <v>8번 중 5번 참여</v>
      </c>
      <c r="F54" s="89">
        <f t="shared" si="3"/>
        <v>0.625</v>
      </c>
      <c r="G54" s="41"/>
      <c r="H54" s="41"/>
      <c r="I54" s="90" t="s">
        <v>25</v>
      </c>
      <c r="J54" s="90" t="s">
        <v>25</v>
      </c>
      <c r="K54" s="90" t="s">
        <v>25</v>
      </c>
      <c r="L54" s="90" t="s">
        <v>25</v>
      </c>
      <c r="M54" s="90" t="s">
        <v>25</v>
      </c>
      <c r="N54" s="41"/>
    </row>
    <row r="55">
      <c r="A55" s="21"/>
      <c r="B55" s="22">
        <v>51.0</v>
      </c>
      <c r="C55" s="23" t="s">
        <v>113</v>
      </c>
      <c r="D55" s="23" t="s">
        <v>114</v>
      </c>
      <c r="E55" s="88" t="str">
        <f t="shared" si="2"/>
        <v>8번 중 8번 참여</v>
      </c>
      <c r="F55" s="89">
        <f t="shared" si="3"/>
        <v>1</v>
      </c>
      <c r="G55" s="90" t="s">
        <v>25</v>
      </c>
      <c r="H55" s="90" t="s">
        <v>25</v>
      </c>
      <c r="I55" s="90" t="s">
        <v>25</v>
      </c>
      <c r="J55" s="90" t="s">
        <v>25</v>
      </c>
      <c r="K55" s="90" t="s">
        <v>25</v>
      </c>
      <c r="L55" s="90" t="s">
        <v>25</v>
      </c>
      <c r="M55" s="90" t="s">
        <v>25</v>
      </c>
      <c r="N55" s="90" t="s">
        <v>25</v>
      </c>
    </row>
    <row r="56">
      <c r="A56" s="29"/>
      <c r="B56" s="30">
        <v>52.0</v>
      </c>
      <c r="C56" s="153"/>
      <c r="D56" s="153"/>
      <c r="E56" s="88" t="str">
        <f t="shared" si="2"/>
        <v/>
      </c>
      <c r="F56" s="89" t="str">
        <f t="shared" si="3"/>
        <v/>
      </c>
      <c r="G56" s="41"/>
      <c r="H56" s="41"/>
      <c r="I56" s="41"/>
      <c r="J56" s="41"/>
      <c r="K56" s="41"/>
      <c r="L56" s="41"/>
      <c r="M56" s="41"/>
      <c r="N56" s="41"/>
    </row>
    <row r="57">
      <c r="A57" s="21"/>
      <c r="B57" s="22">
        <v>53.0</v>
      </c>
      <c r="C57" s="23" t="s">
        <v>132</v>
      </c>
      <c r="D57" s="23" t="s">
        <v>133</v>
      </c>
      <c r="E57" s="88" t="str">
        <f t="shared" si="2"/>
        <v>8번 중 8번 참여</v>
      </c>
      <c r="F57" s="89">
        <f t="shared" si="3"/>
        <v>1</v>
      </c>
      <c r="G57" s="90" t="s">
        <v>25</v>
      </c>
      <c r="H57" s="90" t="s">
        <v>25</v>
      </c>
      <c r="I57" s="90" t="s">
        <v>25</v>
      </c>
      <c r="J57" s="90" t="s">
        <v>25</v>
      </c>
      <c r="K57" s="90" t="s">
        <v>25</v>
      </c>
      <c r="L57" s="90" t="s">
        <v>25</v>
      </c>
      <c r="M57" s="90" t="s">
        <v>25</v>
      </c>
      <c r="N57" s="90" t="s">
        <v>25</v>
      </c>
    </row>
    <row r="58">
      <c r="A58" s="255" t="s">
        <v>204</v>
      </c>
      <c r="B58" s="30">
        <v>54.0</v>
      </c>
      <c r="C58" s="93" t="s">
        <v>283</v>
      </c>
      <c r="D58" s="93" t="s">
        <v>119</v>
      </c>
      <c r="E58" s="88" t="str">
        <f t="shared" si="2"/>
        <v>8번 중 8번 참여</v>
      </c>
      <c r="F58" s="89">
        <f t="shared" si="3"/>
        <v>1</v>
      </c>
      <c r="G58" s="90" t="s">
        <v>25</v>
      </c>
      <c r="H58" s="90" t="s">
        <v>25</v>
      </c>
      <c r="I58" s="90" t="s">
        <v>25</v>
      </c>
      <c r="J58" s="90" t="s">
        <v>25</v>
      </c>
      <c r="K58" s="90" t="s">
        <v>25</v>
      </c>
      <c r="L58" s="90" t="s">
        <v>25</v>
      </c>
      <c r="M58" s="90" t="s">
        <v>25</v>
      </c>
      <c r="N58" s="90" t="s">
        <v>25</v>
      </c>
    </row>
    <row r="59">
      <c r="A59" s="21"/>
      <c r="B59" s="251">
        <v>55.0</v>
      </c>
      <c r="C59" s="115" t="s">
        <v>363</v>
      </c>
      <c r="D59" s="154" t="s">
        <v>364</v>
      </c>
      <c r="E59" s="88" t="str">
        <f t="shared" si="2"/>
        <v>8번 중 2번 참여</v>
      </c>
      <c r="F59" s="89">
        <f t="shared" si="3"/>
        <v>0.25</v>
      </c>
      <c r="G59" s="41"/>
      <c r="H59" s="41"/>
      <c r="I59" s="90" t="s">
        <v>25</v>
      </c>
      <c r="J59" s="90" t="s">
        <v>25</v>
      </c>
      <c r="K59" s="41"/>
      <c r="L59" s="41"/>
      <c r="M59" s="41"/>
      <c r="N59" s="41"/>
    </row>
    <row r="60">
      <c r="A60" s="29"/>
      <c r="B60" s="30">
        <v>56.0</v>
      </c>
      <c r="C60" s="98" t="s">
        <v>28</v>
      </c>
      <c r="D60" s="98" t="s">
        <v>70</v>
      </c>
      <c r="E60" s="88" t="str">
        <f t="shared" si="2"/>
        <v>8번 중 8번 참여</v>
      </c>
      <c r="F60" s="89">
        <f t="shared" si="3"/>
        <v>1</v>
      </c>
      <c r="G60" s="90" t="s">
        <v>25</v>
      </c>
      <c r="H60" s="90" t="s">
        <v>25</v>
      </c>
      <c r="I60" s="90" t="s">
        <v>25</v>
      </c>
      <c r="J60" s="90" t="s">
        <v>25</v>
      </c>
      <c r="K60" s="90" t="s">
        <v>25</v>
      </c>
      <c r="L60" s="90" t="s">
        <v>25</v>
      </c>
      <c r="M60" s="90" t="s">
        <v>25</v>
      </c>
      <c r="N60" s="90" t="s">
        <v>25</v>
      </c>
    </row>
    <row r="61">
      <c r="A61" s="21"/>
      <c r="B61" s="22">
        <v>57.0</v>
      </c>
      <c r="C61" s="31" t="s">
        <v>369</v>
      </c>
      <c r="D61" s="31" t="s">
        <v>108</v>
      </c>
      <c r="E61" s="88" t="str">
        <f t="shared" si="2"/>
        <v>8번 중 6번 참여</v>
      </c>
      <c r="F61" s="89">
        <f t="shared" si="3"/>
        <v>0.75</v>
      </c>
      <c r="G61" s="90" t="s">
        <v>25</v>
      </c>
      <c r="H61" s="90" t="s">
        <v>25</v>
      </c>
      <c r="I61" s="90" t="s">
        <v>25</v>
      </c>
      <c r="J61" s="90" t="s">
        <v>25</v>
      </c>
      <c r="K61" s="90" t="s">
        <v>25</v>
      </c>
      <c r="L61" s="90" t="s">
        <v>25</v>
      </c>
      <c r="M61" s="41"/>
      <c r="N61" s="41"/>
    </row>
    <row r="62">
      <c r="A62" s="29"/>
      <c r="B62" s="30">
        <v>58.0</v>
      </c>
      <c r="C62" s="95" t="s">
        <v>138</v>
      </c>
      <c r="D62" s="23" t="s">
        <v>139</v>
      </c>
      <c r="E62" s="88" t="str">
        <f t="shared" si="2"/>
        <v>8번 중 6번 참여</v>
      </c>
      <c r="F62" s="89">
        <f t="shared" si="3"/>
        <v>0.75</v>
      </c>
      <c r="G62" s="90" t="s">
        <v>25</v>
      </c>
      <c r="H62" s="90" t="s">
        <v>25</v>
      </c>
      <c r="I62" s="90" t="s">
        <v>25</v>
      </c>
      <c r="J62" s="90" t="s">
        <v>25</v>
      </c>
      <c r="K62" s="90" t="s">
        <v>25</v>
      </c>
      <c r="L62" s="90" t="s">
        <v>25</v>
      </c>
      <c r="M62" s="41"/>
      <c r="N62" s="41"/>
    </row>
    <row r="63">
      <c r="A63" s="21"/>
      <c r="B63" s="22">
        <v>59.0</v>
      </c>
      <c r="C63" s="101" t="s">
        <v>136</v>
      </c>
      <c r="D63" s="31" t="s">
        <v>137</v>
      </c>
      <c r="E63" s="88" t="str">
        <f t="shared" si="2"/>
        <v>8번 중 6번 참여</v>
      </c>
      <c r="F63" s="89">
        <f t="shared" si="3"/>
        <v>0.75</v>
      </c>
      <c r="G63" s="90" t="s">
        <v>25</v>
      </c>
      <c r="H63" s="90" t="s">
        <v>25</v>
      </c>
      <c r="I63" s="90" t="s">
        <v>25</v>
      </c>
      <c r="J63" s="90" t="s">
        <v>25</v>
      </c>
      <c r="K63" s="90" t="s">
        <v>25</v>
      </c>
      <c r="L63" s="90" t="s">
        <v>25</v>
      </c>
      <c r="M63" s="41"/>
      <c r="N63" s="41"/>
    </row>
    <row r="64">
      <c r="A64" s="29"/>
      <c r="B64" s="30">
        <v>60.0</v>
      </c>
      <c r="C64" s="23" t="s">
        <v>142</v>
      </c>
      <c r="D64" s="23" t="s">
        <v>143</v>
      </c>
      <c r="E64" s="88" t="str">
        <f t="shared" si="2"/>
        <v>8번 중 4번 참여</v>
      </c>
      <c r="F64" s="89">
        <f t="shared" si="3"/>
        <v>0.5</v>
      </c>
      <c r="G64" s="90" t="s">
        <v>25</v>
      </c>
      <c r="H64" s="41"/>
      <c r="I64" s="90" t="s">
        <v>25</v>
      </c>
      <c r="J64" s="41"/>
      <c r="K64" s="90" t="s">
        <v>25</v>
      </c>
      <c r="L64" s="90" t="s">
        <v>25</v>
      </c>
      <c r="M64" s="41"/>
      <c r="N64" s="41"/>
    </row>
    <row r="65">
      <c r="A65" s="21"/>
      <c r="B65" s="22">
        <v>61.0</v>
      </c>
      <c r="C65" s="31" t="s">
        <v>144</v>
      </c>
      <c r="D65" s="31" t="s">
        <v>145</v>
      </c>
      <c r="E65" s="88" t="str">
        <f t="shared" si="2"/>
        <v>8번 중 4번 참여</v>
      </c>
      <c r="F65" s="89">
        <f t="shared" si="3"/>
        <v>0.5</v>
      </c>
      <c r="G65" s="90" t="s">
        <v>25</v>
      </c>
      <c r="H65" s="41"/>
      <c r="I65" s="90" t="s">
        <v>25</v>
      </c>
      <c r="J65" s="41"/>
      <c r="K65" s="90" t="s">
        <v>25</v>
      </c>
      <c r="L65" s="90" t="s">
        <v>25</v>
      </c>
      <c r="M65" s="41"/>
      <c r="N65" s="41"/>
    </row>
    <row r="66">
      <c r="A66" s="29"/>
      <c r="B66" s="30">
        <v>62.0</v>
      </c>
      <c r="C66" s="23" t="s">
        <v>146</v>
      </c>
      <c r="D66" s="23" t="s">
        <v>147</v>
      </c>
      <c r="E66" s="88" t="str">
        <f t="shared" si="2"/>
        <v>8번 중 8번 참여</v>
      </c>
      <c r="F66" s="89">
        <f t="shared" si="3"/>
        <v>1</v>
      </c>
      <c r="G66" s="90" t="s">
        <v>25</v>
      </c>
      <c r="H66" s="90" t="s">
        <v>25</v>
      </c>
      <c r="I66" s="90" t="s">
        <v>25</v>
      </c>
      <c r="J66" s="90" t="s">
        <v>25</v>
      </c>
      <c r="K66" s="90" t="s">
        <v>25</v>
      </c>
      <c r="L66" s="90" t="s">
        <v>25</v>
      </c>
      <c r="M66" s="90" t="s">
        <v>25</v>
      </c>
      <c r="N66" s="90" t="s">
        <v>25</v>
      </c>
    </row>
    <row r="67">
      <c r="A67" s="21"/>
      <c r="B67" s="22">
        <v>63.0</v>
      </c>
      <c r="C67" s="31" t="s">
        <v>148</v>
      </c>
      <c r="D67" s="31" t="s">
        <v>149</v>
      </c>
      <c r="E67" s="88" t="str">
        <f t="shared" si="2"/>
        <v>8번 중 8번 참여</v>
      </c>
      <c r="F67" s="89">
        <f t="shared" si="3"/>
        <v>1</v>
      </c>
      <c r="G67" s="90" t="s">
        <v>25</v>
      </c>
      <c r="H67" s="90" t="s">
        <v>25</v>
      </c>
      <c r="I67" s="90" t="s">
        <v>25</v>
      </c>
      <c r="J67" s="90" t="s">
        <v>25</v>
      </c>
      <c r="K67" s="90" t="s">
        <v>25</v>
      </c>
      <c r="L67" s="90" t="s">
        <v>25</v>
      </c>
      <c r="M67" s="90" t="s">
        <v>25</v>
      </c>
      <c r="N67" s="90" t="s">
        <v>25</v>
      </c>
    </row>
    <row r="68">
      <c r="A68" s="29"/>
      <c r="B68" s="30">
        <v>64.0</v>
      </c>
      <c r="C68" s="152"/>
      <c r="D68" s="152"/>
      <c r="E68" s="88" t="str">
        <f t="shared" si="2"/>
        <v/>
      </c>
      <c r="F68" s="89" t="str">
        <f t="shared" si="3"/>
        <v/>
      </c>
      <c r="G68" s="41"/>
      <c r="H68" s="41"/>
      <c r="I68" s="41"/>
      <c r="J68" s="41"/>
      <c r="K68" s="41"/>
      <c r="L68" s="41"/>
      <c r="M68" s="41"/>
      <c r="N68" s="41"/>
    </row>
    <row r="69">
      <c r="A69" s="21"/>
      <c r="B69" s="22">
        <v>65.0</v>
      </c>
      <c r="C69" s="23" t="s">
        <v>140</v>
      </c>
      <c r="D69" s="23" t="s">
        <v>141</v>
      </c>
      <c r="E69" s="88" t="str">
        <f t="shared" si="2"/>
        <v>8번 중 7번 참여</v>
      </c>
      <c r="F69" s="89">
        <f t="shared" si="3"/>
        <v>0.875</v>
      </c>
      <c r="G69" s="90" t="s">
        <v>25</v>
      </c>
      <c r="H69" s="90" t="s">
        <v>25</v>
      </c>
      <c r="I69" s="90" t="s">
        <v>25</v>
      </c>
      <c r="J69" s="90" t="s">
        <v>25</v>
      </c>
      <c r="K69" s="90" t="s">
        <v>25</v>
      </c>
      <c r="L69" s="90" t="s">
        <v>25</v>
      </c>
      <c r="M69" s="90" t="s">
        <v>25</v>
      </c>
      <c r="N69" s="41"/>
    </row>
    <row r="70">
      <c r="A70" s="29"/>
      <c r="B70" s="30">
        <v>66.0</v>
      </c>
      <c r="C70" s="31" t="s">
        <v>150</v>
      </c>
      <c r="D70" s="128" t="s">
        <v>151</v>
      </c>
      <c r="E70" s="88" t="str">
        <f t="shared" si="2"/>
        <v/>
      </c>
      <c r="F70" s="89" t="str">
        <f t="shared" si="3"/>
        <v/>
      </c>
      <c r="G70" s="90" t="s">
        <v>80</v>
      </c>
      <c r="H70" s="41"/>
      <c r="I70" s="41"/>
      <c r="J70" s="41"/>
      <c r="K70" s="41"/>
      <c r="L70" s="41"/>
      <c r="M70" s="41"/>
      <c r="N70" s="41"/>
    </row>
    <row r="71">
      <c r="A71" s="21"/>
      <c r="B71" s="22">
        <v>67.0</v>
      </c>
      <c r="C71" s="23" t="s">
        <v>152</v>
      </c>
      <c r="D71" s="23" t="s">
        <v>153</v>
      </c>
      <c r="E71" s="88" t="str">
        <f t="shared" si="2"/>
        <v>8번 중 3번 참여</v>
      </c>
      <c r="F71" s="89">
        <f t="shared" si="3"/>
        <v>0.375</v>
      </c>
      <c r="G71" s="90" t="s">
        <v>80</v>
      </c>
      <c r="H71" s="90" t="s">
        <v>25</v>
      </c>
      <c r="I71" s="41"/>
      <c r="J71" s="90" t="s">
        <v>25</v>
      </c>
      <c r="K71" s="41"/>
      <c r="L71" s="90" t="s">
        <v>25</v>
      </c>
      <c r="M71" s="41"/>
      <c r="N71" s="41"/>
    </row>
    <row r="72">
      <c r="A72" s="29"/>
      <c r="B72" s="30">
        <v>68.0</v>
      </c>
      <c r="C72" s="31" t="s">
        <v>386</v>
      </c>
      <c r="D72" s="31" t="s">
        <v>387</v>
      </c>
      <c r="E72" s="88" t="str">
        <f t="shared" si="2"/>
        <v/>
      </c>
      <c r="F72" s="89" t="str">
        <f t="shared" si="3"/>
        <v/>
      </c>
      <c r="G72" s="90" t="s">
        <v>80</v>
      </c>
      <c r="H72" s="41"/>
      <c r="I72" s="41"/>
      <c r="J72" s="41"/>
      <c r="K72" s="41"/>
      <c r="L72" s="41"/>
      <c r="M72" s="41"/>
      <c r="N72" s="41"/>
    </row>
    <row r="73">
      <c r="A73" s="21"/>
      <c r="B73" s="22">
        <v>69.0</v>
      </c>
      <c r="C73" s="23" t="s">
        <v>156</v>
      </c>
      <c r="D73" s="23" t="s">
        <v>157</v>
      </c>
      <c r="E73" s="88" t="str">
        <f t="shared" si="2"/>
        <v>8번 중 8번 참여</v>
      </c>
      <c r="F73" s="89">
        <f t="shared" si="3"/>
        <v>1</v>
      </c>
      <c r="G73" s="90" t="s">
        <v>25</v>
      </c>
      <c r="H73" s="90" t="s">
        <v>25</v>
      </c>
      <c r="I73" s="90" t="s">
        <v>25</v>
      </c>
      <c r="J73" s="90" t="s">
        <v>25</v>
      </c>
      <c r="K73" s="90" t="s">
        <v>25</v>
      </c>
      <c r="L73" s="90" t="s">
        <v>25</v>
      </c>
      <c r="M73" s="90" t="s">
        <v>25</v>
      </c>
      <c r="N73" s="90" t="s">
        <v>25</v>
      </c>
    </row>
    <row r="74">
      <c r="A74" s="29"/>
      <c r="B74" s="30">
        <v>70.0</v>
      </c>
      <c r="C74" s="125" t="s">
        <v>158</v>
      </c>
      <c r="D74" s="125" t="s">
        <v>159</v>
      </c>
      <c r="E74" s="88" t="str">
        <f t="shared" si="2"/>
        <v>8번 중 8번 참여</v>
      </c>
      <c r="F74" s="89">
        <f t="shared" si="3"/>
        <v>1</v>
      </c>
      <c r="G74" s="90" t="s">
        <v>25</v>
      </c>
      <c r="H74" s="90" t="s">
        <v>25</v>
      </c>
      <c r="I74" s="90" t="s">
        <v>25</v>
      </c>
      <c r="J74" s="90" t="s">
        <v>25</v>
      </c>
      <c r="K74" s="90" t="s">
        <v>25</v>
      </c>
      <c r="L74" s="90" t="s">
        <v>25</v>
      </c>
      <c r="M74" s="90" t="s">
        <v>25</v>
      </c>
      <c r="N74" s="90" t="s">
        <v>25</v>
      </c>
    </row>
    <row r="75">
      <c r="A75" s="21"/>
      <c r="B75" s="22">
        <v>71.0</v>
      </c>
      <c r="C75" s="127" t="s">
        <v>160</v>
      </c>
      <c r="D75" s="127" t="s">
        <v>161</v>
      </c>
      <c r="E75" s="88" t="str">
        <f t="shared" si="2"/>
        <v>8번 중 8번 참여</v>
      </c>
      <c r="F75" s="89">
        <f t="shared" si="3"/>
        <v>1</v>
      </c>
      <c r="G75" s="90" t="s">
        <v>25</v>
      </c>
      <c r="H75" s="90" t="s">
        <v>25</v>
      </c>
      <c r="I75" s="90" t="s">
        <v>25</v>
      </c>
      <c r="J75" s="90" t="s">
        <v>25</v>
      </c>
      <c r="K75" s="90" t="s">
        <v>25</v>
      </c>
      <c r="L75" s="90" t="s">
        <v>25</v>
      </c>
      <c r="M75" s="90" t="s">
        <v>25</v>
      </c>
      <c r="N75" s="90" t="s">
        <v>25</v>
      </c>
    </row>
    <row r="76">
      <c r="A76" s="29"/>
      <c r="B76" s="30">
        <v>72.0</v>
      </c>
      <c r="C76" s="31" t="s">
        <v>162</v>
      </c>
      <c r="D76" s="31" t="s">
        <v>163</v>
      </c>
      <c r="E76" s="88" t="str">
        <f t="shared" si="2"/>
        <v>8번 중 8번 참여</v>
      </c>
      <c r="F76" s="89">
        <f t="shared" si="3"/>
        <v>1</v>
      </c>
      <c r="G76" s="90" t="s">
        <v>25</v>
      </c>
      <c r="H76" s="90" t="s">
        <v>25</v>
      </c>
      <c r="I76" s="90" t="s">
        <v>25</v>
      </c>
      <c r="J76" s="90" t="s">
        <v>25</v>
      </c>
      <c r="K76" s="90" t="s">
        <v>25</v>
      </c>
      <c r="L76" s="90" t="s">
        <v>25</v>
      </c>
      <c r="M76" s="90" t="s">
        <v>25</v>
      </c>
      <c r="N76" s="90" t="s">
        <v>25</v>
      </c>
    </row>
    <row r="77">
      <c r="A77" s="21"/>
      <c r="B77" s="22">
        <v>73.0</v>
      </c>
      <c r="C77" s="23" t="s">
        <v>164</v>
      </c>
      <c r="D77" s="23" t="s">
        <v>165</v>
      </c>
      <c r="E77" s="88" t="str">
        <f t="shared" si="2"/>
        <v>8번 중 8번 참여</v>
      </c>
      <c r="F77" s="89">
        <f t="shared" si="3"/>
        <v>1</v>
      </c>
      <c r="G77" s="90" t="s">
        <v>25</v>
      </c>
      <c r="H77" s="90" t="s">
        <v>25</v>
      </c>
      <c r="I77" s="90" t="s">
        <v>25</v>
      </c>
      <c r="J77" s="90" t="s">
        <v>25</v>
      </c>
      <c r="K77" s="90" t="s">
        <v>25</v>
      </c>
      <c r="L77" s="90" t="s">
        <v>25</v>
      </c>
      <c r="M77" s="90" t="s">
        <v>25</v>
      </c>
      <c r="N77" s="90" t="s">
        <v>25</v>
      </c>
    </row>
    <row r="78">
      <c r="A78" s="29"/>
      <c r="B78" s="30">
        <v>74.0</v>
      </c>
      <c r="C78" s="125" t="s">
        <v>166</v>
      </c>
      <c r="D78" s="125" t="s">
        <v>167</v>
      </c>
      <c r="E78" s="88" t="str">
        <f t="shared" si="2"/>
        <v>8번 중 7번 참여</v>
      </c>
      <c r="F78" s="89">
        <f t="shared" si="3"/>
        <v>0.875</v>
      </c>
      <c r="G78" s="90" t="s">
        <v>25</v>
      </c>
      <c r="H78" s="90" t="s">
        <v>25</v>
      </c>
      <c r="I78" s="90" t="s">
        <v>25</v>
      </c>
      <c r="J78" s="90" t="s">
        <v>25</v>
      </c>
      <c r="K78" s="90" t="s">
        <v>25</v>
      </c>
      <c r="L78" s="90" t="s">
        <v>25</v>
      </c>
      <c r="M78" s="41"/>
      <c r="N78" s="90" t="s">
        <v>25</v>
      </c>
    </row>
    <row r="79">
      <c r="A79" s="21"/>
      <c r="B79" s="22">
        <v>75.0</v>
      </c>
      <c r="C79" s="155"/>
      <c r="D79" s="156"/>
      <c r="E79" s="88" t="str">
        <f t="shared" si="2"/>
        <v/>
      </c>
      <c r="F79" s="89" t="str">
        <f t="shared" si="3"/>
        <v/>
      </c>
      <c r="G79" s="41"/>
      <c r="H79" s="41"/>
      <c r="I79" s="41"/>
      <c r="J79" s="41"/>
      <c r="K79" s="41"/>
      <c r="L79" s="41"/>
      <c r="M79" s="41"/>
      <c r="N79" s="41"/>
    </row>
    <row r="80">
      <c r="A80" s="29"/>
      <c r="B80" s="30">
        <v>76.0</v>
      </c>
      <c r="C80" s="31" t="s">
        <v>154</v>
      </c>
      <c r="D80" s="31" t="s">
        <v>155</v>
      </c>
      <c r="E80" s="88" t="str">
        <f t="shared" si="2"/>
        <v>8번 중 8번 참여</v>
      </c>
      <c r="F80" s="89">
        <f t="shared" si="3"/>
        <v>1</v>
      </c>
      <c r="G80" s="90" t="s">
        <v>25</v>
      </c>
      <c r="H80" s="90" t="s">
        <v>25</v>
      </c>
      <c r="I80" s="90" t="s">
        <v>25</v>
      </c>
      <c r="J80" s="90" t="s">
        <v>25</v>
      </c>
      <c r="K80" s="90" t="s">
        <v>25</v>
      </c>
      <c r="L80" s="90" t="s">
        <v>25</v>
      </c>
      <c r="M80" s="90" t="s">
        <v>25</v>
      </c>
      <c r="N80" s="90" t="s">
        <v>25</v>
      </c>
    </row>
    <row r="81">
      <c r="A81" s="21"/>
      <c r="B81" s="22">
        <v>77.0</v>
      </c>
      <c r="C81" s="153"/>
      <c r="D81" s="153"/>
      <c r="E81" s="88" t="str">
        <f t="shared" si="2"/>
        <v/>
      </c>
      <c r="F81" s="89" t="str">
        <f t="shared" si="3"/>
        <v/>
      </c>
      <c r="G81" s="41"/>
      <c r="H81" s="41"/>
      <c r="I81" s="41"/>
      <c r="J81" s="41"/>
      <c r="K81" s="41"/>
      <c r="L81" s="41"/>
      <c r="M81" s="41"/>
      <c r="N81" s="41"/>
    </row>
    <row r="82">
      <c r="A82" s="29"/>
      <c r="B82" s="30">
        <v>78.0</v>
      </c>
      <c r="C82" s="31" t="s">
        <v>170</v>
      </c>
      <c r="D82" s="31" t="s">
        <v>171</v>
      </c>
      <c r="E82" s="88" t="str">
        <f t="shared" si="2"/>
        <v>8번 중 8번 참여</v>
      </c>
      <c r="F82" s="89">
        <f t="shared" si="3"/>
        <v>1</v>
      </c>
      <c r="G82" s="90" t="s">
        <v>25</v>
      </c>
      <c r="H82" s="90" t="s">
        <v>25</v>
      </c>
      <c r="I82" s="90" t="s">
        <v>25</v>
      </c>
      <c r="J82" s="90" t="s">
        <v>25</v>
      </c>
      <c r="K82" s="90" t="s">
        <v>25</v>
      </c>
      <c r="L82" s="90" t="s">
        <v>25</v>
      </c>
      <c r="M82" s="90" t="s">
        <v>25</v>
      </c>
      <c r="N82" s="90" t="s">
        <v>25</v>
      </c>
    </row>
    <row r="83">
      <c r="A83" s="21"/>
      <c r="B83" s="22">
        <v>79.0</v>
      </c>
      <c r="C83" s="23" t="s">
        <v>172</v>
      </c>
      <c r="D83" s="100" t="s">
        <v>173</v>
      </c>
      <c r="E83" s="88" t="str">
        <f t="shared" si="2"/>
        <v>8번 중 8번 참여</v>
      </c>
      <c r="F83" s="89">
        <f t="shared" si="3"/>
        <v>1</v>
      </c>
      <c r="G83" s="90" t="s">
        <v>25</v>
      </c>
      <c r="H83" s="90" t="s">
        <v>25</v>
      </c>
      <c r="I83" s="90" t="s">
        <v>25</v>
      </c>
      <c r="J83" s="90" t="s">
        <v>25</v>
      </c>
      <c r="K83" s="90" t="s">
        <v>25</v>
      </c>
      <c r="L83" s="90" t="s">
        <v>25</v>
      </c>
      <c r="M83" s="90" t="s">
        <v>25</v>
      </c>
      <c r="N83" s="90" t="s">
        <v>25</v>
      </c>
    </row>
    <row r="84">
      <c r="A84" s="29"/>
      <c r="B84" s="30">
        <v>80.0</v>
      </c>
      <c r="C84" s="125" t="s">
        <v>343</v>
      </c>
      <c r="D84" s="158" t="s">
        <v>576</v>
      </c>
      <c r="E84" s="88" t="str">
        <f t="shared" si="2"/>
        <v>8번 중 8번 참여</v>
      </c>
      <c r="F84" s="89">
        <f t="shared" si="3"/>
        <v>1</v>
      </c>
      <c r="G84" s="90" t="s">
        <v>25</v>
      </c>
      <c r="H84" s="90" t="s">
        <v>25</v>
      </c>
      <c r="I84" s="90" t="s">
        <v>25</v>
      </c>
      <c r="J84" s="90" t="s">
        <v>25</v>
      </c>
      <c r="K84" s="90" t="s">
        <v>25</v>
      </c>
      <c r="L84" s="90" t="s">
        <v>25</v>
      </c>
      <c r="M84" s="90" t="s">
        <v>25</v>
      </c>
      <c r="N84" s="90" t="s">
        <v>25</v>
      </c>
    </row>
    <row r="85">
      <c r="A85" s="21"/>
      <c r="B85" s="22">
        <v>81.0</v>
      </c>
      <c r="C85" s="115" t="s">
        <v>115</v>
      </c>
      <c r="D85" s="159" t="s">
        <v>577</v>
      </c>
      <c r="E85" s="88" t="str">
        <f t="shared" si="2"/>
        <v/>
      </c>
      <c r="F85" s="89" t="str">
        <f t="shared" si="3"/>
        <v/>
      </c>
      <c r="G85" s="41"/>
      <c r="H85" s="41"/>
      <c r="I85" s="41"/>
      <c r="J85" s="41"/>
      <c r="K85" s="41"/>
      <c r="L85" s="41"/>
      <c r="M85" s="41"/>
      <c r="N85" s="41"/>
    </row>
    <row r="86">
      <c r="A86" s="29"/>
      <c r="B86" s="30">
        <v>82.0</v>
      </c>
      <c r="C86" s="31" t="s">
        <v>174</v>
      </c>
      <c r="D86" s="128" t="s">
        <v>175</v>
      </c>
      <c r="E86" s="88" t="str">
        <f t="shared" si="2"/>
        <v>8번 중 3번 참여</v>
      </c>
      <c r="F86" s="89">
        <f t="shared" si="3"/>
        <v>0.375</v>
      </c>
      <c r="G86" s="41"/>
      <c r="H86" s="41"/>
      <c r="I86" s="41"/>
      <c r="J86" s="90" t="s">
        <v>25</v>
      </c>
      <c r="K86" s="41"/>
      <c r="L86" s="90" t="s">
        <v>25</v>
      </c>
      <c r="M86" s="90" t="s">
        <v>25</v>
      </c>
      <c r="N86" s="41"/>
    </row>
    <row r="87">
      <c r="A87" s="21"/>
      <c r="B87" s="22">
        <v>83.0</v>
      </c>
      <c r="C87" s="23" t="s">
        <v>168</v>
      </c>
      <c r="D87" s="100" t="s">
        <v>169</v>
      </c>
      <c r="E87" s="88" t="str">
        <f t="shared" si="2"/>
        <v>8번 중 7번 참여</v>
      </c>
      <c r="F87" s="89">
        <f t="shared" si="3"/>
        <v>0.875</v>
      </c>
      <c r="G87" s="41"/>
      <c r="H87" s="90" t="s">
        <v>25</v>
      </c>
      <c r="I87" s="90" t="s">
        <v>25</v>
      </c>
      <c r="J87" s="90" t="s">
        <v>25</v>
      </c>
      <c r="K87" s="90" t="s">
        <v>25</v>
      </c>
      <c r="L87" s="90" t="s">
        <v>25</v>
      </c>
      <c r="M87" s="90" t="s">
        <v>25</v>
      </c>
      <c r="N87" s="90" t="s">
        <v>25</v>
      </c>
    </row>
    <row r="88">
      <c r="A88" s="29"/>
      <c r="B88" s="30">
        <v>84.0</v>
      </c>
      <c r="C88" s="94" t="s">
        <v>578</v>
      </c>
      <c r="D88" s="129" t="s">
        <v>579</v>
      </c>
      <c r="E88" s="88" t="str">
        <f t="shared" si="2"/>
        <v/>
      </c>
      <c r="F88" s="89" t="str">
        <f t="shared" si="3"/>
        <v/>
      </c>
      <c r="G88" s="41"/>
      <c r="H88" s="41"/>
      <c r="I88" s="41"/>
      <c r="J88" s="41"/>
      <c r="K88" s="41"/>
      <c r="L88" s="41"/>
      <c r="M88" s="41"/>
      <c r="N88" s="41"/>
    </row>
    <row r="89">
      <c r="A89" s="21"/>
      <c r="B89" s="22">
        <v>85.0</v>
      </c>
      <c r="C89" s="109" t="s">
        <v>176</v>
      </c>
      <c r="D89" s="110" t="s">
        <v>177</v>
      </c>
      <c r="E89" s="88" t="str">
        <f t="shared" si="2"/>
        <v>8번 중 8번 참여</v>
      </c>
      <c r="F89" s="89">
        <f t="shared" si="3"/>
        <v>1</v>
      </c>
      <c r="G89" s="90" t="s">
        <v>25</v>
      </c>
      <c r="H89" s="90" t="s">
        <v>25</v>
      </c>
      <c r="I89" s="90" t="s">
        <v>25</v>
      </c>
      <c r="J89" s="90" t="s">
        <v>25</v>
      </c>
      <c r="K89" s="90" t="s">
        <v>25</v>
      </c>
      <c r="L89" s="90" t="s">
        <v>25</v>
      </c>
      <c r="M89" s="90" t="s">
        <v>25</v>
      </c>
      <c r="N89" s="90" t="s">
        <v>25</v>
      </c>
    </row>
    <row r="90">
      <c r="A90" s="29"/>
      <c r="B90" s="30">
        <v>86.0</v>
      </c>
      <c r="C90" s="94" t="s">
        <v>178</v>
      </c>
      <c r="D90" s="129" t="s">
        <v>179</v>
      </c>
      <c r="E90" s="88" t="str">
        <f t="shared" si="2"/>
        <v>8번 중 8번 참여</v>
      </c>
      <c r="F90" s="89">
        <f t="shared" si="3"/>
        <v>1</v>
      </c>
      <c r="G90" s="90" t="s">
        <v>25</v>
      </c>
      <c r="H90" s="90" t="s">
        <v>25</v>
      </c>
      <c r="I90" s="90" t="s">
        <v>25</v>
      </c>
      <c r="J90" s="90" t="s">
        <v>25</v>
      </c>
      <c r="K90" s="90" t="s">
        <v>25</v>
      </c>
      <c r="L90" s="90" t="s">
        <v>25</v>
      </c>
      <c r="M90" s="90" t="s">
        <v>25</v>
      </c>
      <c r="N90" s="90" t="s">
        <v>25</v>
      </c>
    </row>
    <row r="91">
      <c r="A91" s="21"/>
      <c r="B91" s="22">
        <v>87.0</v>
      </c>
      <c r="C91" s="23" t="s">
        <v>180</v>
      </c>
      <c r="D91" s="100" t="s">
        <v>181</v>
      </c>
      <c r="E91" s="88" t="str">
        <f t="shared" si="2"/>
        <v>8번 중 8번 참여</v>
      </c>
      <c r="F91" s="89">
        <f t="shared" si="3"/>
        <v>1</v>
      </c>
      <c r="G91" s="90" t="s">
        <v>25</v>
      </c>
      <c r="H91" s="90" t="s">
        <v>25</v>
      </c>
      <c r="I91" s="90" t="s">
        <v>25</v>
      </c>
      <c r="J91" s="90" t="s">
        <v>25</v>
      </c>
      <c r="K91" s="90" t="s">
        <v>25</v>
      </c>
      <c r="L91" s="90" t="s">
        <v>25</v>
      </c>
      <c r="M91" s="90" t="s">
        <v>25</v>
      </c>
      <c r="N91" s="90" t="s">
        <v>25</v>
      </c>
    </row>
    <row r="92">
      <c r="A92" s="29"/>
      <c r="B92" s="30">
        <v>88.0</v>
      </c>
      <c r="C92" s="61" t="s">
        <v>460</v>
      </c>
      <c r="D92" s="123" t="s">
        <v>461</v>
      </c>
      <c r="E92" s="88" t="str">
        <f t="shared" si="2"/>
        <v/>
      </c>
      <c r="F92" s="89" t="str">
        <f t="shared" si="3"/>
        <v/>
      </c>
      <c r="G92" s="41"/>
      <c r="H92" s="41"/>
      <c r="I92" s="41"/>
      <c r="J92" s="41"/>
      <c r="K92" s="41"/>
      <c r="L92" s="41"/>
      <c r="M92" s="41"/>
      <c r="N92" s="41"/>
    </row>
    <row r="93">
      <c r="A93" s="21"/>
      <c r="B93" s="22">
        <v>89.0</v>
      </c>
      <c r="C93" s="50" t="s">
        <v>462</v>
      </c>
      <c r="D93" s="286" t="s">
        <v>463</v>
      </c>
      <c r="E93" s="88" t="str">
        <f t="shared" si="2"/>
        <v/>
      </c>
      <c r="F93" s="89" t="str">
        <f t="shared" si="3"/>
        <v/>
      </c>
      <c r="G93" s="41"/>
      <c r="H93" s="41"/>
      <c r="I93" s="41"/>
      <c r="J93" s="41"/>
      <c r="K93" s="41"/>
      <c r="L93" s="41"/>
      <c r="M93" s="41"/>
      <c r="N93" s="41"/>
    </row>
    <row r="94">
      <c r="A94" s="29"/>
      <c r="B94" s="30">
        <v>90.0</v>
      </c>
      <c r="C94" s="109" t="s">
        <v>491</v>
      </c>
      <c r="D94" s="110" t="s">
        <v>492</v>
      </c>
      <c r="E94" s="88" t="str">
        <f t="shared" si="2"/>
        <v/>
      </c>
      <c r="F94" s="89" t="str">
        <f t="shared" si="3"/>
        <v/>
      </c>
      <c r="G94" s="41"/>
      <c r="H94" s="41"/>
      <c r="I94" s="41"/>
      <c r="J94" s="41"/>
      <c r="K94" s="41"/>
      <c r="L94" s="41"/>
      <c r="M94" s="41"/>
      <c r="N94" s="41"/>
    </row>
    <row r="95">
      <c r="A95" s="21"/>
      <c r="B95" s="22">
        <v>91.0</v>
      </c>
      <c r="C95" s="50" t="s">
        <v>182</v>
      </c>
      <c r="D95" s="131" t="s">
        <v>183</v>
      </c>
      <c r="E95" s="88" t="str">
        <f t="shared" si="2"/>
        <v>8번 중 8번 참여</v>
      </c>
      <c r="F95" s="89">
        <f t="shared" si="3"/>
        <v>1</v>
      </c>
      <c r="G95" s="90" t="s">
        <v>25</v>
      </c>
      <c r="H95" s="90" t="s">
        <v>25</v>
      </c>
      <c r="I95" s="90" t="s">
        <v>25</v>
      </c>
      <c r="J95" s="90" t="s">
        <v>25</v>
      </c>
      <c r="K95" s="90" t="s">
        <v>25</v>
      </c>
      <c r="L95" s="90" t="s">
        <v>25</v>
      </c>
      <c r="M95" s="90" t="s">
        <v>25</v>
      </c>
      <c r="N95" s="90" t="s">
        <v>25</v>
      </c>
    </row>
    <row r="96">
      <c r="A96" s="29"/>
      <c r="B96" s="30">
        <v>92.0</v>
      </c>
      <c r="C96" s="61" t="s">
        <v>489</v>
      </c>
      <c r="D96" s="148" t="s">
        <v>490</v>
      </c>
      <c r="E96" s="88" t="str">
        <f t="shared" si="2"/>
        <v>8번 중 4번 참여</v>
      </c>
      <c r="F96" s="89">
        <f t="shared" si="3"/>
        <v>0.5</v>
      </c>
      <c r="G96" s="90" t="s">
        <v>25</v>
      </c>
      <c r="H96" s="90" t="s">
        <v>25</v>
      </c>
      <c r="I96" s="90" t="s">
        <v>25</v>
      </c>
      <c r="J96" s="90" t="s">
        <v>25</v>
      </c>
      <c r="K96" s="90" t="s">
        <v>80</v>
      </c>
      <c r="L96" s="41"/>
      <c r="M96" s="41"/>
      <c r="N96" s="41"/>
    </row>
    <row r="97">
      <c r="A97" s="21"/>
      <c r="B97" s="22">
        <v>93.0</v>
      </c>
      <c r="C97" s="111" t="s">
        <v>184</v>
      </c>
      <c r="D97" s="160" t="s">
        <v>603</v>
      </c>
      <c r="E97" s="88" t="str">
        <f t="shared" si="2"/>
        <v>8번 중 8번 참여</v>
      </c>
      <c r="F97" s="89">
        <f t="shared" si="3"/>
        <v>1</v>
      </c>
      <c r="G97" s="90" t="s">
        <v>25</v>
      </c>
      <c r="H97" s="90" t="s">
        <v>25</v>
      </c>
      <c r="I97" s="90" t="s">
        <v>25</v>
      </c>
      <c r="J97" s="90" t="s">
        <v>25</v>
      </c>
      <c r="K97" s="90" t="s">
        <v>25</v>
      </c>
      <c r="L97" s="90" t="s">
        <v>25</v>
      </c>
      <c r="M97" s="90" t="s">
        <v>25</v>
      </c>
      <c r="N97" s="90" t="s">
        <v>25</v>
      </c>
    </row>
    <row r="98">
      <c r="A98" s="29"/>
      <c r="B98" s="30">
        <v>94.0</v>
      </c>
      <c r="C98" s="130" t="s">
        <v>205</v>
      </c>
      <c r="D98" s="113" t="s">
        <v>206</v>
      </c>
      <c r="E98" s="88" t="str">
        <f t="shared" si="2"/>
        <v>8번 중 4번 참여</v>
      </c>
      <c r="F98" s="89">
        <f t="shared" si="3"/>
        <v>0.5</v>
      </c>
      <c r="G98" s="90" t="s">
        <v>80</v>
      </c>
      <c r="H98" s="90" t="s">
        <v>25</v>
      </c>
      <c r="I98" s="90" t="s">
        <v>25</v>
      </c>
      <c r="J98" s="90" t="s">
        <v>25</v>
      </c>
      <c r="K98" s="41"/>
      <c r="L98" s="90" t="s">
        <v>25</v>
      </c>
      <c r="M98" s="41"/>
      <c r="N98" s="41"/>
    </row>
    <row r="99">
      <c r="A99" s="21"/>
      <c r="B99" s="22">
        <v>95.0</v>
      </c>
      <c r="C99" s="109"/>
      <c r="D99" s="109"/>
      <c r="E99" s="88" t="str">
        <f t="shared" si="2"/>
        <v/>
      </c>
      <c r="F99" s="89" t="str">
        <f t="shared" si="3"/>
        <v/>
      </c>
      <c r="G99" s="41"/>
      <c r="H99" s="41"/>
      <c r="I99" s="41"/>
      <c r="J99" s="41"/>
      <c r="K99" s="41"/>
      <c r="L99" s="41"/>
      <c r="M99" s="41"/>
      <c r="N99" s="41"/>
    </row>
    <row r="100">
      <c r="A100" s="29"/>
      <c r="B100" s="30">
        <v>96.0</v>
      </c>
      <c r="C100" s="125"/>
      <c r="D100" s="125"/>
      <c r="E100" s="88" t="str">
        <f t="shared" si="2"/>
        <v/>
      </c>
      <c r="F100" s="89" t="str">
        <f t="shared" si="3"/>
        <v/>
      </c>
      <c r="G100" s="41"/>
      <c r="H100" s="41"/>
      <c r="I100" s="41"/>
      <c r="J100" s="41"/>
      <c r="K100" s="41"/>
      <c r="L100" s="41"/>
      <c r="M100" s="41"/>
      <c r="N100" s="41"/>
    </row>
    <row r="101">
      <c r="A101" s="21"/>
      <c r="B101" s="22">
        <v>97.0</v>
      </c>
      <c r="C101" s="109"/>
      <c r="D101" s="109"/>
      <c r="E101" s="88" t="str">
        <f t="shared" si="2"/>
        <v/>
      </c>
      <c r="F101" s="89" t="str">
        <f t="shared" si="3"/>
        <v/>
      </c>
      <c r="G101" s="41"/>
      <c r="H101" s="41"/>
      <c r="I101" s="41"/>
      <c r="J101" s="41"/>
      <c r="K101" s="41"/>
      <c r="L101" s="41"/>
      <c r="M101" s="41"/>
      <c r="N101" s="41"/>
    </row>
    <row r="102">
      <c r="A102" s="29"/>
      <c r="B102" s="30">
        <v>98.0</v>
      </c>
      <c r="C102" s="281"/>
      <c r="D102" s="281"/>
      <c r="E102" s="88" t="str">
        <f t="shared" si="2"/>
        <v/>
      </c>
      <c r="F102" s="89" t="str">
        <f t="shared" si="3"/>
        <v/>
      </c>
      <c r="G102" s="41"/>
      <c r="H102" s="41"/>
      <c r="I102" s="41"/>
      <c r="J102" s="41"/>
      <c r="K102" s="41"/>
      <c r="L102" s="41"/>
      <c r="M102" s="41"/>
      <c r="N102" s="41"/>
    </row>
    <row r="103">
      <c r="A103" s="21"/>
      <c r="B103" s="22">
        <v>99.0</v>
      </c>
      <c r="C103" s="68"/>
      <c r="D103" s="68"/>
      <c r="E103" s="88" t="str">
        <f t="shared" si="2"/>
        <v/>
      </c>
      <c r="F103" s="89" t="str">
        <f t="shared" si="3"/>
        <v/>
      </c>
      <c r="G103" s="41"/>
      <c r="H103" s="41"/>
      <c r="I103" s="41"/>
      <c r="J103" s="41"/>
      <c r="K103" s="41"/>
      <c r="L103" s="41"/>
      <c r="M103" s="41"/>
      <c r="N103" s="41"/>
    </row>
    <row r="104">
      <c r="A104" s="29"/>
      <c r="B104" s="30">
        <v>100.0</v>
      </c>
      <c r="C104" s="67"/>
      <c r="D104" s="67"/>
      <c r="E104" s="88" t="str">
        <f t="shared" si="2"/>
        <v/>
      </c>
      <c r="F104" s="89" t="str">
        <f t="shared" si="3"/>
        <v/>
      </c>
      <c r="G104" s="41"/>
      <c r="H104" s="41"/>
      <c r="I104" s="41"/>
      <c r="J104" s="41"/>
      <c r="K104" s="41"/>
      <c r="L104" s="41"/>
      <c r="M104" s="41"/>
      <c r="N104" s="41"/>
    </row>
    <row r="105">
      <c r="A105" s="21"/>
      <c r="B105" s="22">
        <v>101.0</v>
      </c>
      <c r="C105" s="68"/>
      <c r="D105" s="68"/>
      <c r="E105" s="88" t="str">
        <f t="shared" si="2"/>
        <v/>
      </c>
      <c r="F105" s="89" t="str">
        <f t="shared" si="3"/>
        <v/>
      </c>
      <c r="G105" s="41"/>
      <c r="H105" s="41"/>
      <c r="I105" s="41"/>
      <c r="J105" s="41"/>
      <c r="K105" s="41"/>
      <c r="L105" s="41"/>
      <c r="M105" s="41"/>
      <c r="N105" s="41"/>
    </row>
    <row r="106">
      <c r="A106" s="29"/>
      <c r="B106" s="30">
        <v>102.0</v>
      </c>
      <c r="C106" s="67"/>
      <c r="D106" s="67"/>
      <c r="E106" s="88" t="str">
        <f t="shared" si="2"/>
        <v/>
      </c>
      <c r="F106" s="89" t="str">
        <f t="shared" si="3"/>
        <v/>
      </c>
      <c r="G106" s="41"/>
      <c r="H106" s="41"/>
      <c r="I106" s="41"/>
      <c r="J106" s="41"/>
      <c r="K106" s="41"/>
      <c r="L106" s="41"/>
      <c r="M106" s="41"/>
      <c r="N106" s="41"/>
    </row>
    <row r="107">
      <c r="A107" s="21"/>
      <c r="B107" s="22">
        <v>103.0</v>
      </c>
      <c r="C107" s="68"/>
      <c r="D107" s="68"/>
      <c r="E107" s="88" t="str">
        <f t="shared" si="2"/>
        <v/>
      </c>
      <c r="F107" s="89" t="str">
        <f t="shared" si="3"/>
        <v/>
      </c>
      <c r="G107" s="41"/>
      <c r="H107" s="41"/>
      <c r="I107" s="41"/>
      <c r="J107" s="41"/>
      <c r="K107" s="41"/>
      <c r="L107" s="41"/>
      <c r="M107" s="41"/>
      <c r="N107" s="41"/>
    </row>
    <row r="108">
      <c r="A108" s="29"/>
      <c r="B108" s="30">
        <v>104.0</v>
      </c>
      <c r="C108" s="67"/>
      <c r="D108" s="67"/>
      <c r="E108" s="88" t="str">
        <f t="shared" si="2"/>
        <v/>
      </c>
      <c r="F108" s="89" t="str">
        <f t="shared" si="3"/>
        <v/>
      </c>
      <c r="G108" s="41"/>
      <c r="H108" s="41"/>
      <c r="I108" s="41"/>
      <c r="J108" s="41"/>
      <c r="K108" s="41"/>
      <c r="L108" s="41"/>
      <c r="M108" s="41"/>
      <c r="N108" s="41"/>
    </row>
    <row r="109">
      <c r="A109" s="21"/>
      <c r="B109" s="22">
        <v>105.0</v>
      </c>
      <c r="C109" s="68"/>
      <c r="D109" s="68"/>
      <c r="E109" s="88" t="str">
        <f t="shared" si="2"/>
        <v/>
      </c>
      <c r="F109" s="89" t="str">
        <f t="shared" si="3"/>
        <v/>
      </c>
      <c r="G109" s="41"/>
      <c r="H109" s="41"/>
      <c r="I109" s="41"/>
      <c r="J109" s="41"/>
      <c r="K109" s="41"/>
      <c r="L109" s="41"/>
      <c r="M109" s="41"/>
      <c r="N109" s="41"/>
    </row>
    <row r="110">
      <c r="A110" s="29"/>
      <c r="B110" s="30">
        <v>106.0</v>
      </c>
      <c r="C110" s="67"/>
      <c r="D110" s="67"/>
      <c r="E110" s="88" t="str">
        <f t="shared" si="2"/>
        <v/>
      </c>
      <c r="F110" s="89" t="str">
        <f t="shared" si="3"/>
        <v/>
      </c>
      <c r="G110" s="41"/>
      <c r="H110" s="41"/>
      <c r="I110" s="41"/>
      <c r="J110" s="41"/>
      <c r="K110" s="41"/>
      <c r="L110" s="41"/>
      <c r="M110" s="41"/>
      <c r="N110" s="41"/>
    </row>
    <row r="111">
      <c r="A111" s="21"/>
      <c r="B111" s="22">
        <v>107.0</v>
      </c>
      <c r="C111" s="68"/>
      <c r="D111" s="68"/>
      <c r="E111" s="88" t="str">
        <f t="shared" si="2"/>
        <v/>
      </c>
      <c r="F111" s="89" t="str">
        <f t="shared" si="3"/>
        <v/>
      </c>
      <c r="G111" s="41"/>
      <c r="H111" s="41"/>
      <c r="I111" s="41"/>
      <c r="J111" s="41"/>
      <c r="K111" s="41"/>
      <c r="L111" s="41"/>
      <c r="M111" s="41"/>
      <c r="N111" s="41"/>
    </row>
    <row r="112">
      <c r="A112" s="29"/>
      <c r="B112" s="30">
        <v>108.0</v>
      </c>
      <c r="C112" s="67"/>
      <c r="D112" s="67"/>
      <c r="E112" s="88" t="str">
        <f t="shared" si="2"/>
        <v/>
      </c>
      <c r="F112" s="89" t="str">
        <f t="shared" si="3"/>
        <v/>
      </c>
      <c r="G112" s="41"/>
      <c r="H112" s="41"/>
      <c r="I112" s="41"/>
      <c r="J112" s="41"/>
      <c r="K112" s="41"/>
      <c r="L112" s="41"/>
      <c r="M112" s="41"/>
      <c r="N112" s="41"/>
    </row>
    <row r="113">
      <c r="A113" s="21"/>
      <c r="B113" s="22">
        <v>109.0</v>
      </c>
      <c r="C113" s="68"/>
      <c r="D113" s="68"/>
      <c r="E113" s="88" t="str">
        <f t="shared" si="2"/>
        <v/>
      </c>
      <c r="F113" s="89" t="str">
        <f t="shared" si="3"/>
        <v/>
      </c>
      <c r="G113" s="41"/>
      <c r="H113" s="41"/>
      <c r="I113" s="41"/>
      <c r="J113" s="41"/>
      <c r="K113" s="41"/>
      <c r="L113" s="41"/>
      <c r="M113" s="41"/>
      <c r="N113" s="41"/>
    </row>
    <row r="114">
      <c r="A114" s="29"/>
      <c r="B114" s="30">
        <v>110.0</v>
      </c>
      <c r="C114" s="67"/>
      <c r="D114" s="67"/>
      <c r="E114" s="88" t="str">
        <f t="shared" si="2"/>
        <v/>
      </c>
      <c r="F114" s="89" t="str">
        <f t="shared" si="3"/>
        <v/>
      </c>
      <c r="G114" s="41"/>
      <c r="H114" s="41"/>
      <c r="I114" s="41"/>
      <c r="J114" s="41"/>
      <c r="K114" s="41"/>
      <c r="L114" s="41"/>
      <c r="M114" s="41"/>
      <c r="N114" s="41"/>
    </row>
    <row r="115">
      <c r="A115" s="21"/>
      <c r="B115" s="22">
        <v>111.0</v>
      </c>
      <c r="C115" s="68"/>
      <c r="D115" s="68"/>
      <c r="E115" s="88" t="str">
        <f t="shared" si="2"/>
        <v/>
      </c>
      <c r="F115" s="89" t="str">
        <f t="shared" si="3"/>
        <v/>
      </c>
      <c r="G115" s="41"/>
      <c r="H115" s="41"/>
      <c r="I115" s="41"/>
      <c r="J115" s="41"/>
      <c r="K115" s="41"/>
      <c r="L115" s="41"/>
      <c r="M115" s="41"/>
      <c r="N115" s="41"/>
    </row>
    <row r="116">
      <c r="A116" s="29"/>
      <c r="B116" s="30">
        <v>112.0</v>
      </c>
      <c r="C116" s="67"/>
      <c r="D116" s="67"/>
      <c r="E116" s="88" t="str">
        <f t="shared" si="2"/>
        <v/>
      </c>
      <c r="F116" s="89" t="str">
        <f t="shared" si="3"/>
        <v/>
      </c>
      <c r="G116" s="41"/>
      <c r="H116" s="41"/>
      <c r="I116" s="41"/>
      <c r="J116" s="41"/>
      <c r="K116" s="41"/>
      <c r="L116" s="41"/>
      <c r="M116" s="41"/>
      <c r="N116" s="41"/>
    </row>
    <row r="117">
      <c r="A117" s="21"/>
      <c r="B117" s="22">
        <v>113.0</v>
      </c>
      <c r="C117" s="68"/>
      <c r="D117" s="68"/>
      <c r="E117" s="88" t="str">
        <f t="shared" si="2"/>
        <v/>
      </c>
      <c r="F117" s="89" t="str">
        <f t="shared" si="3"/>
        <v/>
      </c>
      <c r="G117" s="41"/>
      <c r="H117" s="41"/>
      <c r="I117" s="41"/>
      <c r="J117" s="41"/>
      <c r="K117" s="41"/>
      <c r="L117" s="41"/>
      <c r="M117" s="41"/>
      <c r="N117" s="41"/>
    </row>
    <row r="118">
      <c r="A118" s="29"/>
      <c r="B118" s="30">
        <v>114.0</v>
      </c>
      <c r="C118" s="67"/>
      <c r="D118" s="67"/>
      <c r="E118" s="88" t="str">
        <f t="shared" si="2"/>
        <v/>
      </c>
      <c r="F118" s="89" t="str">
        <f t="shared" si="3"/>
        <v/>
      </c>
      <c r="G118" s="41"/>
      <c r="H118" s="41"/>
      <c r="I118" s="41"/>
      <c r="J118" s="41"/>
      <c r="K118" s="41"/>
      <c r="L118" s="41"/>
      <c r="M118" s="41"/>
      <c r="N118" s="41"/>
    </row>
    <row r="119">
      <c r="A119" s="21"/>
      <c r="B119" s="22">
        <v>115.0</v>
      </c>
      <c r="C119" s="68"/>
      <c r="D119" s="68"/>
      <c r="E119" s="88" t="str">
        <f t="shared" si="2"/>
        <v/>
      </c>
      <c r="F119" s="89" t="str">
        <f t="shared" si="3"/>
        <v/>
      </c>
      <c r="G119" s="41"/>
      <c r="H119" s="41"/>
      <c r="I119" s="41"/>
      <c r="J119" s="41"/>
      <c r="K119" s="41"/>
      <c r="L119" s="41"/>
      <c r="M119" s="41"/>
      <c r="N119" s="41"/>
    </row>
    <row r="120">
      <c r="A120" s="29"/>
      <c r="B120" s="30">
        <v>116.0</v>
      </c>
      <c r="C120" s="67"/>
      <c r="D120" s="67"/>
      <c r="E120" s="88" t="str">
        <f t="shared" si="2"/>
        <v/>
      </c>
      <c r="F120" s="89" t="str">
        <f t="shared" si="3"/>
        <v/>
      </c>
      <c r="G120" s="41"/>
      <c r="H120" s="41"/>
      <c r="I120" s="41"/>
      <c r="J120" s="41"/>
      <c r="K120" s="41"/>
      <c r="L120" s="41"/>
      <c r="M120" s="41"/>
      <c r="N120" s="41"/>
    </row>
    <row r="121">
      <c r="A121" s="21"/>
      <c r="B121" s="22">
        <v>117.0</v>
      </c>
      <c r="C121" s="68"/>
      <c r="D121" s="68"/>
      <c r="E121" s="88" t="str">
        <f t="shared" si="2"/>
        <v/>
      </c>
      <c r="F121" s="89" t="str">
        <f t="shared" si="3"/>
        <v/>
      </c>
      <c r="G121" s="41"/>
      <c r="H121" s="41"/>
      <c r="I121" s="41"/>
      <c r="J121" s="41"/>
      <c r="K121" s="41"/>
      <c r="L121" s="41"/>
      <c r="M121" s="41"/>
      <c r="N121" s="41"/>
    </row>
    <row r="122">
      <c r="A122" s="14"/>
      <c r="B122" s="69">
        <v>118.0</v>
      </c>
      <c r="C122" s="70"/>
      <c r="D122" s="70"/>
      <c r="E122" s="88" t="str">
        <f t="shared" si="2"/>
        <v/>
      </c>
      <c r="F122" s="89" t="str">
        <f t="shared" si="3"/>
        <v/>
      </c>
      <c r="G122" s="73"/>
      <c r="H122" s="73"/>
      <c r="I122" s="73"/>
      <c r="J122" s="73"/>
      <c r="K122" s="73"/>
      <c r="L122" s="73"/>
      <c r="M122" s="73"/>
      <c r="N122" s="73"/>
    </row>
    <row r="123">
      <c r="A123" s="14"/>
      <c r="B123" s="69">
        <v>119.0</v>
      </c>
      <c r="C123" s="70"/>
      <c r="D123" s="70"/>
      <c r="E123" s="88" t="str">
        <f t="shared" si="2"/>
        <v/>
      </c>
      <c r="F123" s="89" t="str">
        <f t="shared" si="3"/>
        <v/>
      </c>
      <c r="G123" s="73"/>
      <c r="H123" s="73"/>
      <c r="I123" s="73"/>
      <c r="J123" s="73"/>
      <c r="K123" s="73"/>
      <c r="L123" s="73"/>
      <c r="M123" s="73"/>
      <c r="N123" s="73"/>
    </row>
    <row r="124">
      <c r="A124" s="14"/>
      <c r="B124" s="69">
        <v>120.0</v>
      </c>
      <c r="C124" s="70"/>
      <c r="D124" s="70"/>
      <c r="E124" s="88" t="str">
        <f t="shared" si="2"/>
        <v/>
      </c>
      <c r="F124" s="89" t="str">
        <f t="shared" si="3"/>
        <v/>
      </c>
      <c r="G124" s="73"/>
      <c r="H124" s="73"/>
      <c r="I124" s="73"/>
      <c r="J124" s="73"/>
      <c r="K124" s="73"/>
      <c r="L124" s="73"/>
      <c r="M124" s="73"/>
      <c r="N124" s="73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</row>
  </sheetData>
  <mergeCells count="2">
    <mergeCell ref="B1:D2"/>
    <mergeCell ref="E1:F2"/>
  </mergeCells>
  <dataValidations>
    <dataValidation type="list" allowBlank="1" showErrorMessage="1" sqref="G4:N124">
      <formula1>"선택,완료"</formula1>
    </dataValidation>
  </dataValidations>
  <hyperlinks>
    <hyperlink r:id="rId1" ref="D5"/>
    <hyperlink r:id="rId2" ref="D24"/>
    <hyperlink r:id="rId3" ref="D25"/>
    <hyperlink r:id="rId4" ref="D30"/>
    <hyperlink r:id="rId5" ref="D31"/>
    <hyperlink r:id="rId6" ref="D36"/>
    <hyperlink r:id="rId7" ref="D51"/>
    <hyperlink r:id="rId8" ref="D70"/>
    <hyperlink r:id="rId9" ref="D86"/>
    <hyperlink r:id="rId10" ref="D93"/>
    <hyperlink r:id="rId11" ref="D96"/>
    <hyperlink r:id="rId12" ref="D97"/>
  </hyperlinks>
  <drawing r:id="rId13"/>
  <tableParts count="1">
    <tablePart r:id="rId15"/>
  </tableParts>
</worksheet>
</file>