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3.xml"/>
  <Override ContentType="application/vnd.openxmlformats-officedocument.spreadsheetml.table+xml" PartName="/xl/tables/table4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table+xml" PartName="/xl/tables/table15.xml"/>
  <Override ContentType="application/vnd.openxmlformats-officedocument.spreadsheetml.table+xml" PartName="/xl/tables/table6.xml"/>
  <Override ContentType="application/vnd.openxmlformats-officedocument.spreadsheetml.table+xml" PartName="/xl/tables/table8.xml"/>
  <Override ContentType="application/vnd.openxmlformats-officedocument.spreadsheetml.table+xml" PartName="/xl/tables/table11.xml"/>
  <Override ContentType="application/vnd.openxmlformats-officedocument.spreadsheetml.table+xml" PartName="/xl/tables/table5.xml"/>
  <Override ContentType="application/vnd.openxmlformats-officedocument.spreadsheetml.table+xml" PartName="/xl/tables/table3.xml"/>
  <Override ContentType="application/vnd.openxmlformats-officedocument.spreadsheetml.table+xml" PartName="/xl/tables/table10.xml"/>
  <Override ContentType="application/vnd.openxmlformats-officedocument.spreadsheetml.table+xml" PartName="/xl/tables/table7.xml"/>
  <Override ContentType="application/vnd.openxmlformats-officedocument.spreadsheetml.table+xml" PartName="/xl/tables/table14.xml"/>
  <Override ContentType="application/vnd.openxmlformats-officedocument.spreadsheetml.table+xml" PartName="/xl/tables/table12.xml"/>
  <Override ContentType="application/vnd.openxmlformats-officedocument.spreadsheetml.table+xml" PartName="/xl/tables/table9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binary" PartName="/xl/metadata"/>
  <Override ContentType="application/binary" PartName="/xl/commentsmeta0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265월" sheetId="1" r:id="rId4"/>
    <sheet state="visible" name="264월" sheetId="2" r:id="rId5"/>
    <sheet state="visible" name="263월" sheetId="3" r:id="rId6"/>
    <sheet state="visible" name="262월" sheetId="4" r:id="rId7"/>
    <sheet state="visible" name="261월" sheetId="5" r:id="rId8"/>
    <sheet state="visible" name="12월" sheetId="6" r:id="rId9"/>
    <sheet state="visible" name="11월" sheetId="7" r:id="rId10"/>
    <sheet state="visible" name="3월" sheetId="8" r:id="rId11"/>
    <sheet state="visible" name="4월" sheetId="9" r:id="rId12"/>
    <sheet state="visible" name="5월" sheetId="10" r:id="rId13"/>
    <sheet state="visible" name="6월" sheetId="11" r:id="rId14"/>
    <sheet state="visible" name="7월" sheetId="12" r:id="rId15"/>
    <sheet state="hidden" name="시트122" sheetId="13" r:id="rId16"/>
    <sheet state="visible" name="8월" sheetId="14" r:id="rId17"/>
    <sheet state="visible" name="9월" sheetId="15" r:id="rId18"/>
    <sheet state="visible" name="10월" sheetId="16" r:id="rId19"/>
  </sheets>
  <definedNames/>
  <calcPr/>
  <extLst>
    <ext uri="GoogleSheetsCustomDataVersion2">
      <go:sheetsCustomData xmlns:go="http://customooxmlschemas.google.com/" r:id="rId20" roundtripDataChecksum="rLxoBdVgSGsYlukO9pRVNsOeOp/3700GqiZlTi93bLQ="/>
    </ext>
  </extLst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C108">
      <text>
        <t xml:space="preserve">======
ID#AAAB8UO-HtI
    (2026-05-30 13:41:03)
지블리</t>
      </text>
    </comment>
  </commentList>
  <extLst>
    <ext uri="GoogleSheetsCustomDataVersion2">
      <go:sheetsCustomData xmlns:go="http://customooxmlschemas.google.com/" r:id="rId1" roundtripDataSignature="AMtx7mjJdt3BNJ4c7FA+9y/IoyApY2Pj1g=="/>
    </ext>
  </extLst>
</comments>
</file>

<file path=xl/sharedStrings.xml><?xml version="1.0" encoding="utf-8"?>
<sst xmlns="http://schemas.openxmlformats.org/spreadsheetml/2006/main" count="11150" uniqueCount="606">
  <si>
    <t>해시태그: #디인챌_0000</t>
  </si>
  <si>
    <t>자동연산
(아래는 수정 불가)</t>
  </si>
  <si>
    <t>05.02 (토)</t>
  </si>
  <si>
    <t>05.05 (화)</t>
  </si>
  <si>
    <t>05.09 (토)</t>
  </si>
  <si>
    <t>05.12(화)</t>
  </si>
  <si>
    <t>05.16 (토)</t>
  </si>
  <si>
    <t>05.19(화)</t>
  </si>
  <si>
    <t>05.23(토)</t>
  </si>
  <si>
    <t>05.26(화)</t>
  </si>
  <si>
    <t>05.30(토)</t>
  </si>
  <si>
    <t>#디인챌_0501</t>
  </si>
  <si>
    <t>#디인챌_0504</t>
  </si>
  <si>
    <t>#디인챌_0508</t>
  </si>
  <si>
    <t>#디인챌_0511</t>
  </si>
  <si>
    <t>#디인챌_0515</t>
  </si>
  <si>
    <t>#디인챌_0518</t>
  </si>
  <si>
    <t>#디인챌_0522</t>
  </si>
  <si>
    <t>#디인챌_0525</t>
  </si>
  <si>
    <t>#디인챌_0529</t>
  </si>
  <si>
    <t>멤버</t>
  </si>
  <si>
    <t>닉네임</t>
  </si>
  <si>
    <t>인스타그램 아이디(링크)</t>
  </si>
  <si>
    <t>참여 수</t>
  </si>
  <si>
    <t>참여율</t>
  </si>
  <si>
    <t>완료</t>
  </si>
  <si>
    <t>명언요정</t>
  </si>
  <si>
    <t>songjieun_psr</t>
  </si>
  <si>
    <t>이성민</t>
  </si>
  <si>
    <t>high_haeyo</t>
  </si>
  <si>
    <t>달나라동숙이네</t>
  </si>
  <si>
    <t>dalnaradongsookine</t>
  </si>
  <si>
    <t>루나집</t>
  </si>
  <si>
    <t>luna_zip</t>
  </si>
  <si>
    <t>애셋맘</t>
  </si>
  <si>
    <t xml:space="preserve">jypark_mom </t>
  </si>
  <si>
    <t>다율맘</t>
  </si>
  <si>
    <t>i_love__yul</t>
  </si>
  <si>
    <t>샤인썬</t>
  </si>
  <si>
    <t>shine_sun_young</t>
  </si>
  <si>
    <t>임다빈</t>
  </si>
  <si>
    <t>dabeen191114</t>
  </si>
  <si>
    <t>유희경</t>
  </si>
  <si>
    <t xml:space="preserve">kano.e12 </t>
  </si>
  <si>
    <t>스콜라</t>
  </si>
  <si>
    <t>atomy_schola</t>
  </si>
  <si>
    <t>84악동둘</t>
  </si>
  <si>
    <t>eunjeong0954</t>
  </si>
  <si>
    <t>신디CL</t>
  </si>
  <si>
    <t>cindylee08</t>
  </si>
  <si>
    <t>북유럽맘 미니린</t>
  </si>
  <si>
    <t>minirin_noha</t>
  </si>
  <si>
    <t xml:space="preserve">안드레아정 </t>
  </si>
  <si>
    <t>72lovewon0</t>
  </si>
  <si>
    <t>루비</t>
  </si>
  <si>
    <t>silver.lael</t>
  </si>
  <si>
    <t xml:space="preserve">더드림153 </t>
  </si>
  <si>
    <t xml:space="preserve">the_dream153 </t>
  </si>
  <si>
    <t>이미소</t>
  </si>
  <si>
    <t>smilemiso_19</t>
  </si>
  <si>
    <t>러블리쭈</t>
  </si>
  <si>
    <t>luv_lyju</t>
  </si>
  <si>
    <t>지브로</t>
  </si>
  <si>
    <t>jimyung14</t>
  </si>
  <si>
    <t>루시아</t>
  </si>
  <si>
    <t>lucia430miracle</t>
  </si>
  <si>
    <t>트루북스</t>
  </si>
  <si>
    <t>true_.books</t>
  </si>
  <si>
    <t>물가나무</t>
  </si>
  <si>
    <t>kim_soosu</t>
  </si>
  <si>
    <t>beauty_haeyo</t>
  </si>
  <si>
    <t>jypark_mom 3</t>
  </si>
  <si>
    <t>i.love_yul</t>
  </si>
  <si>
    <t>kano.e12</t>
  </si>
  <si>
    <t>콩콩</t>
  </si>
  <si>
    <t>dan.delion89</t>
  </si>
  <si>
    <t>그릿케이</t>
  </si>
  <si>
    <t>happy_gritk</t>
  </si>
  <si>
    <t>비움</t>
  </si>
  <si>
    <t>doctorbium</t>
  </si>
  <si>
    <t>선택</t>
  </si>
  <si>
    <t>하준</t>
  </si>
  <si>
    <t>ha__ju0_0n</t>
  </si>
  <si>
    <t>니케양</t>
  </si>
  <si>
    <t>nikke_1023</t>
  </si>
  <si>
    <t>썬블리</t>
  </si>
  <si>
    <t>ssunbly8318</t>
  </si>
  <si>
    <t>모니끄</t>
  </si>
  <si>
    <t>monique_illust</t>
  </si>
  <si>
    <t>캐모마일</t>
  </si>
  <si>
    <t>hatsalgadeuk</t>
  </si>
  <si>
    <t>미쉘</t>
  </si>
  <si>
    <t>bienpop</t>
  </si>
  <si>
    <t>정예원</t>
  </si>
  <si>
    <t>_yewon_0727</t>
  </si>
  <si>
    <t>안개 플라워</t>
  </si>
  <si>
    <t>he._.aart</t>
  </si>
  <si>
    <t>예은맘</t>
  </si>
  <si>
    <t>lee.sm1</t>
  </si>
  <si>
    <t>북대양</t>
  </si>
  <si>
    <t>book_daeyang</t>
  </si>
  <si>
    <t xml:space="preserve">배은주(구글) </t>
  </si>
  <si>
    <t xml:space="preserve">busybee_inner_peace </t>
  </si>
  <si>
    <t>Hoon</t>
  </si>
  <si>
    <t>n1403504</t>
  </si>
  <si>
    <t>메디원메디컬센터</t>
  </si>
  <si>
    <t>medione_medical</t>
  </si>
  <si>
    <t>윤아</t>
  </si>
  <si>
    <t>grace.yunaa</t>
  </si>
  <si>
    <t>나무노트</t>
  </si>
  <si>
    <t>namunote.kr_</t>
  </si>
  <si>
    <t>이지아</t>
  </si>
  <si>
    <t>_jia_0221</t>
  </si>
  <si>
    <t>장미라</t>
  </si>
  <si>
    <t>makeanote_thanks</t>
  </si>
  <si>
    <t>waytogo798</t>
  </si>
  <si>
    <t>hom.melier</t>
  </si>
  <si>
    <t>5번중 5번참여</t>
  </si>
  <si>
    <t xml:space="preserve">          러블리지원. </t>
  </si>
  <si>
    <t>i.lovely_jiwon</t>
  </si>
  <si>
    <t xml:space="preserve">  라은</t>
  </si>
  <si>
    <t xml:space="preserve">raeun_days_kr </t>
  </si>
  <si>
    <t xml:space="preserve">아다나ㅡ아름다운나날 </t>
  </si>
  <si>
    <t>family20255789</t>
  </si>
  <si>
    <t>(임연화)서지윤</t>
  </si>
  <si>
    <t>ji_yoon2017</t>
  </si>
  <si>
    <t>프시케라니</t>
  </si>
  <si>
    <t>hr_psyche</t>
  </si>
  <si>
    <t>지나샘</t>
  </si>
  <si>
    <t>jnk1003</t>
  </si>
  <si>
    <t>김꾸주니</t>
  </si>
  <si>
    <t>@kkujunu.fit</t>
  </si>
  <si>
    <t>유형재(빼박)</t>
  </si>
  <si>
    <t>hjyouhinsta</t>
  </si>
  <si>
    <t>루미유진</t>
  </si>
  <si>
    <t xml:space="preserve">@lumi.yujin </t>
  </si>
  <si>
    <t>방아꽃</t>
  </si>
  <si>
    <t>bangakkot</t>
  </si>
  <si>
    <t>우주의중심</t>
  </si>
  <si>
    <t xml:space="preserve">uju_center </t>
  </si>
  <si>
    <t>지윤나연맘</t>
  </si>
  <si>
    <t>_jymom_</t>
  </si>
  <si>
    <t>조경애</t>
  </si>
  <si>
    <t>ummachallenge</t>
  </si>
  <si>
    <t xml:space="preserve">정원여신 </t>
  </si>
  <si>
    <t>lilac.godness</t>
  </si>
  <si>
    <t>스쿨</t>
  </si>
  <si>
    <t>school_9477</t>
  </si>
  <si>
    <t>레몬</t>
  </si>
  <si>
    <t>seonhee.hwang</t>
  </si>
  <si>
    <t>한작가</t>
  </si>
  <si>
    <t>porori84</t>
  </si>
  <si>
    <t>유앤북</t>
  </si>
  <si>
    <t>_you_and_book_</t>
  </si>
  <si>
    <t>엘리쌤</t>
  </si>
  <si>
    <t>elissam_spes</t>
  </si>
  <si>
    <t>박서연</t>
  </si>
  <si>
    <t>sy_angel1004</t>
  </si>
  <si>
    <t>진아</t>
  </si>
  <si>
    <t xml:space="preserve">sfamilydream </t>
  </si>
  <si>
    <t xml:space="preserve">친절한열정쌤 </t>
  </si>
  <si>
    <t>shins_expand</t>
  </si>
  <si>
    <t>마샤</t>
  </si>
  <si>
    <t>marcia_zhouying</t>
  </si>
  <si>
    <t>김미혜작가</t>
  </si>
  <si>
    <t>agaphao</t>
  </si>
  <si>
    <t>이석경</t>
  </si>
  <si>
    <t>@100_chunsa</t>
  </si>
  <si>
    <t>원더맘영이</t>
  </si>
  <si>
    <t>wondermom.young</t>
  </si>
  <si>
    <t>김석원</t>
  </si>
  <si>
    <t>gimseogweon979</t>
  </si>
  <si>
    <t>동네외삼촌</t>
  </si>
  <si>
    <t>gimseokwon123</t>
  </si>
  <si>
    <t>이호수</t>
  </si>
  <si>
    <t>hosu-131111</t>
  </si>
  <si>
    <t>꿈이룸</t>
  </si>
  <si>
    <t>dream2012501</t>
  </si>
  <si>
    <t>뷰티샘</t>
  </si>
  <si>
    <t>bokbuinmanse</t>
  </si>
  <si>
    <t>해피리치천사</t>
  </si>
  <si>
    <t>miso.7873</t>
  </si>
  <si>
    <t>스타샤인</t>
  </si>
  <si>
    <t>star__shine24</t>
  </si>
  <si>
    <t>해나</t>
  </si>
  <si>
    <t>hannahcrea</t>
  </si>
  <si>
    <t>아다나</t>
  </si>
  <si>
    <t>yhdhpk@hanmail.net</t>
  </si>
  <si>
    <t>천사님</t>
  </si>
  <si>
    <t>angel_1004s</t>
  </si>
  <si>
    <t>04.04 (토)</t>
  </si>
  <si>
    <t>04.07 (화)</t>
  </si>
  <si>
    <t>04.11 (토)</t>
  </si>
  <si>
    <t>04.14 (화)</t>
  </si>
  <si>
    <t>04.18 (토)</t>
  </si>
  <si>
    <t>04.21 (화)</t>
  </si>
  <si>
    <t>04.25 (토)</t>
  </si>
  <si>
    <t>04.28 (화)</t>
  </si>
  <si>
    <t>#디인챌_0403</t>
  </si>
  <si>
    <t>#디인챌_0406</t>
  </si>
  <si>
    <t>#디인챌_0410</t>
  </si>
  <si>
    <t>#디인챌_0413</t>
  </si>
  <si>
    <t>#디인챌_0417</t>
  </si>
  <si>
    <t>#디인챌_0420</t>
  </si>
  <si>
    <t>#디인챌_0424</t>
  </si>
  <si>
    <t>#디인챌_0427</t>
  </si>
  <si>
    <t>8번중 8번참여</t>
  </si>
  <si>
    <t>혀니</t>
  </si>
  <si>
    <t>helllo_strongbaby</t>
  </si>
  <si>
    <t>03.03 (화)</t>
  </si>
  <si>
    <t>03.07 (토)</t>
  </si>
  <si>
    <t>03.10 (화)</t>
  </si>
  <si>
    <t>03.14 (토)</t>
  </si>
  <si>
    <t>03.17 (화)</t>
  </si>
  <si>
    <t>03.21 (토)</t>
  </si>
  <si>
    <t>03.24 (화)</t>
  </si>
  <si>
    <t>03.28 (토)</t>
  </si>
  <si>
    <t>03.30 (월)</t>
  </si>
  <si>
    <t>#디인챌_0302</t>
  </si>
  <si>
    <t>#디인챌_0306</t>
  </si>
  <si>
    <t>#디인챌_0309</t>
  </si>
  <si>
    <t>#디인챌_0213</t>
  </si>
  <si>
    <t>#디인챌_0316</t>
  </si>
  <si>
    <t>#디인챌_0220</t>
  </si>
  <si>
    <t>#디인챌_0323</t>
  </si>
  <si>
    <t>#디인챌_0327</t>
  </si>
  <si>
    <t>#디인챌_0330</t>
  </si>
  <si>
    <t>high_haeyoz</t>
  </si>
  <si>
    <t>9번중 9번참여</t>
  </si>
  <si>
    <t>02.03 (화)</t>
  </si>
  <si>
    <t>02.07 (토)</t>
  </si>
  <si>
    <t>02.10 (화)</t>
  </si>
  <si>
    <t>02.14 (토)</t>
  </si>
  <si>
    <t>02.17 (화)</t>
  </si>
  <si>
    <t>02.21 (토)</t>
  </si>
  <si>
    <t>02.24 (화)</t>
  </si>
  <si>
    <t>02.28 (토)</t>
  </si>
  <si>
    <t>#디인챌_0202</t>
  </si>
  <si>
    <t>#디인챌_0206</t>
  </si>
  <si>
    <t>#디인챌_0209</t>
  </si>
  <si>
    <t>#디인챌_0216</t>
  </si>
  <si>
    <t>#디인챌_0223</t>
  </si>
  <si>
    <t>#디인챌_0227</t>
  </si>
  <si>
    <t>7번중 7번참여</t>
  </si>
  <si>
    <t>01.03 (토)</t>
  </si>
  <si>
    <t>01.06 (화)</t>
  </si>
  <si>
    <t>01.10 (토)</t>
  </si>
  <si>
    <t>01.13 (화)</t>
  </si>
  <si>
    <t>01.17 (토)</t>
  </si>
  <si>
    <t>01.20 (화)</t>
  </si>
  <si>
    <t>01.24 (토)</t>
  </si>
  <si>
    <t>01.27 (화)</t>
  </si>
  <si>
    <t>01.31 (토)</t>
  </si>
  <si>
    <t>#디인챌_0102</t>
  </si>
  <si>
    <t>#디인챌_0105</t>
  </si>
  <si>
    <t>#디인챌_0109</t>
  </si>
  <si>
    <t>#디인챌_0116</t>
  </si>
  <si>
    <t>#디인챌_0119</t>
  </si>
  <si>
    <t>#디인챌_0123</t>
  </si>
  <si>
    <t>#디인챌_0126</t>
  </si>
  <si>
    <t>#디인챌_0130</t>
  </si>
  <si>
    <t>jnk1003 (72번으로)</t>
  </si>
  <si>
    <t>ji_yoon2017 (69번으로)</t>
  </si>
  <si>
    <r>
      <rPr>
        <rFont val="Malgun Gothic"/>
        <color rgb="FF1155CC"/>
        <sz val="11.0"/>
        <u/>
      </rPr>
      <t>hom.melier</t>
    </r>
    <r>
      <rPr>
        <rFont val="Malgun Gothic"/>
        <color rgb="FF000000"/>
        <sz val="11.0"/>
      </rPr>
      <t>(65번으로)</t>
    </r>
  </si>
  <si>
    <t>family20255789 (68번으로)</t>
  </si>
  <si>
    <t>12.02 (화)</t>
  </si>
  <si>
    <t>12.06 (토)</t>
  </si>
  <si>
    <t>12.09 (화)</t>
  </si>
  <si>
    <t>12.13 (토)</t>
  </si>
  <si>
    <t>12.16 (화)</t>
  </si>
  <si>
    <t>12.20 (토)</t>
  </si>
  <si>
    <t>12.23 (화)</t>
  </si>
  <si>
    <t>12.27 (토)</t>
  </si>
  <si>
    <t>12.30 (화)</t>
  </si>
  <si>
    <t>#디인챌_1201</t>
  </si>
  <si>
    <t>#디인챌_1205</t>
  </si>
  <si>
    <t>#디인챌_1208</t>
  </si>
  <si>
    <t>#디인챌_1212</t>
  </si>
  <si>
    <t>#디인챌_1215</t>
  </si>
  <si>
    <t>#디인챌_1219</t>
  </si>
  <si>
    <t>#디인챌_1222</t>
  </si>
  <si>
    <t>#디인챌_1226</t>
  </si>
  <si>
    <t>#디인챌_1229</t>
  </si>
  <si>
    <t>동연출판사</t>
  </si>
  <si>
    <t>dongyeon_press</t>
  </si>
  <si>
    <t>러블리지원</t>
  </si>
  <si>
    <t>라은</t>
  </si>
  <si>
    <t>11.01 (토)</t>
  </si>
  <si>
    <t>11.04 (화)</t>
  </si>
  <si>
    <t>11.08 (토)</t>
  </si>
  <si>
    <t>11.11 (화)</t>
  </si>
  <si>
    <t>11.15 (토)</t>
  </si>
  <si>
    <t>11.18 (화)</t>
  </si>
  <si>
    <t>11.22 (토)</t>
  </si>
  <si>
    <t>11.25 (화)</t>
  </si>
  <si>
    <t>11.29 (토)</t>
  </si>
  <si>
    <t>#디인챌_1031</t>
  </si>
  <si>
    <t>#디인챌_1103</t>
  </si>
  <si>
    <t>#디인챌_1107</t>
  </si>
  <si>
    <t>#디인챌_1110</t>
  </si>
  <si>
    <t>#디인챌_1114</t>
  </si>
  <si>
    <t>#디인챌_1117</t>
  </si>
  <si>
    <t>#디인챌_1121</t>
  </si>
  <si>
    <t>#디인챌_1124</t>
  </si>
  <si>
    <t>#디인챌_1128</t>
  </si>
  <si>
    <r>
      <rPr>
        <rFont val="-apple-system, BlinkMacSystemFont, &quot;Segoe UI&quot;, Roboto, Helvetica, Arial, sans-serif"/>
        <color rgb="FF000000"/>
        <sz val="11.0"/>
        <u/>
      </rPr>
      <t>hannah_calli_</t>
    </r>
  </si>
  <si>
    <t>03.01 (토)</t>
  </si>
  <si>
    <t>03.04 (화)</t>
  </si>
  <si>
    <t>03.08 (토)</t>
  </si>
  <si>
    <t>03.11 (화)</t>
  </si>
  <si>
    <t>03.15 (토)</t>
  </si>
  <si>
    <t>03.18 (화)</t>
  </si>
  <si>
    <t>03.22 (토)</t>
  </si>
  <si>
    <t>03.25 (화)</t>
  </si>
  <si>
    <t>03.29 (토)</t>
  </si>
  <si>
    <t>패널티/경고</t>
  </si>
  <si>
    <t>#러블리_0228</t>
  </si>
  <si>
    <t>#러블리_0303</t>
  </si>
  <si>
    <t>#러블리_0307</t>
  </si>
  <si>
    <t>#러블리_0310</t>
  </si>
  <si>
    <t>#러블리_0314</t>
  </si>
  <si>
    <t>#러블리_0317</t>
  </si>
  <si>
    <t>#러블리_0321</t>
  </si>
  <si>
    <t>#러블리_0324</t>
  </si>
  <si>
    <t>#러블리_0328</t>
  </si>
  <si>
    <t>인스타그램 아이디</t>
  </si>
  <si>
    <t>염양</t>
  </si>
  <si>
    <t>go_with_god</t>
  </si>
  <si>
    <t>한세나</t>
  </si>
  <si>
    <t>funky_sena</t>
  </si>
  <si>
    <t>mato_otok</t>
  </si>
  <si>
    <t>폴링업</t>
  </si>
  <si>
    <t>book_fallingup</t>
  </si>
  <si>
    <t>깜찍</t>
  </si>
  <si>
    <t xml:space="preserve">ggamzzic_cute </t>
  </si>
  <si>
    <t>가을웅덩이</t>
  </si>
  <si>
    <t>gaeulung</t>
  </si>
  <si>
    <t>도다네</t>
  </si>
  <si>
    <t>ttonghee</t>
  </si>
  <si>
    <t>do_ravie</t>
  </si>
  <si>
    <t>kkuma.marketer</t>
  </si>
  <si>
    <t>좋은나무</t>
  </si>
  <si>
    <t>goodtree_kr</t>
  </si>
  <si>
    <t>김준</t>
  </si>
  <si>
    <t>cyberria75</t>
  </si>
  <si>
    <t>김미혜</t>
  </si>
  <si>
    <t>amazing_mihye</t>
  </si>
  <si>
    <t xml:space="preserve">김미영 </t>
  </si>
  <si>
    <t>miyeong549</t>
  </si>
  <si>
    <t>임혜경</t>
  </si>
  <si>
    <t>im_hyegyeong</t>
  </si>
  <si>
    <t>이쁜영이</t>
  </si>
  <si>
    <t>1_1_4rang</t>
  </si>
  <si>
    <t>금잔디</t>
  </si>
  <si>
    <t xml:space="preserve">jelly_ibebe </t>
  </si>
  <si>
    <t>유야</t>
  </si>
  <si>
    <t>jeynbook</t>
  </si>
  <si>
    <t xml:space="preserve">박정숙 긍정쌤 </t>
  </si>
  <si>
    <t xml:space="preserve">warm_story_ai </t>
  </si>
  <si>
    <t>늘푸른오키</t>
  </si>
  <si>
    <t xml:space="preserve">evergreen_oki </t>
  </si>
  <si>
    <t>운교언니</t>
  </si>
  <si>
    <t>ungyo_unnie</t>
  </si>
  <si>
    <t>silby</t>
  </si>
  <si>
    <t>silby4545</t>
  </si>
  <si>
    <t>나컨세</t>
  </si>
  <si>
    <t>naconse_life</t>
  </si>
  <si>
    <t>써브4현옥</t>
  </si>
  <si>
    <t>leejinkyo88_2</t>
  </si>
  <si>
    <t>이하은</t>
  </si>
  <si>
    <t>haeun_solsolsol_</t>
  </si>
  <si>
    <t xml:space="preserve">윤아 </t>
  </si>
  <si>
    <t xml:space="preserve">방아꽃 </t>
  </si>
  <si>
    <t>방아꽃부계</t>
  </si>
  <si>
    <t>꿈정원사 디나쌤</t>
  </si>
  <si>
    <t>dina_aihub</t>
  </si>
  <si>
    <t>들꽃 장정숙</t>
  </si>
  <si>
    <t xml:space="preserve">jangjeongsuk990 </t>
  </si>
  <si>
    <t>포베</t>
  </si>
  <si>
    <t>_olivepobe_</t>
  </si>
  <si>
    <t>세라톡톡</t>
  </si>
  <si>
    <t>saratalktalk34</t>
  </si>
  <si>
    <t>핑크공작새</t>
  </si>
  <si>
    <t>pinggong_drawing</t>
  </si>
  <si>
    <t>도로시78</t>
  </si>
  <si>
    <t>kyoung_hui</t>
  </si>
  <si>
    <t>유진(시소우삼남매맘)</t>
  </si>
  <si>
    <t>sisowoo_love</t>
  </si>
  <si>
    <t>리부트란</t>
  </si>
  <si>
    <t>reboot_hyeran</t>
  </si>
  <si>
    <t>쏭블리쌤</t>
  </si>
  <si>
    <t>ssongvely79</t>
  </si>
  <si>
    <t>angelar</t>
  </si>
  <si>
    <t>angelar_ann</t>
  </si>
  <si>
    <t>왓싸비</t>
  </si>
  <si>
    <t>what_sobby</t>
  </si>
  <si>
    <t xml:space="preserve">jimyung14 </t>
  </si>
  <si>
    <t xml:space="preserve">지율맘  </t>
  </si>
  <si>
    <t>lhk0920__0</t>
  </si>
  <si>
    <t>kimseokwon123</t>
  </si>
  <si>
    <t>gimsegweon979</t>
  </si>
  <si>
    <t>3월</t>
  </si>
  <si>
    <t>04.01 (화)</t>
  </si>
  <si>
    <t>04.05 (토)</t>
  </si>
  <si>
    <t>04.08 (화)</t>
  </si>
  <si>
    <t>04.12 (토)</t>
  </si>
  <si>
    <t>04.15 (화)</t>
  </si>
  <si>
    <t>04.19 (토)</t>
  </si>
  <si>
    <t>04.22 (화)</t>
  </si>
  <si>
    <t>04.26 (토)</t>
  </si>
  <si>
    <t>04.29 (화)</t>
  </si>
  <si>
    <t>#러블리_0331</t>
  </si>
  <si>
    <t>#러블리_0404</t>
  </si>
  <si>
    <t>#러블리_0407</t>
  </si>
  <si>
    <t>#러블리_0411</t>
  </si>
  <si>
    <t>#러블리_0414</t>
  </si>
  <si>
    <t>#러블리_0418</t>
  </si>
  <si>
    <t>#러블리_0421</t>
  </si>
  <si>
    <t>#러블리_0425</t>
  </si>
  <si>
    <t>#러블리_0428</t>
  </si>
  <si>
    <t>펑키세나</t>
  </si>
  <si>
    <t>맛톡</t>
  </si>
  <si>
    <t>도다네부계</t>
  </si>
  <si>
    <t>송영화(쏭블리쌤)</t>
  </si>
  <si>
    <t>나부</t>
  </si>
  <si>
    <t>loveholic_you_</t>
  </si>
  <si>
    <t>9번 중 9번 참여</t>
  </si>
  <si>
    <t>지율맘</t>
  </si>
  <si>
    <t xml:space="preserve">lhk0920__0 </t>
  </si>
  <si>
    <t>경미</t>
  </si>
  <si>
    <t>valueplus2</t>
  </si>
  <si>
    <t>lumi.yujin</t>
  </si>
  <si>
    <t>서율</t>
  </si>
  <si>
    <t>blanc2mom</t>
  </si>
  <si>
    <t>싱가폴</t>
  </si>
  <si>
    <t>seoulbrother.sg</t>
  </si>
  <si>
    <t>해피리치천사사</t>
  </si>
  <si>
    <t xml:space="preserve"> </t>
  </si>
  <si>
    <t>05.03 (토)</t>
  </si>
  <si>
    <t>05.06 (화)</t>
  </si>
  <si>
    <t>05.10 (토)</t>
  </si>
  <si>
    <t>05.13 (화)</t>
  </si>
  <si>
    <t>05.17 (토)</t>
  </si>
  <si>
    <t>05.20 (화)</t>
  </si>
  <si>
    <t>05.24 (토)</t>
  </si>
  <si>
    <t>05.27 (화)</t>
  </si>
  <si>
    <t>05.31 (토)</t>
  </si>
  <si>
    <t>#디인챌_0502</t>
  </si>
  <si>
    <t>#디인챌_0505</t>
  </si>
  <si>
    <t>#디인챌_0509</t>
  </si>
  <si>
    <t>#디인챌_0512</t>
  </si>
  <si>
    <t>#디인챌_0516</t>
  </si>
  <si>
    <t>#디인챌_0519</t>
  </si>
  <si>
    <t>#디인챌_0523</t>
  </si>
  <si>
    <t>#디인챌_0526</t>
  </si>
  <si>
    <t>#디인챌_0530</t>
  </si>
  <si>
    <t>9번중 9번 참여</t>
  </si>
  <si>
    <t>스토리마마</t>
  </si>
  <si>
    <t>셀레나</t>
  </si>
  <si>
    <t xml:space="preserve">queenlike_me </t>
  </si>
  <si>
    <t>9번 중 7번 참여</t>
  </si>
  <si>
    <t xml:space="preserve">들꽃 </t>
  </si>
  <si>
    <t>규리드림</t>
  </si>
  <si>
    <t>kyuri.dream</t>
  </si>
  <si>
    <t>혜니</t>
  </si>
  <si>
    <t>pinkly.travel</t>
  </si>
  <si>
    <t xml:space="preserve">아모르샘 </t>
  </si>
  <si>
    <t xml:space="preserve">amorssam </t>
  </si>
  <si>
    <t>3번 중 3번 참여</t>
  </si>
  <si>
    <t>1번 중 1번 참여</t>
  </si>
  <si>
    <t>06.03 (화)</t>
  </si>
  <si>
    <t>06.07 (토)</t>
  </si>
  <si>
    <t>06.10 (화)</t>
  </si>
  <si>
    <t>06.14 (토)</t>
  </si>
  <si>
    <t>06.17 (화)</t>
  </si>
  <si>
    <t>06.21 (토)</t>
  </si>
  <si>
    <t>06.24 (화)</t>
  </si>
  <si>
    <t>06.28 (토)</t>
  </si>
  <si>
    <t>#디인챌_0602</t>
  </si>
  <si>
    <t>#디인챌_0606</t>
  </si>
  <si>
    <t>#디인챌_0609</t>
  </si>
  <si>
    <t>#디인챌_0613</t>
  </si>
  <si>
    <t>#디인챌_0616</t>
  </si>
  <si>
    <t>#디인챌_0620</t>
  </si>
  <si>
    <t>#디인챌_0623</t>
  </si>
  <si>
    <t>#디인챌_0627</t>
  </si>
  <si>
    <t>hyuncoach_labz</t>
  </si>
  <si>
    <t>8번중 8번 참여</t>
  </si>
  <si>
    <t>5번중 3번 참여</t>
  </si>
  <si>
    <t>디디</t>
  </si>
  <si>
    <t>didi_company_books</t>
  </si>
  <si>
    <t>작은행동</t>
  </si>
  <si>
    <t>littleactioncontent</t>
  </si>
  <si>
    <t>차영지</t>
  </si>
  <si>
    <t>youngjicha</t>
  </si>
  <si>
    <t>현</t>
  </si>
  <si>
    <t>07.01 (화)</t>
  </si>
  <si>
    <t>07.05 (토)</t>
  </si>
  <si>
    <t>07.08 (화)</t>
  </si>
  <si>
    <t>07.12 (토)</t>
  </si>
  <si>
    <t>07.15 (화)</t>
  </si>
  <si>
    <t>07.19 (토)</t>
  </si>
  <si>
    <t>07.22 (화)</t>
  </si>
  <si>
    <t>07.26 (토)</t>
  </si>
  <si>
    <t>07.29 (화)</t>
  </si>
  <si>
    <t>#디인챌_0630</t>
  </si>
  <si>
    <t>#디인챌_0704</t>
  </si>
  <si>
    <t>#디인챌_0707</t>
  </si>
  <si>
    <t>#디인챌_0711</t>
  </si>
  <si>
    <t>#디인챌_0714</t>
  </si>
  <si>
    <t>#디인챌_0718</t>
  </si>
  <si>
    <t>#디인챌_0721</t>
  </si>
  <si>
    <t>#디인챌_0725</t>
  </si>
  <si>
    <t>#디인챌_0728</t>
  </si>
  <si>
    <t>하단에 추가 시트 생성 하지 말기^^</t>
  </si>
  <si>
    <t xml:space="preserve">뷰티샘 </t>
  </si>
  <si>
    <t xml:space="preserve">bokbuinmanse </t>
  </si>
  <si>
    <t>동연출판사(책과삶)</t>
  </si>
  <si>
    <t>booksnlife25</t>
  </si>
  <si>
    <t>08.02 (토)</t>
  </si>
  <si>
    <t>08.05 (화)</t>
  </si>
  <si>
    <t>08.09 (토)</t>
  </si>
  <si>
    <t>08.12 (화)</t>
  </si>
  <si>
    <t>08.16 (토)</t>
  </si>
  <si>
    <t>08.19 (화)</t>
  </si>
  <si>
    <t>08.23 (토)</t>
  </si>
  <si>
    <t>08.26 (화)</t>
  </si>
  <si>
    <t>08.30 (토)</t>
  </si>
  <si>
    <t>#디인챌_0801</t>
  </si>
  <si>
    <t>#디인챌_0804</t>
  </si>
  <si>
    <t>#디인챌_0808</t>
  </si>
  <si>
    <t>#디인챌_0811</t>
  </si>
  <si>
    <t>#디인챌_0815</t>
  </si>
  <si>
    <t>#디인챌_0818</t>
  </si>
  <si>
    <t>#디인챌_0822</t>
  </si>
  <si>
    <t>#디인챌_0825</t>
  </si>
  <si>
    <t>#디인챌_0829</t>
  </si>
  <si>
    <t>김수수</t>
  </si>
  <si>
    <t>wort.tree</t>
  </si>
  <si>
    <t>국제진로전문가</t>
  </si>
  <si>
    <t>머즈랩</t>
  </si>
  <si>
    <t>designer_muzz_</t>
  </si>
  <si>
    <t>책과삶</t>
  </si>
  <si>
    <t>까매오걸</t>
  </si>
  <si>
    <t>kameogirl</t>
  </si>
  <si>
    <r>
      <rPr>
        <rFont val="-apple-system, BlinkMacSystemFont, &quot;Segoe UI&quot;, Roboto, Helvetica, Arial, sans-serif"/>
        <color rgb="FF1155CC"/>
        <sz val="11.0"/>
        <u/>
      </rPr>
      <t>hannah_calli_</t>
    </r>
  </si>
  <si>
    <t>위즈</t>
  </si>
  <si>
    <t>eunsoon.hong</t>
  </si>
  <si>
    <t>93번으로 번호 이동!</t>
  </si>
  <si>
    <t>85번으로 번호 이동!</t>
  </si>
  <si>
    <t>71번으로 번호 이동!</t>
  </si>
  <si>
    <t>33번으로 번호 이동!</t>
  </si>
  <si>
    <t>1번중 1번 참여</t>
  </si>
  <si>
    <t>42번으로 번호 이동!</t>
  </si>
  <si>
    <t>아다나&gt;9월 시트 64번</t>
  </si>
  <si>
    <t>@family20255789</t>
  </si>
  <si>
    <t>100_chunsa</t>
  </si>
  <si>
    <t>지블리</t>
  </si>
  <si>
    <t xml:space="preserve">@gibael </t>
  </si>
  <si>
    <t>09.02 (화)</t>
  </si>
  <si>
    <t>09.06 (토)</t>
  </si>
  <si>
    <t>09.09 (화)</t>
  </si>
  <si>
    <t>09.13 (토)</t>
  </si>
  <si>
    <t>09.16 (화)</t>
  </si>
  <si>
    <t>09.20 (토)</t>
  </si>
  <si>
    <t>09.23 (화)</t>
  </si>
  <si>
    <t>09.27 (토)</t>
  </si>
  <si>
    <t>09.30 (화)</t>
  </si>
  <si>
    <t>#디인챌_0901</t>
  </si>
  <si>
    <t>#디인챌_0905</t>
  </si>
  <si>
    <t>#디인챌_0908</t>
  </si>
  <si>
    <t>#디인챌_0912</t>
  </si>
  <si>
    <t>#디인챌_0915</t>
  </si>
  <si>
    <t>#디인챌_0919</t>
  </si>
  <si>
    <t>#디인챌_0922</t>
  </si>
  <si>
    <t>#디인챌_0926</t>
  </si>
  <si>
    <t>#디인챌_0929</t>
  </si>
  <si>
    <t xml:space="preserve">지블리 </t>
  </si>
  <si>
    <t>@amazing_mihye</t>
  </si>
  <si>
    <t>@hom.melier</t>
  </si>
  <si>
    <t>머즈</t>
  </si>
  <si>
    <t>designer_muzz</t>
  </si>
  <si>
    <r>
      <rPr>
        <rFont val="-apple-system, BlinkMacSystemFont, &quot;Segoe UI&quot;, Roboto, Helvetica, Arial, sans-serif"/>
        <color rgb="FF1155CC"/>
        <sz val="11.0"/>
        <u/>
      </rPr>
      <t>hannah_calli_</t>
    </r>
  </si>
  <si>
    <t>프시케라니&gt;&gt;48번으로</t>
  </si>
  <si>
    <t>캐모마일&gt;&gt;33번으로</t>
  </si>
  <si>
    <t>이석경&gt;&gt;74번으로</t>
  </si>
  <si>
    <t>차영지&gt;&gt;90번으로</t>
  </si>
  <si>
    <t>10.04 (토)</t>
  </si>
  <si>
    <t>10.07 (화)</t>
  </si>
  <si>
    <t>10.11 (토)</t>
  </si>
  <si>
    <t>10.14 (화)</t>
  </si>
  <si>
    <t>10.18 (토)</t>
  </si>
  <si>
    <t>10.21 (화)</t>
  </si>
  <si>
    <t>10.25 (토)</t>
  </si>
  <si>
    <t>10.28 (화)</t>
  </si>
  <si>
    <t>#디인챌_1003</t>
  </si>
  <si>
    <t>#디인챌_1006</t>
  </si>
  <si>
    <t>#디인챌_1010</t>
  </si>
  <si>
    <t>#디인챌_1013</t>
  </si>
  <si>
    <t>#디인챌_1017</t>
  </si>
  <si>
    <t>#디인챌_1020</t>
  </si>
  <si>
    <t>#디인챌_1024</t>
  </si>
  <si>
    <t>#디인챌_1027</t>
  </si>
  <si>
    <t>쏭블리</t>
  </si>
  <si>
    <t xml:space="preserve">ssongvely79 </t>
  </si>
  <si>
    <r>
      <rPr>
        <rFont val="-apple-system, BlinkMacSystemFont, &quot;Segoe UI&quot;, Roboto, Helvetica, Arial, sans-serif"/>
        <color rgb="FF000000"/>
        <sz val="11.0"/>
        <u/>
      </rPr>
      <t>hannah_calli_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</si>
</sst>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0">
    <font>
      <sz val="10.0"/>
      <color rgb="FF000000"/>
      <name val="Arial"/>
      <scheme val="minor"/>
    </font>
    <font>
      <color theme="1"/>
      <name val="Arial"/>
    </font>
    <font>
      <b/>
      <sz val="12.0"/>
      <color rgb="FFFFFFFF"/>
      <name val="Malgun Gothic"/>
    </font>
    <font>
      <b/>
      <sz val="11.0"/>
      <color rgb="FFFFFFFF"/>
      <name val="Malgun Gothic"/>
    </font>
    <font>
      <b/>
      <sz val="11.0"/>
      <color theme="1"/>
      <name val="Malgun Gothic"/>
    </font>
    <font>
      <b/>
      <color theme="1"/>
      <name val="Arial"/>
    </font>
    <font>
      <sz val="11.0"/>
      <color theme="1"/>
      <name val="Malgun Gothic"/>
    </font>
    <font>
      <u/>
      <sz val="11.0"/>
      <color rgb="FF1155CC"/>
      <name val="Malgun Gothic"/>
    </font>
    <font>
      <b/>
      <color theme="1"/>
      <name val="Malgun Gothic"/>
    </font>
    <font>
      <u/>
      <sz val="11.0"/>
      <color rgb="FF1155CC"/>
      <name val="Malgun Gothic"/>
    </font>
    <font>
      <sz val="11.0"/>
      <color theme="1"/>
      <name val="Arial"/>
    </font>
    <font>
      <u/>
      <sz val="11.0"/>
      <color rgb="FF1155CC"/>
      <name val="Arial"/>
    </font>
    <font>
      <u/>
      <color rgb="FF1155CC"/>
      <name val="Arial"/>
    </font>
    <font>
      <sz val="11.0"/>
      <color rgb="FF0000FF"/>
      <name val="Malgun Gothic"/>
    </font>
    <font>
      <color rgb="FF0000FF"/>
      <name val="Arial"/>
    </font>
    <font>
      <u/>
      <sz val="11.0"/>
      <color theme="1"/>
      <name val="Malgun Gothic"/>
    </font>
    <font>
      <color theme="1"/>
      <name val="Malgun Gothic"/>
    </font>
    <font>
      <u/>
      <sz val="11.0"/>
      <color rgb="FF000000"/>
      <name val="Malgun Gothic"/>
    </font>
    <font>
      <b/>
      <color theme="0"/>
      <name val="Malgun Gothic"/>
    </font>
    <font>
      <b/>
      <sz val="11.0"/>
      <color theme="0"/>
      <name val="Malgun Gothic"/>
    </font>
    <font>
      <sz val="11.0"/>
      <color rgb="FF000000"/>
      <name val="Malgun Gothic"/>
    </font>
    <font>
      <u/>
      <sz val="11.0"/>
      <color rgb="FF000000"/>
      <name val="Arial"/>
    </font>
    <font>
      <color rgb="FF000000"/>
      <name val="Arial"/>
    </font>
    <font>
      <sz val="11.0"/>
      <color rgb="FF000000"/>
      <name val="Arial"/>
    </font>
    <font>
      <u/>
      <sz val="11.0"/>
      <color rgb="FF000000"/>
      <name val="Malgun Gothic"/>
    </font>
    <font>
      <u/>
      <color rgb="FF0000FF"/>
      <name val="Arial"/>
    </font>
    <font>
      <u/>
      <sz val="11.0"/>
      <color rgb="FF0000FF"/>
      <name val="Malgun Gothic"/>
    </font>
    <font>
      <sz val="10.0"/>
      <color theme="1"/>
      <name val="Malgun Gothic"/>
    </font>
    <font>
      <strike/>
      <sz val="11.0"/>
      <color theme="1"/>
      <name val="Malgun Gothic"/>
    </font>
    <font>
      <color theme="1"/>
      <name val="Arial"/>
      <scheme val="minor"/>
    </font>
    <font>
      <u/>
      <color rgb="FF000000"/>
      <name val="Arial"/>
    </font>
    <font>
      <u/>
      <sz val="11.0"/>
      <color rgb="FF000000"/>
      <name val="Malgun Gothic"/>
    </font>
    <font>
      <u/>
      <sz val="11.0"/>
      <color rgb="FF0000FF"/>
      <name val="Malgun Gothic"/>
    </font>
    <font>
      <color rgb="FFB7B7B7"/>
      <name val="Arial"/>
    </font>
    <font>
      <u/>
      <sz val="11.0"/>
      <color rgb="FF000000"/>
    </font>
    <font>
      <b/>
      <sz val="11.0"/>
      <color rgb="FF000000"/>
      <name val="Malgun Gothic"/>
    </font>
    <font>
      <u/>
      <sz val="11.0"/>
      <color rgb="FF000000"/>
      <name val="Malgun Gothic"/>
    </font>
    <font>
      <sz val="11.0"/>
      <color rgb="FFEFEFEF"/>
      <name val="Malgun Gothic"/>
    </font>
    <font>
      <b/>
      <u/>
      <sz val="11.0"/>
      <color rgb="FF000000"/>
      <name val="Malgun Gothic"/>
    </font>
    <font>
      <u/>
      <sz val="11.0"/>
      <color rgb="FF0000FF"/>
      <name val="Malgun Gothic"/>
    </font>
    <font>
      <color theme="0"/>
      <name val="Malgun Gothic"/>
    </font>
    <font>
      <color theme="0"/>
      <name val="Arial"/>
    </font>
    <font>
      <u/>
      <sz val="11.0"/>
      <color rgb="FF0000FF"/>
      <name val="Malgun Gothic"/>
    </font>
    <font>
      <color rgb="FFFFFFFF"/>
      <name val="Arial"/>
    </font>
    <font>
      <u/>
      <sz val="11.0"/>
      <color rgb="FF0000FF"/>
      <name val="Malgun Gothic"/>
    </font>
    <font>
      <u/>
      <color rgb="FF0000FF"/>
      <name val="Malgun Gothic"/>
    </font>
    <font>
      <u/>
      <color rgb="FF0000FF"/>
      <name val="Arial"/>
    </font>
    <font>
      <b/>
      <color rgb="FFFFFFFF"/>
      <name val="Malgun Gothic"/>
    </font>
    <font>
      <u/>
      <sz val="11.0"/>
      <color rgb="FF0000FF"/>
      <name val="Arial"/>
    </font>
    <font>
      <u/>
      <sz val="11.0"/>
      <color rgb="FF0000FF"/>
      <name val="Malgun Gothic"/>
    </font>
    <font>
      <u/>
      <sz val="11.0"/>
      <color rgb="FF0000FF"/>
    </font>
    <font>
      <b/>
      <sz val="12.0"/>
      <color rgb="FFFFFFFF"/>
      <name val="Arial"/>
    </font>
    <font>
      <u/>
      <color rgb="FF0000FF"/>
    </font>
    <font>
      <u/>
      <sz val="11.0"/>
      <color rgb="FF0000FF"/>
      <name val="Arial"/>
    </font>
    <font>
      <u/>
      <color rgb="FF1155CC"/>
      <name val="Arial"/>
    </font>
    <font>
      <u/>
      <color rgb="FF1155CC"/>
      <name val="Malgun Gothic"/>
    </font>
    <font>
      <u/>
      <sz val="11.0"/>
      <color rgb="FF1155CC"/>
      <name val="Malgun Gothic"/>
    </font>
    <font>
      <color rgb="FF4A86E8"/>
      <name val="Malgun Gothic"/>
    </font>
    <font>
      <color rgb="FF0B5394"/>
      <name val="Arial"/>
    </font>
    <font>
      <u/>
      <sz val="11.0"/>
      <color rgb="FF000000"/>
      <name val="Malgun Gothic"/>
    </font>
  </fonts>
  <fills count="18">
    <fill>
      <patternFill patternType="none"/>
    </fill>
    <fill>
      <patternFill patternType="lightGray"/>
    </fill>
    <fill>
      <patternFill patternType="solid">
        <fgColor rgb="FF4A86E8"/>
        <bgColor rgb="FF4A86E8"/>
      </patternFill>
    </fill>
    <fill>
      <patternFill patternType="solid">
        <fgColor rgb="FFEA4335"/>
        <bgColor rgb="FFEA4335"/>
      </patternFill>
    </fill>
    <fill>
      <patternFill patternType="solid">
        <fgColor rgb="FFFFFF00"/>
        <bgColor rgb="FFFFFF00"/>
      </patternFill>
    </fill>
    <fill>
      <patternFill patternType="solid">
        <fgColor rgb="FFFBBC04"/>
        <bgColor rgb="FFFBBC04"/>
      </patternFill>
    </fill>
    <fill>
      <patternFill patternType="solid">
        <fgColor rgb="FFFFFFFF"/>
        <bgColor rgb="FFFFFFFF"/>
      </patternFill>
    </fill>
    <fill>
      <patternFill patternType="solid">
        <fgColor rgb="FF4285F4"/>
        <bgColor rgb="FF4285F4"/>
      </patternFill>
    </fill>
    <fill>
      <patternFill patternType="solid">
        <fgColor rgb="FFE7F9EF"/>
        <bgColor rgb="FFE7F9EF"/>
      </patternFill>
    </fill>
    <fill>
      <patternFill patternType="solid">
        <fgColor theme="0"/>
        <bgColor theme="0"/>
      </patternFill>
    </fill>
    <fill>
      <patternFill patternType="solid">
        <fgColor theme="4"/>
        <bgColor theme="4"/>
      </patternFill>
    </fill>
    <fill>
      <patternFill patternType="solid">
        <fgColor theme="5"/>
        <bgColor theme="5"/>
      </patternFill>
    </fill>
    <fill>
      <patternFill patternType="solid">
        <fgColor rgb="FF00FFFF"/>
        <bgColor rgb="FF00FFFF"/>
      </patternFill>
    </fill>
    <fill>
      <patternFill patternType="solid">
        <fgColor theme="6"/>
        <bgColor theme="6"/>
      </patternFill>
    </fill>
    <fill>
      <patternFill patternType="solid">
        <fgColor rgb="FFD9E1F2"/>
        <bgColor rgb="FFD9E1F2"/>
      </patternFill>
    </fill>
    <fill>
      <patternFill patternType="solid">
        <fgColor rgb="FFFFE599"/>
        <bgColor rgb="FFFFE599"/>
      </patternFill>
    </fill>
    <fill>
      <patternFill patternType="solid">
        <fgColor rgb="FFFFF2CC"/>
        <bgColor rgb="FFFFF2CC"/>
      </patternFill>
    </fill>
    <fill>
      <patternFill patternType="solid">
        <fgColor rgb="FFFF0000"/>
        <bgColor rgb="FFFF0000"/>
      </patternFill>
    </fill>
  </fills>
  <borders count="5">
    <border/>
    <border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0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2" fontId="2" numFmtId="0" xfId="0" applyAlignment="1" applyFill="1" applyFont="1">
      <alignment horizontal="center" vertical="bottom"/>
    </xf>
    <xf borderId="0" fillId="3" fontId="3" numFmtId="0" xfId="0" applyAlignment="1" applyFill="1" applyFont="1">
      <alignment horizontal="center" vertical="bottom"/>
    </xf>
    <xf borderId="0" fillId="4" fontId="1" numFmtId="0" xfId="0" applyAlignment="1" applyFill="1" applyFont="1">
      <alignment vertical="bottom"/>
    </xf>
    <xf borderId="0" fillId="4" fontId="4" numFmtId="0" xfId="0" applyAlignment="1" applyFont="1">
      <alignment horizontal="center" vertical="bottom"/>
    </xf>
    <xf borderId="1" fillId="4" fontId="1" numFmtId="0" xfId="0" applyAlignment="1" applyBorder="1" applyFont="1">
      <alignment vertical="bottom"/>
    </xf>
    <xf borderId="1" fillId="4" fontId="4" numFmtId="0" xfId="0" applyAlignment="1" applyBorder="1" applyFont="1">
      <alignment horizontal="center" vertical="bottom"/>
    </xf>
    <xf borderId="0" fillId="3" fontId="1" numFmtId="0" xfId="0" applyAlignment="1" applyFont="1">
      <alignment vertical="bottom"/>
    </xf>
    <xf borderId="1" fillId="5" fontId="1" numFmtId="0" xfId="0" applyAlignment="1" applyBorder="1" applyFill="1" applyFont="1">
      <alignment vertical="bottom"/>
    </xf>
    <xf borderId="1" fillId="5" fontId="4" numFmtId="0" xfId="0" applyAlignment="1" applyBorder="1" applyFont="1">
      <alignment horizontal="center" vertical="bottom"/>
    </xf>
    <xf borderId="0" fillId="5" fontId="4" numFmtId="0" xfId="0" applyAlignment="1" applyFont="1">
      <alignment horizontal="center" vertical="bottom"/>
    </xf>
    <xf borderId="0" fillId="5" fontId="1" numFmtId="0" xfId="0" applyAlignment="1" applyFont="1">
      <alignment vertical="bottom"/>
    </xf>
    <xf borderId="0" fillId="6" fontId="1" numFmtId="0" xfId="0" applyAlignment="1" applyFill="1" applyFont="1">
      <alignment vertical="bottom"/>
    </xf>
    <xf borderId="2" fillId="7" fontId="3" numFmtId="0" xfId="0" applyAlignment="1" applyBorder="1" applyFill="1" applyFont="1">
      <alignment horizontal="center" vertical="bottom"/>
    </xf>
    <xf borderId="3" fillId="7" fontId="3" numFmtId="0" xfId="0" applyAlignment="1" applyBorder="1" applyFont="1">
      <alignment horizontal="center" vertical="bottom"/>
    </xf>
    <xf borderId="0" fillId="7" fontId="3" numFmtId="0" xfId="0" applyAlignment="1" applyFont="1">
      <alignment horizontal="center" vertical="bottom"/>
    </xf>
    <xf borderId="1" fillId="0" fontId="1" numFmtId="0" xfId="0" applyAlignment="1" applyBorder="1" applyFont="1">
      <alignment vertical="bottom"/>
    </xf>
    <xf borderId="1" fillId="0" fontId="5" numFmtId="0" xfId="0" applyAlignment="1" applyBorder="1" applyFont="1">
      <alignment vertical="bottom"/>
    </xf>
    <xf borderId="0" fillId="0" fontId="5" numFmtId="0" xfId="0" applyAlignment="1" applyFont="1">
      <alignment vertical="bottom"/>
    </xf>
    <xf borderId="0" fillId="6" fontId="1" numFmtId="0" xfId="0" applyAlignment="1" applyFont="1">
      <alignment vertical="bottom"/>
    </xf>
    <xf borderId="2" fillId="6" fontId="6" numFmtId="0" xfId="0" applyAlignment="1" applyBorder="1" applyFont="1">
      <alignment horizontal="center" vertical="bottom"/>
    </xf>
    <xf borderId="3" fillId="6" fontId="6" numFmtId="0" xfId="0" applyAlignment="1" applyBorder="1" applyFont="1">
      <alignment horizontal="center" vertical="bottom"/>
    </xf>
    <xf borderId="3" fillId="6" fontId="7" numFmtId="0" xfId="0" applyAlignment="1" applyBorder="1" applyFont="1">
      <alignment horizontal="center" vertical="bottom"/>
    </xf>
    <xf borderId="4" fillId="6" fontId="8" numFmtId="0" xfId="0" applyAlignment="1" applyBorder="1" applyFont="1">
      <alignment horizontal="center" vertical="bottom"/>
    </xf>
    <xf borderId="3" fillId="6" fontId="4" numFmtId="9" xfId="0" applyAlignment="1" applyBorder="1" applyFont="1" applyNumberFormat="1">
      <alignment horizontal="center" vertical="bottom"/>
    </xf>
    <xf borderId="1" fillId="0" fontId="1" numFmtId="0" xfId="0" applyAlignment="1" applyBorder="1" applyFont="1">
      <alignment vertical="bottom"/>
    </xf>
    <xf borderId="0" fillId="0" fontId="1" numFmtId="0" xfId="0" applyAlignment="1" applyFont="1">
      <alignment vertical="bottom"/>
    </xf>
    <xf borderId="0" fillId="8" fontId="1" numFmtId="0" xfId="0" applyAlignment="1" applyFill="1" applyFont="1">
      <alignment vertical="bottom"/>
    </xf>
    <xf borderId="2" fillId="8" fontId="6" numFmtId="0" xfId="0" applyAlignment="1" applyBorder="1" applyFont="1">
      <alignment horizontal="center" vertical="bottom"/>
    </xf>
    <xf borderId="3" fillId="8" fontId="6" numFmtId="0" xfId="0" applyAlignment="1" applyBorder="1" applyFont="1">
      <alignment horizontal="center" vertical="bottom"/>
    </xf>
    <xf borderId="4" fillId="8" fontId="8" numFmtId="0" xfId="0" applyAlignment="1" applyBorder="1" applyFont="1">
      <alignment horizontal="center" vertical="bottom"/>
    </xf>
    <xf borderId="3" fillId="8" fontId="4" numFmtId="9" xfId="0" applyAlignment="1" applyBorder="1" applyFont="1" applyNumberFormat="1">
      <alignment horizontal="center" vertical="bottom"/>
    </xf>
    <xf borderId="4" fillId="6" fontId="1" numFmtId="0" xfId="0" applyAlignment="1" applyBorder="1" applyFont="1">
      <alignment vertical="bottom"/>
    </xf>
    <xf borderId="3" fillId="6" fontId="1" numFmtId="9" xfId="0" applyAlignment="1" applyBorder="1" applyFont="1" applyNumberFormat="1">
      <alignment vertical="bottom"/>
    </xf>
    <xf borderId="4" fillId="8" fontId="1" numFmtId="0" xfId="0" applyAlignment="1" applyBorder="1" applyFont="1">
      <alignment vertical="bottom"/>
    </xf>
    <xf borderId="3" fillId="8" fontId="1" numFmtId="9" xfId="0" applyAlignment="1" applyBorder="1" applyFont="1" applyNumberFormat="1">
      <alignment vertical="bottom"/>
    </xf>
    <xf borderId="3" fillId="8" fontId="1" numFmtId="9" xfId="0" applyAlignment="1" applyBorder="1" applyFont="1" applyNumberFormat="1">
      <alignment horizontal="right" vertical="bottom"/>
    </xf>
    <xf borderId="3" fillId="8" fontId="9" numFmtId="0" xfId="0" applyAlignment="1" applyBorder="1" applyFont="1">
      <alignment horizontal="center" vertical="bottom"/>
    </xf>
    <xf borderId="4" fillId="6" fontId="10" numFmtId="0" xfId="0" applyAlignment="1" applyBorder="1" applyFont="1">
      <alignment horizontal="center" vertical="bottom"/>
    </xf>
    <xf borderId="4" fillId="6" fontId="11" numFmtId="0" xfId="0" applyAlignment="1" applyBorder="1" applyFont="1">
      <alignment horizontal="center" vertical="bottom"/>
    </xf>
    <xf borderId="3" fillId="8" fontId="1" numFmtId="0" xfId="0" applyAlignment="1" applyBorder="1" applyFont="1">
      <alignment horizontal="center" vertical="bottom"/>
    </xf>
    <xf borderId="4" fillId="8" fontId="10" numFmtId="0" xfId="0" applyAlignment="1" applyBorder="1" applyFont="1">
      <alignment horizontal="center" vertical="bottom"/>
    </xf>
    <xf borderId="4" fillId="6" fontId="6" numFmtId="0" xfId="0" applyAlignment="1" applyBorder="1" applyFont="1">
      <alignment horizontal="center" vertical="bottom"/>
    </xf>
    <xf borderId="4" fillId="8" fontId="6" numFmtId="0" xfId="0" applyAlignment="1" applyBorder="1" applyFont="1">
      <alignment horizontal="center" vertical="bottom"/>
    </xf>
    <xf borderId="1" fillId="8" fontId="12" numFmtId="0" xfId="0" applyAlignment="1" applyBorder="1" applyFont="1">
      <alignment horizontal="center" vertical="bottom"/>
    </xf>
    <xf borderId="3" fillId="6" fontId="1" numFmtId="9" xfId="0" applyAlignment="1" applyBorder="1" applyFont="1" applyNumberFormat="1">
      <alignment horizontal="right" vertical="bottom"/>
    </xf>
    <xf borderId="0" fillId="8" fontId="6" numFmtId="0" xfId="0" applyAlignment="1" applyFont="1">
      <alignment horizontal="center" vertical="bottom"/>
    </xf>
    <xf borderId="2" fillId="8" fontId="13" numFmtId="0" xfId="0" applyAlignment="1" applyBorder="1" applyFont="1">
      <alignment horizontal="center" vertical="bottom"/>
    </xf>
    <xf borderId="0" fillId="8" fontId="14" numFmtId="0" xfId="0" applyAlignment="1" applyFont="1">
      <alignment vertical="bottom"/>
    </xf>
    <xf borderId="3" fillId="8" fontId="13" numFmtId="0" xfId="0" applyAlignment="1" applyBorder="1" applyFont="1">
      <alignment horizontal="center" vertical="bottom"/>
    </xf>
    <xf borderId="3" fillId="8" fontId="15" numFmtId="0" xfId="0" applyAlignment="1" applyBorder="1" applyFont="1">
      <alignment horizontal="center" vertical="bottom"/>
    </xf>
    <xf borderId="3" fillId="8" fontId="1" numFmtId="0" xfId="0" applyAlignment="1" applyBorder="1" applyFont="1">
      <alignment vertical="bottom"/>
    </xf>
    <xf borderId="3" fillId="6" fontId="1" numFmtId="0" xfId="0" applyAlignment="1" applyBorder="1" applyFont="1">
      <alignment vertical="bottom"/>
    </xf>
    <xf borderId="3" fillId="6" fontId="1" numFmtId="0" xfId="0" applyAlignment="1" applyBorder="1" applyFont="1">
      <alignment readingOrder="0" vertical="bottom"/>
    </xf>
    <xf borderId="2" fillId="6" fontId="6" numFmtId="0" xfId="0" applyAlignment="1" applyBorder="1" applyFont="1">
      <alignment horizontal="center" vertical="bottom"/>
    </xf>
    <xf borderId="4" fillId="6" fontId="1" numFmtId="0" xfId="0" applyAlignment="1" applyBorder="1" applyFont="1">
      <alignment vertical="bottom"/>
    </xf>
    <xf borderId="4" fillId="3" fontId="1" numFmtId="0" xfId="0" applyAlignment="1" applyBorder="1" applyFont="1">
      <alignment vertical="bottom"/>
    </xf>
    <xf borderId="3" fillId="3" fontId="1" numFmtId="9" xfId="0" applyAlignment="1" applyBorder="1" applyFont="1" applyNumberFormat="1">
      <alignment vertical="bottom"/>
    </xf>
    <xf borderId="0" fillId="0" fontId="4" numFmtId="0" xfId="0" applyAlignment="1" applyFont="1">
      <alignment horizontal="center" vertical="bottom"/>
    </xf>
    <xf borderId="0" fillId="2" fontId="2" numFmtId="0" xfId="0" applyAlignment="1" applyFont="1">
      <alignment horizontal="center" vertical="center"/>
    </xf>
    <xf borderId="0" fillId="0" fontId="16" numFmtId="0" xfId="0" applyAlignment="1" applyFont="1">
      <alignment horizontal="center" vertical="bottom"/>
    </xf>
    <xf borderId="0" fillId="9" fontId="3" numFmtId="0" xfId="0" applyAlignment="1" applyFill="1" applyFont="1">
      <alignment horizontal="center" vertical="bottom"/>
    </xf>
    <xf borderId="2" fillId="10" fontId="3" numFmtId="0" xfId="0" applyAlignment="1" applyBorder="1" applyFill="1" applyFont="1">
      <alignment horizontal="center" vertical="bottom"/>
    </xf>
    <xf borderId="3" fillId="10" fontId="3" numFmtId="0" xfId="0" applyAlignment="1" applyBorder="1" applyFont="1">
      <alignment horizontal="center" vertical="bottom"/>
    </xf>
    <xf borderId="0" fillId="10" fontId="3" numFmtId="0" xfId="0" applyAlignment="1" applyFont="1">
      <alignment horizontal="center" vertical="bottom"/>
    </xf>
    <xf borderId="1" fillId="10" fontId="5" numFmtId="0" xfId="0" applyAlignment="1" applyBorder="1" applyFont="1">
      <alignment vertical="bottom"/>
    </xf>
    <xf borderId="0" fillId="10" fontId="5" numFmtId="0" xfId="0" applyAlignment="1" applyFont="1">
      <alignment vertical="bottom"/>
    </xf>
    <xf borderId="0" fillId="6" fontId="6" numFmtId="0" xfId="0" applyAlignment="1" applyFont="1">
      <alignment horizontal="center" vertical="bottom"/>
    </xf>
    <xf borderId="3" fillId="6" fontId="17" numFmtId="0" xfId="0" applyAlignment="1" applyBorder="1" applyFont="1">
      <alignment horizontal="center" vertical="bottom"/>
    </xf>
    <xf borderId="4" fillId="11" fontId="18" numFmtId="0" xfId="0" applyAlignment="1" applyBorder="1" applyFill="1" applyFont="1">
      <alignment horizontal="center"/>
    </xf>
    <xf borderId="3" fillId="11" fontId="19" numFmtId="9" xfId="0" applyAlignment="1" applyBorder="1" applyFont="1" applyNumberFormat="1">
      <alignment horizontal="center" shrinkToFit="0" wrapText="0"/>
    </xf>
    <xf borderId="3" fillId="8" fontId="20" numFmtId="0" xfId="0" applyAlignment="1" applyBorder="1" applyFont="1">
      <alignment horizontal="center" vertical="bottom"/>
    </xf>
    <xf borderId="4" fillId="8" fontId="21" numFmtId="0" xfId="0" applyAlignment="1" applyBorder="1" applyFont="1">
      <alignment horizontal="center" vertical="bottom"/>
    </xf>
    <xf borderId="3" fillId="6" fontId="20" numFmtId="0" xfId="0" applyAlignment="1" applyBorder="1" applyFont="1">
      <alignment horizontal="center" vertical="bottom"/>
    </xf>
    <xf borderId="3" fillId="6" fontId="1" numFmtId="0" xfId="0" applyAlignment="1" applyBorder="1" applyFont="1">
      <alignment horizontal="center" vertical="bottom"/>
    </xf>
    <xf borderId="3" fillId="6" fontId="22" numFmtId="0" xfId="0" applyAlignment="1" applyBorder="1" applyFont="1">
      <alignment horizontal="center" vertical="bottom"/>
    </xf>
    <xf borderId="4" fillId="8" fontId="23" numFmtId="0" xfId="0" applyAlignment="1" applyBorder="1" applyFont="1">
      <alignment horizontal="center" vertical="bottom"/>
    </xf>
    <xf borderId="3" fillId="8" fontId="24" numFmtId="0" xfId="0" applyAlignment="1" applyBorder="1" applyFont="1">
      <alignment horizontal="center" vertical="bottom"/>
    </xf>
    <xf borderId="4" fillId="6" fontId="23" numFmtId="0" xfId="0" applyAlignment="1" applyBorder="1" applyFont="1">
      <alignment horizontal="center" vertical="bottom"/>
    </xf>
    <xf borderId="1" fillId="6" fontId="25" numFmtId="0" xfId="0" applyAlignment="1" applyBorder="1" applyFont="1">
      <alignment horizontal="center" vertical="bottom"/>
    </xf>
    <xf borderId="4" fillId="8" fontId="20" numFmtId="0" xfId="0" applyAlignment="1" applyBorder="1" applyFont="1">
      <alignment horizontal="center" vertical="bottom"/>
    </xf>
    <xf borderId="3" fillId="9" fontId="6" numFmtId="0" xfId="0" applyAlignment="1" applyBorder="1" applyFont="1">
      <alignment horizontal="center" vertical="bottom"/>
    </xf>
    <xf borderId="3" fillId="9" fontId="26" numFmtId="0" xfId="0" applyAlignment="1" applyBorder="1" applyFont="1">
      <alignment horizontal="center" vertical="bottom"/>
    </xf>
    <xf borderId="0" fillId="0" fontId="14" numFmtId="0" xfId="0" applyFont="1"/>
    <xf borderId="1" fillId="0" fontId="5" numFmtId="0" xfId="0" applyAlignment="1" applyBorder="1" applyFont="1">
      <alignment vertical="bottom"/>
    </xf>
    <xf borderId="4" fillId="8" fontId="27" numFmtId="0" xfId="0" applyAlignment="1" applyBorder="1" applyFont="1">
      <alignment horizontal="center" vertical="bottom"/>
    </xf>
    <xf borderId="4" fillId="6" fontId="20" numFmtId="0" xfId="0" applyAlignment="1" applyBorder="1" applyFont="1">
      <alignment horizontal="center" vertical="bottom"/>
    </xf>
    <xf borderId="3" fillId="6" fontId="28" numFmtId="0" xfId="0" applyAlignment="1" applyBorder="1" applyFont="1">
      <alignment horizontal="center" vertical="bottom"/>
    </xf>
    <xf borderId="3" fillId="9" fontId="28" numFmtId="0" xfId="0" applyAlignment="1" applyBorder="1" applyFont="1">
      <alignment horizontal="center" vertical="bottom"/>
    </xf>
    <xf borderId="3" fillId="8" fontId="28" numFmtId="0" xfId="0" applyAlignment="1" applyBorder="1" applyFont="1">
      <alignment horizontal="center" vertical="bottom"/>
    </xf>
    <xf borderId="0" fillId="6" fontId="6" numFmtId="0" xfId="0" applyAlignment="1" applyFont="1">
      <alignment horizontal="center" vertical="bottom"/>
    </xf>
    <xf borderId="4" fillId="11" fontId="18" numFmtId="0" xfId="0" applyAlignment="1" applyBorder="1" applyFont="1">
      <alignment horizontal="center"/>
    </xf>
    <xf borderId="3" fillId="11" fontId="19" numFmtId="9" xfId="0" applyAlignment="1" applyBorder="1" applyFont="1" applyNumberFormat="1">
      <alignment horizontal="center" shrinkToFit="0" wrapText="0"/>
    </xf>
    <xf borderId="0" fillId="4" fontId="4" numFmtId="0" xfId="0" applyAlignment="1" applyFont="1">
      <alignment horizontal="right" vertical="bottom"/>
    </xf>
    <xf borderId="0" fillId="0" fontId="1" numFmtId="0" xfId="0" applyAlignment="1" applyFont="1">
      <alignment horizontal="center"/>
    </xf>
    <xf borderId="0" fillId="0" fontId="29" numFmtId="0" xfId="0" applyFont="1"/>
    <xf borderId="0" fillId="0" fontId="1" numFmtId="0" xfId="0" applyFont="1"/>
    <xf borderId="1" fillId="6" fontId="30" numFmtId="0" xfId="0" applyAlignment="1" applyBorder="1" applyFont="1">
      <alignment horizontal="center" vertical="bottom"/>
    </xf>
    <xf borderId="1" fillId="6" fontId="22" numFmtId="0" xfId="0" applyAlignment="1" applyBorder="1" applyFont="1">
      <alignment horizontal="center" vertical="bottom"/>
    </xf>
    <xf borderId="4" fillId="8" fontId="31" numFmtId="0" xfId="0" applyAlignment="1" applyBorder="1" applyFont="1">
      <alignment horizontal="center" vertical="bottom"/>
    </xf>
    <xf borderId="0" fillId="0" fontId="23" numFmtId="0" xfId="0" applyAlignment="1" applyFont="1">
      <alignment horizontal="center"/>
    </xf>
    <xf borderId="1" fillId="10" fontId="5" numFmtId="0" xfId="0" applyAlignment="1" applyBorder="1" applyFont="1">
      <alignment horizontal="center" vertical="bottom"/>
    </xf>
    <xf borderId="3" fillId="8" fontId="32" numFmtId="0" xfId="0" applyAlignment="1" applyBorder="1" applyFont="1">
      <alignment horizontal="center" vertical="bottom"/>
    </xf>
    <xf borderId="4" fillId="4" fontId="10" numFmtId="0" xfId="0" applyAlignment="1" applyBorder="1" applyFont="1">
      <alignment horizontal="center" vertical="bottom"/>
    </xf>
    <xf borderId="3" fillId="4" fontId="6" numFmtId="0" xfId="0" applyAlignment="1" applyBorder="1" applyFont="1">
      <alignment horizontal="center" vertical="bottom"/>
    </xf>
    <xf borderId="4" fillId="4" fontId="6" numFmtId="0" xfId="0" applyAlignment="1" applyBorder="1" applyFont="1">
      <alignment horizontal="center" vertical="bottom"/>
    </xf>
    <xf borderId="1" fillId="0" fontId="33" numFmtId="0" xfId="0" applyAlignment="1" applyBorder="1" applyFont="1">
      <alignment vertical="bottom"/>
    </xf>
    <xf borderId="3" fillId="9" fontId="20" numFmtId="0" xfId="0" applyAlignment="1" applyBorder="1" applyFont="1">
      <alignment horizontal="center" vertical="bottom"/>
    </xf>
    <xf borderId="0" fillId="0" fontId="34" numFmtId="0" xfId="0" applyAlignment="1" applyFont="1">
      <alignment horizontal="center"/>
    </xf>
    <xf borderId="0" fillId="0" fontId="35" numFmtId="0" xfId="0" applyAlignment="1" applyFont="1">
      <alignment horizontal="center" shrinkToFit="0" wrapText="0"/>
    </xf>
    <xf borderId="0" fillId="11" fontId="3" numFmtId="0" xfId="0" applyAlignment="1" applyFont="1">
      <alignment horizontal="center" shrinkToFit="0" wrapText="0"/>
    </xf>
    <xf borderId="0" fillId="4" fontId="35" numFmtId="0" xfId="0" applyAlignment="1" applyFont="1">
      <alignment horizontal="center" shrinkToFit="0" wrapText="0"/>
    </xf>
    <xf borderId="0" fillId="0" fontId="16" numFmtId="0" xfId="0" applyAlignment="1" applyFont="1">
      <alignment horizontal="center"/>
    </xf>
    <xf borderId="0" fillId="12" fontId="16" numFmtId="0" xfId="0" applyAlignment="1" applyFill="1" applyFont="1">
      <alignment horizontal="center"/>
    </xf>
    <xf borderId="1" fillId="4" fontId="35" numFmtId="0" xfId="0" applyAlignment="1" applyBorder="1" applyFont="1">
      <alignment horizontal="center" shrinkToFit="0" wrapText="0"/>
    </xf>
    <xf borderId="1" fillId="13" fontId="35" numFmtId="0" xfId="0" applyAlignment="1" applyBorder="1" applyFill="1" applyFont="1">
      <alignment horizontal="center" shrinkToFit="0" wrapText="0"/>
    </xf>
    <xf borderId="0" fillId="9" fontId="3" numFmtId="0" xfId="0" applyAlignment="1" applyFont="1">
      <alignment horizontal="center" shrinkToFit="0" wrapText="0"/>
    </xf>
    <xf borderId="2" fillId="10" fontId="3" numFmtId="0" xfId="0" applyAlignment="1" applyBorder="1" applyFont="1">
      <alignment horizontal="center" shrinkToFit="0" wrapText="0"/>
    </xf>
    <xf borderId="3" fillId="10" fontId="3" numFmtId="0" xfId="0" applyAlignment="1" applyBorder="1" applyFont="1">
      <alignment horizontal="center" shrinkToFit="0" wrapText="0"/>
    </xf>
    <xf borderId="0" fillId="10" fontId="19" numFmtId="0" xfId="0" applyAlignment="1" applyFont="1">
      <alignment horizontal="center" shrinkToFit="0" wrapText="0"/>
    </xf>
    <xf borderId="1" fillId="10" fontId="3" numFmtId="0" xfId="0" applyAlignment="1" applyBorder="1" applyFont="1">
      <alignment horizontal="center" shrinkToFit="0" wrapText="0"/>
    </xf>
    <xf borderId="0" fillId="14" fontId="20" numFmtId="0" xfId="0" applyAlignment="1" applyFill="1" applyFont="1">
      <alignment horizontal="center" shrinkToFit="0" wrapText="0"/>
    </xf>
    <xf borderId="2" fillId="14" fontId="20" numFmtId="0" xfId="0" applyAlignment="1" applyBorder="1" applyFont="1">
      <alignment horizontal="center" shrinkToFit="0" wrapText="0"/>
    </xf>
    <xf borderId="3" fillId="14" fontId="20" numFmtId="0" xfId="0" applyAlignment="1" applyBorder="1" applyFont="1">
      <alignment horizontal="center" shrinkToFit="0" wrapText="0"/>
    </xf>
    <xf borderId="3" fillId="14" fontId="36" numFmtId="0" xfId="0" applyAlignment="1" applyBorder="1" applyFont="1">
      <alignment horizontal="center" shrinkToFit="0" wrapText="0"/>
    </xf>
    <xf borderId="1" fillId="14" fontId="20" numFmtId="0" xfId="0" applyAlignment="1" applyBorder="1" applyFont="1">
      <alignment horizontal="center" shrinkToFit="0" wrapText="0"/>
    </xf>
    <xf borderId="1" fillId="14" fontId="37" numFmtId="0" xfId="0" applyAlignment="1" applyBorder="1" applyFont="1">
      <alignment horizontal="center" shrinkToFit="0" wrapText="0"/>
    </xf>
    <xf borderId="3" fillId="14" fontId="38" numFmtId="0" xfId="0" applyAlignment="1" applyBorder="1" applyFont="1">
      <alignment horizontal="center" shrinkToFit="0" wrapText="0"/>
    </xf>
    <xf borderId="3" fillId="12" fontId="20" numFmtId="0" xfId="0" applyAlignment="1" applyBorder="1" applyFont="1">
      <alignment horizontal="center" shrinkToFit="0" wrapText="0"/>
    </xf>
    <xf borderId="3" fillId="14" fontId="39" numFmtId="0" xfId="0" applyAlignment="1" applyBorder="1" applyFont="1">
      <alignment horizontal="center" shrinkToFit="0" wrapText="0"/>
    </xf>
    <xf borderId="1" fillId="14" fontId="6" numFmtId="0" xfId="0" applyAlignment="1" applyBorder="1" applyFont="1">
      <alignment horizontal="center" shrinkToFit="0" wrapText="0"/>
    </xf>
    <xf borderId="3" fillId="4" fontId="20" numFmtId="0" xfId="0" applyAlignment="1" applyBorder="1" applyFont="1">
      <alignment horizontal="center" shrinkToFit="0" wrapText="0"/>
    </xf>
    <xf borderId="3" fillId="14" fontId="6" numFmtId="0" xfId="0" applyAlignment="1" applyBorder="1" applyFont="1">
      <alignment horizontal="center" shrinkToFit="0" wrapText="0"/>
    </xf>
    <xf borderId="1" fillId="14" fontId="35" numFmtId="0" xfId="0" applyAlignment="1" applyBorder="1" applyFont="1">
      <alignment horizontal="center" shrinkToFit="0" wrapText="0"/>
    </xf>
    <xf borderId="3" fillId="6" fontId="20" numFmtId="0" xfId="0" applyAlignment="1" applyBorder="1" applyFont="1">
      <alignment horizontal="center" shrinkToFit="0" wrapText="0"/>
    </xf>
    <xf borderId="0" fillId="15" fontId="20" numFmtId="0" xfId="0" applyAlignment="1" applyFill="1" applyFont="1">
      <alignment horizontal="center" shrinkToFit="0" wrapText="0"/>
    </xf>
    <xf borderId="4" fillId="14" fontId="16" numFmtId="0" xfId="0" applyBorder="1" applyFont="1"/>
    <xf borderId="0" fillId="9" fontId="20" numFmtId="0" xfId="0" applyAlignment="1" applyFont="1">
      <alignment horizontal="center" shrinkToFit="0" wrapText="0"/>
    </xf>
    <xf borderId="2" fillId="9" fontId="20" numFmtId="0" xfId="0" applyAlignment="1" applyBorder="1" applyFont="1">
      <alignment horizontal="center" shrinkToFit="0" wrapText="0"/>
    </xf>
    <xf borderId="4" fillId="9" fontId="16" numFmtId="0" xfId="0" applyBorder="1" applyFont="1"/>
    <xf borderId="1" fillId="9" fontId="20" numFmtId="0" xfId="0" applyAlignment="1" applyBorder="1" applyFont="1">
      <alignment horizontal="center" shrinkToFit="0" wrapText="0"/>
    </xf>
    <xf borderId="0" fillId="9" fontId="16" numFmtId="0" xfId="0" applyFont="1"/>
    <xf borderId="0" fillId="9" fontId="40" numFmtId="0" xfId="0" applyAlignment="1" applyFont="1">
      <alignment horizontal="center"/>
    </xf>
    <xf borderId="0" fillId="3" fontId="19" numFmtId="0" xfId="0" applyAlignment="1" applyFont="1">
      <alignment horizontal="center" vertical="bottom"/>
    </xf>
    <xf borderId="0" fillId="3" fontId="41" numFmtId="0" xfId="0" applyAlignment="1" applyFont="1">
      <alignment horizontal="center" vertical="bottom"/>
    </xf>
    <xf borderId="0" fillId="9" fontId="8" numFmtId="0" xfId="0" applyAlignment="1" applyFont="1">
      <alignment vertical="bottom"/>
    </xf>
    <xf borderId="0" fillId="10" fontId="19" numFmtId="0" xfId="0" applyAlignment="1" applyFont="1">
      <alignment horizontal="center" vertical="bottom"/>
    </xf>
    <xf borderId="1" fillId="10" fontId="8" numFmtId="0" xfId="0" applyAlignment="1" applyBorder="1" applyFont="1">
      <alignment vertical="bottom"/>
    </xf>
    <xf borderId="3" fillId="6" fontId="42" numFmtId="0" xfId="0" applyAlignment="1" applyBorder="1" applyFont="1">
      <alignment horizontal="center" vertical="bottom"/>
    </xf>
    <xf borderId="1" fillId="0" fontId="43" numFmtId="0" xfId="0" applyAlignment="1" applyBorder="1" applyFont="1">
      <alignment vertical="bottom"/>
    </xf>
    <xf borderId="3" fillId="8" fontId="20" numFmtId="0" xfId="0" applyAlignment="1" applyBorder="1" applyFont="1">
      <alignment horizontal="center" shrinkToFit="0" wrapText="0"/>
    </xf>
    <xf borderId="2" fillId="4" fontId="6" numFmtId="0" xfId="0" applyAlignment="1" applyBorder="1" applyFont="1">
      <alignment horizontal="center" vertical="bottom"/>
    </xf>
    <xf borderId="4" fillId="0" fontId="6" numFmtId="0" xfId="0" applyAlignment="1" applyBorder="1" applyFont="1">
      <alignment horizontal="center"/>
    </xf>
    <xf borderId="2" fillId="9" fontId="6" numFmtId="0" xfId="0" applyAlignment="1" applyBorder="1" applyFont="1">
      <alignment horizontal="center" vertical="bottom"/>
    </xf>
    <xf borderId="3" fillId="12" fontId="6" numFmtId="0" xfId="0" applyAlignment="1" applyBorder="1" applyFont="1">
      <alignment horizontal="center" vertical="bottom"/>
    </xf>
    <xf borderId="2" fillId="16" fontId="6" numFmtId="0" xfId="0" applyAlignment="1" applyBorder="1" applyFill="1" applyFont="1">
      <alignment horizontal="center" vertical="bottom"/>
    </xf>
    <xf borderId="0" fillId="9" fontId="1" numFmtId="0" xfId="0" applyAlignment="1" applyFont="1">
      <alignment vertical="bottom"/>
    </xf>
    <xf borderId="3" fillId="4" fontId="44" numFmtId="0" xfId="0" applyAlignment="1" applyBorder="1" applyFont="1">
      <alignment horizontal="center" vertical="bottom"/>
    </xf>
    <xf borderId="0" fillId="6" fontId="41" numFmtId="0" xfId="0" applyAlignment="1" applyFont="1">
      <alignment horizontal="center" vertical="bottom"/>
    </xf>
    <xf borderId="0" fillId="0" fontId="41" numFmtId="0" xfId="0" applyAlignment="1" applyFont="1">
      <alignment horizontal="center"/>
    </xf>
    <xf borderId="0" fillId="4" fontId="6" numFmtId="0" xfId="0" applyAlignment="1" applyFont="1">
      <alignment horizontal="center" vertical="bottom"/>
    </xf>
    <xf borderId="0" fillId="5" fontId="6" numFmtId="0" xfId="0" applyAlignment="1" applyFont="1">
      <alignment horizontal="center" vertical="bottom"/>
    </xf>
    <xf borderId="0" fillId="9" fontId="5" numFmtId="0" xfId="0" applyAlignment="1" applyFont="1">
      <alignment vertical="bottom"/>
    </xf>
    <xf borderId="0" fillId="10" fontId="1" numFmtId="0" xfId="0" applyAlignment="1" applyFont="1">
      <alignment horizontal="center" vertical="bottom"/>
    </xf>
    <xf borderId="0" fillId="0" fontId="1" numFmtId="0" xfId="0" applyAlignment="1" applyFont="1">
      <alignment horizontal="center" vertical="bottom"/>
    </xf>
    <xf borderId="3" fillId="8" fontId="16" numFmtId="0" xfId="0" applyAlignment="1" applyBorder="1" applyFont="1">
      <alignment horizontal="center" vertical="bottom"/>
    </xf>
    <xf borderId="4" fillId="6" fontId="16" numFmtId="0" xfId="0" applyAlignment="1" applyBorder="1" applyFont="1">
      <alignment horizontal="center" vertical="bottom"/>
    </xf>
    <xf borderId="4" fillId="8" fontId="16" numFmtId="0" xfId="0" applyAlignment="1" applyBorder="1" applyFont="1">
      <alignment horizontal="center" vertical="bottom"/>
    </xf>
    <xf borderId="4" fillId="8" fontId="45" numFmtId="0" xfId="0" applyAlignment="1" applyBorder="1" applyFont="1">
      <alignment horizontal="center" vertical="bottom"/>
    </xf>
    <xf borderId="4" fillId="8" fontId="46" numFmtId="0" xfId="0" applyAlignment="1" applyBorder="1" applyFont="1">
      <alignment horizontal="center" vertical="bottom"/>
    </xf>
    <xf borderId="4" fillId="11" fontId="47" numFmtId="0" xfId="0" applyAlignment="1" applyBorder="1" applyFont="1">
      <alignment horizontal="center"/>
    </xf>
    <xf borderId="4" fillId="17" fontId="18" numFmtId="0" xfId="0" applyAlignment="1" applyBorder="1" applyFill="1" applyFont="1">
      <alignment horizontal="center"/>
    </xf>
    <xf borderId="3" fillId="17" fontId="19" numFmtId="9" xfId="0" applyAlignment="1" applyBorder="1" applyFont="1" applyNumberFormat="1">
      <alignment horizontal="center" shrinkToFit="0" wrapText="0"/>
    </xf>
    <xf borderId="0" fillId="8" fontId="1" numFmtId="0" xfId="0" applyAlignment="1" applyFont="1">
      <alignment vertical="bottom"/>
    </xf>
    <xf borderId="2" fillId="8" fontId="6" numFmtId="0" xfId="0" applyAlignment="1" applyBorder="1" applyFont="1">
      <alignment horizontal="center" vertical="bottom"/>
    </xf>
    <xf borderId="4" fillId="8" fontId="1" numFmtId="0" xfId="0" applyAlignment="1" applyBorder="1" applyFont="1">
      <alignment vertical="bottom"/>
    </xf>
    <xf borderId="4" fillId="17" fontId="18" numFmtId="0" xfId="0" applyAlignment="1" applyBorder="1" applyFont="1">
      <alignment horizontal="center"/>
    </xf>
    <xf borderId="3" fillId="17" fontId="19" numFmtId="9" xfId="0" applyAlignment="1" applyBorder="1" applyFont="1" applyNumberFormat="1">
      <alignment horizontal="center" shrinkToFit="0" wrapText="0"/>
    </xf>
    <xf borderId="1" fillId="8" fontId="1" numFmtId="0" xfId="0" applyAlignment="1" applyBorder="1" applyFont="1">
      <alignment vertical="bottom"/>
    </xf>
    <xf borderId="0" fillId="8" fontId="1" numFmtId="0" xfId="0" applyAlignment="1" applyFont="1">
      <alignment horizontal="center" vertical="bottom"/>
    </xf>
    <xf borderId="0" fillId="0" fontId="1" numFmtId="0" xfId="0" applyAlignment="1" applyFont="1">
      <alignment horizontal="center" vertical="bottom"/>
    </xf>
    <xf borderId="0" fillId="6" fontId="1" numFmtId="0" xfId="0" applyAlignment="1" applyFont="1">
      <alignment horizontal="center" vertical="bottom"/>
    </xf>
    <xf borderId="0" fillId="0" fontId="1" numFmtId="0" xfId="0" applyAlignment="1" applyFont="1">
      <alignment horizontal="center"/>
    </xf>
    <xf borderId="4" fillId="9" fontId="6" numFmtId="0" xfId="0" applyAlignment="1" applyBorder="1" applyFont="1">
      <alignment horizontal="center" vertical="bottom"/>
    </xf>
    <xf borderId="4" fillId="9" fontId="48" numFmtId="0" xfId="0" applyAlignment="1" applyBorder="1" applyFont="1">
      <alignment horizontal="center" vertical="bottom"/>
    </xf>
    <xf borderId="4" fillId="8" fontId="49" numFmtId="0" xfId="0" applyAlignment="1" applyBorder="1" applyFont="1">
      <alignment horizontal="center" vertical="bottom"/>
    </xf>
    <xf borderId="0" fillId="0" fontId="50" numFmtId="0" xfId="0" applyAlignment="1" applyFont="1">
      <alignment horizontal="center"/>
    </xf>
    <xf borderId="4" fillId="8" fontId="16" numFmtId="0" xfId="0" applyAlignment="1" applyBorder="1" applyFont="1">
      <alignment vertical="bottom"/>
    </xf>
    <xf borderId="4" fillId="6" fontId="16" numFmtId="0" xfId="0" applyAlignment="1" applyBorder="1" applyFont="1">
      <alignment vertical="bottom"/>
    </xf>
    <xf borderId="0" fillId="17" fontId="51" numFmtId="0" xfId="0" applyAlignment="1" applyFont="1">
      <alignment horizontal="center" vertical="center"/>
    </xf>
    <xf borderId="1" fillId="5" fontId="4" numFmtId="0" xfId="0" applyAlignment="1" applyBorder="1" applyFont="1">
      <alignment horizontal="center" vertical="center"/>
    </xf>
    <xf borderId="0" fillId="9" fontId="1" numFmtId="0" xfId="0" applyAlignment="1" applyFont="1">
      <alignment vertical="bottom"/>
    </xf>
    <xf borderId="0" fillId="0" fontId="52" numFmtId="0" xfId="0" applyAlignment="1" applyFont="1">
      <alignment horizontal="center"/>
    </xf>
    <xf borderId="4" fillId="6" fontId="27" numFmtId="0" xfId="0" applyAlignment="1" applyBorder="1" applyFont="1">
      <alignment horizontal="center" vertical="bottom"/>
    </xf>
    <xf borderId="3" fillId="8" fontId="6" numFmtId="0" xfId="0" applyAlignment="1" applyBorder="1" applyFont="1">
      <alignment horizontal="left" vertical="bottom"/>
    </xf>
    <xf borderId="4" fillId="8" fontId="53" numFmtId="0" xfId="0" applyAlignment="1" applyBorder="1" applyFont="1">
      <alignment horizontal="center" vertical="bottom"/>
    </xf>
    <xf borderId="1" fillId="6" fontId="54" numFmtId="0" xfId="0" applyAlignment="1" applyBorder="1" applyFont="1">
      <alignment horizontal="center" vertical="bottom"/>
    </xf>
    <xf borderId="3" fillId="6" fontId="16" numFmtId="0" xfId="0" applyAlignment="1" applyBorder="1" applyFont="1">
      <alignment horizontal="center" vertical="bottom"/>
    </xf>
    <xf borderId="4" fillId="6" fontId="55" numFmtId="0" xfId="0" applyAlignment="1" applyBorder="1" applyFont="1">
      <alignment horizontal="center" vertical="bottom"/>
    </xf>
    <xf borderId="4" fillId="4" fontId="16" numFmtId="0" xfId="0" applyAlignment="1" applyBorder="1" applyFont="1">
      <alignment horizontal="center" vertical="bottom"/>
    </xf>
    <xf borderId="4" fillId="8" fontId="56" numFmtId="0" xfId="0" applyAlignment="1" applyBorder="1" applyFont="1">
      <alignment horizontal="center" vertical="bottom"/>
    </xf>
    <xf borderId="4" fillId="8" fontId="1" numFmtId="0" xfId="0" applyAlignment="1" applyBorder="1" applyFont="1">
      <alignment horizontal="center" vertical="bottom"/>
    </xf>
    <xf borderId="4" fillId="6" fontId="1" numFmtId="0" xfId="0" applyAlignment="1" applyBorder="1" applyFont="1">
      <alignment horizontal="center" vertical="bottom"/>
    </xf>
    <xf borderId="4" fillId="8" fontId="5" numFmtId="0" xfId="0" applyAlignment="1" applyBorder="1" applyFont="1">
      <alignment vertical="bottom"/>
    </xf>
    <xf borderId="4" fillId="8" fontId="57" numFmtId="0" xfId="0" applyAlignment="1" applyBorder="1" applyFont="1">
      <alignment horizontal="center" vertical="bottom"/>
    </xf>
    <xf borderId="1" fillId="0" fontId="58" numFmtId="0" xfId="0" applyAlignment="1" applyBorder="1" applyFont="1">
      <alignment vertical="bottom"/>
    </xf>
    <xf borderId="4" fillId="6" fontId="59" numFmtId="0" xfId="0" applyAlignment="1" applyBorder="1" applyFont="1">
      <alignment horizontal="center" vertical="bottom"/>
    </xf>
  </cellXfs>
  <cellStyles count="1">
    <cellStyle xfId="0" name="Normal" builtinId="0"/>
  </cellStyles>
  <dxfs count="3">
    <dxf>
      <font/>
      <fill>
        <patternFill patternType="none"/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E7F9EF"/>
          <bgColor rgb="FFE7F9EF"/>
        </patternFill>
      </fill>
      <border/>
    </dxf>
  </dxfs>
  <tableStyles count="15">
    <tableStyle count="2" pivot="0" name="265월-style">
      <tableStyleElement dxfId="1" type="firstRowStripe"/>
      <tableStyleElement dxfId="2" type="secondRowStripe"/>
    </tableStyle>
    <tableStyle count="2" pivot="0" name="264월-style">
      <tableStyleElement dxfId="1" type="firstRowStripe"/>
      <tableStyleElement dxfId="2" type="secondRowStripe"/>
    </tableStyle>
    <tableStyle count="2" pivot="0" name="263월-style">
      <tableStyleElement dxfId="1" type="firstRowStripe"/>
      <tableStyleElement dxfId="2" type="secondRowStripe"/>
    </tableStyle>
    <tableStyle count="2" pivot="0" name="262월-style">
      <tableStyleElement dxfId="1" type="firstRowStripe"/>
      <tableStyleElement dxfId="2" type="secondRowStripe"/>
    </tableStyle>
    <tableStyle count="2" pivot="0" name="261월-style">
      <tableStyleElement dxfId="1" type="firstRowStripe"/>
      <tableStyleElement dxfId="2" type="secondRowStripe"/>
    </tableStyle>
    <tableStyle count="2" pivot="0" name="12월-style">
      <tableStyleElement dxfId="1" type="firstRowStripe"/>
      <tableStyleElement dxfId="2" type="secondRowStripe"/>
    </tableStyle>
    <tableStyle count="2" pivot="0" name="11월-style">
      <tableStyleElement dxfId="1" type="firstRowStripe"/>
      <tableStyleElement dxfId="2" type="secondRowStripe"/>
    </tableStyle>
    <tableStyle count="2" pivot="0" name="3월-style">
      <tableStyleElement dxfId="1" type="firstRowStripe"/>
      <tableStyleElement dxfId="2" type="secondRowStripe"/>
    </tableStyle>
    <tableStyle count="2" pivot="0" name="4월-style">
      <tableStyleElement dxfId="1" type="firstRowStripe"/>
      <tableStyleElement dxfId="2" type="secondRowStripe"/>
    </tableStyle>
    <tableStyle count="2" pivot="0" name="5월-style">
      <tableStyleElement dxfId="1" type="firstRowStripe"/>
      <tableStyleElement dxfId="2" type="secondRowStripe"/>
    </tableStyle>
    <tableStyle count="2" pivot="0" name="6월-style">
      <tableStyleElement dxfId="1" type="firstRowStripe"/>
      <tableStyleElement dxfId="2" type="secondRowStripe"/>
    </tableStyle>
    <tableStyle count="2" pivot="0" name="7월-style">
      <tableStyleElement dxfId="1" type="firstRowStripe"/>
      <tableStyleElement dxfId="2" type="secondRowStripe"/>
    </tableStyle>
    <tableStyle count="2" pivot="0" name="8월-style">
      <tableStyleElement dxfId="1" type="firstRowStripe"/>
      <tableStyleElement dxfId="2" type="secondRowStripe"/>
    </tableStyle>
    <tableStyle count="2" pivot="0" name="9월-style">
      <tableStyleElement dxfId="1" type="firstRowStripe"/>
      <tableStyleElement dxfId="2" type="secondRowStripe"/>
    </tableStyle>
    <tableStyle count="2" pivot="0" name="10월-style">
      <tableStyleElement dxfId="1" type="firstRowStripe"/>
      <tableStyleElement dxfId="2" type="secondRowStripe"/>
    </tableStyle>
  </tableStyles>
</styleSheet>
</file>

<file path=xl/_rels/comments1.xml.rels><?xml version="1.0" encoding="UTF-8" standalone="yes"?><Relationships xmlns="http://schemas.openxmlformats.org/package/2006/relationships"><Relationship Id="rId1" Type="http://customschemas.google.com/relationships/workbookmetadata" Target="commentsmeta0"/></Relationships>
</file>

<file path=xl/_rels/workbook.xml.rels><?xml version="1.0" encoding="UTF-8" standalone="yes"?><Relationships xmlns="http://schemas.openxmlformats.org/package/2006/relationships"><Relationship Id="rId20" Type="http://customschemas.google.com/relationships/workbookmetadata" Target="metadata"/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17" Type="http://schemas.openxmlformats.org/officeDocument/2006/relationships/worksheet" Target="worksheets/sheet14.xml"/><Relationship Id="rId16" Type="http://schemas.openxmlformats.org/officeDocument/2006/relationships/worksheet" Target="worksheets/sheet13.xml"/><Relationship Id="rId5" Type="http://schemas.openxmlformats.org/officeDocument/2006/relationships/worksheet" Target="worksheets/sheet2.xml"/><Relationship Id="rId19" Type="http://schemas.openxmlformats.org/officeDocument/2006/relationships/worksheet" Target="worksheets/sheet16.xml"/><Relationship Id="rId6" Type="http://schemas.openxmlformats.org/officeDocument/2006/relationships/worksheet" Target="worksheets/sheet3.xml"/><Relationship Id="rId18" Type="http://schemas.openxmlformats.org/officeDocument/2006/relationships/worksheet" Target="worksheets/sheet15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headerRowCount="0" ref="A5:Z120" displayName="Table_1" name="Table_1" id="1">
  <tableColumns count="26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</tableColumns>
  <tableStyleInfo name="265월-style" showColumnStripes="0" showFirstColumn="1" showLastColumn="1" showRowStripes="1"/>
</table>
</file>

<file path=xl/tables/table2.xml><?xml version="1.0" encoding="utf-8"?>
<table xmlns="http://schemas.openxmlformats.org/spreadsheetml/2006/main" headerRowCount="0" ref="A5:O121" displayName="Table_2" name="Table_2" id="2">
  <tableColumns count="15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</tableColumns>
  <tableStyleInfo name="264월-style" showColumnStripes="0" showFirstColumn="1" showLastColumn="1" showRowStripes="1"/>
</table>
</file>

<file path=xl/tables/table3.xml><?xml version="1.0" encoding="utf-8"?>
<table xmlns="http://schemas.openxmlformats.org/spreadsheetml/2006/main" headerRowCount="0" ref="A5:O121" displayName="Table_3" name="Table_3" id="3">
  <tableColumns count="15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</tableColumns>
  <tableStyleInfo name="263월-style" showColumnStripes="0" showFirstColumn="1" showLastColumn="1" showRowStripes="1"/>
</table>
</file>

<file path=xl/tables/table4.xml><?xml version="1.0" encoding="utf-8"?>
<table xmlns="http://schemas.openxmlformats.org/spreadsheetml/2006/main" headerRowCount="0" ref="A5:O121" displayName="Table_4" name="Table_4" id="4">
  <tableColumns count="15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</tableColumns>
  <tableStyleInfo name="262월-style" showColumnStripes="0" showFirstColumn="1" showLastColumn="1" showRowStripes="1"/>
</table>
</file>

<file path=xl/tables/table5.xml><?xml version="1.0" encoding="utf-8"?>
<table xmlns="http://schemas.openxmlformats.org/spreadsheetml/2006/main" headerRowCount="0" ref="A5:P121" displayName="Table_5" name="Table_5" id="5">
  <tableColumns count="16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</tableColumns>
  <tableStyleInfo name="261월-style" showColumnStripes="0" showFirstColumn="1" showLastColumn="1" showRowStripes="1"/>
</table>
</file>

<file path=xl/tables/table6.xml><?xml version="1.0" encoding="utf-8"?>
<table xmlns="http://schemas.openxmlformats.org/spreadsheetml/2006/main" headerRowCount="0" ref="A5:O121" displayName="Table_6" name="Table_6" id="6">
  <tableColumns count="15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</tableColumns>
  <tableStyleInfo name="12월-style" showColumnStripes="0" showFirstColumn="1" showLastColumn="1" showRowStripes="1"/>
</table>
</file>

<file path=xl/tables/table7.xml><?xml version="1.0" encoding="utf-8"?>
<table xmlns="http://schemas.openxmlformats.org/spreadsheetml/2006/main" headerRowCount="0" ref="A5:N121" displayName="Table_7" name="Table_7" id="7">
  <tableColumns count="14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</tableColumns>
  <tableStyleInfo name="11월-style" showColumnStripes="0" showFirstColumn="1" showLastColumn="1" showRowStripes="1"/>
</table>
</file>

<file path=xl/tables/table8.xml><?xml version="1.0" encoding="utf-8"?>
<table xmlns="http://schemas.openxmlformats.org/spreadsheetml/2006/main" headerRowCount="0" ref="A5:O121" displayName="Table_8" name="Table_8" id="8">
  <tableColumns count="15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</tableColumns>
  <tableStyleInfo name="3월-style" showColumnStripes="0" showFirstColumn="1" showLastColumn="1" showRowStripes="1"/>
</table>
</file>

<file path=xl/tables/table9.xml><?xml version="1.0" encoding="utf-8"?>
<table xmlns="http://schemas.openxmlformats.org/spreadsheetml/2006/main" headerRowCount="0" ref="A5:O121" displayName="Table_9" name="Table_9" id="9">
  <tableColumns count="15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</tableColumns>
  <tableStyleInfo name="4월-style" showColumnStripes="0" showFirstColumn="1" showLastColumn="1" showRowStripes="1"/>
</table>
</file>

<file path=xl/tables/table10.xml><?xml version="1.0" encoding="utf-8"?>
<table xmlns="http://schemas.openxmlformats.org/spreadsheetml/2006/main" headerRowCount="0" ref="A5:S120" displayName="Table_10" name="Table_10" id="10">
  <tableColumns count="19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</tableColumns>
  <tableStyleInfo name="5월-style" showColumnStripes="0" showFirstColumn="1" showLastColumn="1" showRowStripes="1"/>
</table>
</file>

<file path=xl/tables/table11.xml><?xml version="1.0" encoding="utf-8"?>
<table xmlns="http://schemas.openxmlformats.org/spreadsheetml/2006/main" headerRowCount="0" ref="A5:N120" displayName="Table_11" name="Table_11" id="11">
  <tableColumns count="14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</tableColumns>
  <tableStyleInfo name="6월-style" showColumnStripes="0" showFirstColumn="1" showLastColumn="1" showRowStripes="1"/>
</table>
</file>

<file path=xl/tables/table12.xml><?xml version="1.0" encoding="utf-8"?>
<table xmlns="http://schemas.openxmlformats.org/spreadsheetml/2006/main" headerRowCount="0" ref="A5:O121" displayName="Table_12" name="Table_12" id="12">
  <tableColumns count="15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</tableColumns>
  <tableStyleInfo name="7월-style" showColumnStripes="0" showFirstColumn="1" showLastColumn="1" showRowStripes="1"/>
</table>
</file>

<file path=xl/tables/table13.xml><?xml version="1.0" encoding="utf-8"?>
<table xmlns="http://schemas.openxmlformats.org/spreadsheetml/2006/main" headerRowCount="0" ref="A5:O121" displayName="Table_13" name="Table_13" id="13">
  <tableColumns count="15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</tableColumns>
  <tableStyleInfo name="8월-style" showColumnStripes="0" showFirstColumn="1" showLastColumn="1" showRowStripes="1"/>
</table>
</file>

<file path=xl/tables/table14.xml><?xml version="1.0" encoding="utf-8"?>
<table xmlns="http://schemas.openxmlformats.org/spreadsheetml/2006/main" headerRowCount="0" ref="A5:O121" displayName="Table_14" name="Table_14" id="14">
  <tableColumns count="15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</tableColumns>
  <tableStyleInfo name="9월-style" showColumnStripes="0" showFirstColumn="1" showLastColumn="1" showRowStripes="1"/>
</table>
</file>

<file path=xl/tables/table15.xml><?xml version="1.0" encoding="utf-8"?>
<table xmlns="http://schemas.openxmlformats.org/spreadsheetml/2006/main" headerRowCount="0" ref="A5:N121" displayName="Table_15" name="Table_15" id="15">
  <tableColumns count="14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</tableColumns>
  <tableStyleInfo name="10월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1" Type="http://schemas.openxmlformats.org/officeDocument/2006/relationships/hyperlink" Target="https://www.instagram.com/porori84/" TargetMode="External"/><Relationship Id="rId10" Type="http://schemas.openxmlformats.org/officeDocument/2006/relationships/hyperlink" Target="https://www.instagram.com/hom.melier/" TargetMode="External"/><Relationship Id="rId13" Type="http://schemas.openxmlformats.org/officeDocument/2006/relationships/drawing" Target="../drawings/drawing1.xml"/><Relationship Id="rId12" Type="http://schemas.openxmlformats.org/officeDocument/2006/relationships/hyperlink" Target="https://www.instagram.com/hosu_131111/" TargetMode="External"/><Relationship Id="rId1" Type="http://schemas.openxmlformats.org/officeDocument/2006/relationships/hyperlink" Target="https://instagram.com/songjieun_psr" TargetMode="External"/><Relationship Id="rId2" Type="http://schemas.openxmlformats.org/officeDocument/2006/relationships/hyperlink" Target="https://instagram.com/luv_lyju" TargetMode="External"/><Relationship Id="rId3" Type="http://schemas.openxmlformats.org/officeDocument/2006/relationships/hyperlink" Target="https://instagram.com/luv_lyju" TargetMode="External"/><Relationship Id="rId4" Type="http://schemas.openxmlformats.org/officeDocument/2006/relationships/hyperlink" Target="https://instagram.com/songjieun_psr" TargetMode="External"/><Relationship Id="rId9" Type="http://schemas.openxmlformats.org/officeDocument/2006/relationships/hyperlink" Target="https://www.instagram.com/medione_medical/" TargetMode="External"/><Relationship Id="rId15" Type="http://schemas.openxmlformats.org/officeDocument/2006/relationships/table" Target="../tables/table1.xml"/><Relationship Id="rId5" Type="http://schemas.openxmlformats.org/officeDocument/2006/relationships/hyperlink" Target="https://instagram.com/luv_lyju" TargetMode="External"/><Relationship Id="rId6" Type="http://schemas.openxmlformats.org/officeDocument/2006/relationships/hyperlink" Target="https://www.instagram.com/happy_gritk/" TargetMode="External"/><Relationship Id="rId7" Type="http://schemas.openxmlformats.org/officeDocument/2006/relationships/hyperlink" Target="https://www.instagram.com/happy_gritk/" TargetMode="External"/><Relationship Id="rId8" Type="http://schemas.openxmlformats.org/officeDocument/2006/relationships/hyperlink" Target="http://instagram.com/monique_illust" TargetMode="External"/></Relationships>
</file>

<file path=xl/worksheets/_rels/sheet2.xml.rels><?xml version="1.0" encoding="UTF-8" standalone="yes"?><Relationships xmlns="http://schemas.openxmlformats.org/package/2006/relationships"><Relationship Id="rId11" Type="http://schemas.openxmlformats.org/officeDocument/2006/relationships/hyperlink" Target="https://www.instagram.com/porori84/" TargetMode="External"/><Relationship Id="rId10" Type="http://schemas.openxmlformats.org/officeDocument/2006/relationships/hyperlink" Target="https://www.instagram.com/hom.melier/" TargetMode="External"/><Relationship Id="rId13" Type="http://schemas.openxmlformats.org/officeDocument/2006/relationships/drawing" Target="../drawings/drawing2.xml"/><Relationship Id="rId12" Type="http://schemas.openxmlformats.org/officeDocument/2006/relationships/hyperlink" Target="https://www.instagram.com/hosu_131111/" TargetMode="External"/><Relationship Id="rId1" Type="http://schemas.openxmlformats.org/officeDocument/2006/relationships/hyperlink" Target="https://instagram.com/songjieun_psr" TargetMode="External"/><Relationship Id="rId2" Type="http://schemas.openxmlformats.org/officeDocument/2006/relationships/hyperlink" Target="https://instagram.com/luv_lyju" TargetMode="External"/><Relationship Id="rId3" Type="http://schemas.openxmlformats.org/officeDocument/2006/relationships/hyperlink" Target="https://instagram.com/luv_lyju" TargetMode="External"/><Relationship Id="rId4" Type="http://schemas.openxmlformats.org/officeDocument/2006/relationships/hyperlink" Target="https://instagram.com/songjieun_psr" TargetMode="External"/><Relationship Id="rId9" Type="http://schemas.openxmlformats.org/officeDocument/2006/relationships/hyperlink" Target="https://www.instagram.com/medione_medical/" TargetMode="External"/><Relationship Id="rId15" Type="http://schemas.openxmlformats.org/officeDocument/2006/relationships/table" Target="../tables/table2.xml"/><Relationship Id="rId5" Type="http://schemas.openxmlformats.org/officeDocument/2006/relationships/hyperlink" Target="https://instagram.com/luv_lyju" TargetMode="External"/><Relationship Id="rId6" Type="http://schemas.openxmlformats.org/officeDocument/2006/relationships/hyperlink" Target="https://www.instagram.com/happy_gritk/" TargetMode="External"/><Relationship Id="rId7" Type="http://schemas.openxmlformats.org/officeDocument/2006/relationships/hyperlink" Target="https://www.instagram.com/happy_gritk/" TargetMode="External"/><Relationship Id="rId8" Type="http://schemas.openxmlformats.org/officeDocument/2006/relationships/hyperlink" Target="http://instagram.com/monique_illust" TargetMode="External"/></Relationships>
</file>

<file path=xl/worksheets/_rels/sheet3.xml.rels><?xml version="1.0" encoding="UTF-8" standalone="yes"?><Relationships xmlns="http://schemas.openxmlformats.org/package/2006/relationships"><Relationship Id="rId11" Type="http://schemas.openxmlformats.org/officeDocument/2006/relationships/hyperlink" Target="https://www.instagram.com/porori84/" TargetMode="External"/><Relationship Id="rId10" Type="http://schemas.openxmlformats.org/officeDocument/2006/relationships/hyperlink" Target="https://www.instagram.com/hom.melier/" TargetMode="External"/><Relationship Id="rId13" Type="http://schemas.openxmlformats.org/officeDocument/2006/relationships/drawing" Target="../drawings/drawing3.xml"/><Relationship Id="rId12" Type="http://schemas.openxmlformats.org/officeDocument/2006/relationships/hyperlink" Target="https://www.instagram.com/hosu_131111/" TargetMode="External"/><Relationship Id="rId1" Type="http://schemas.openxmlformats.org/officeDocument/2006/relationships/hyperlink" Target="https://instagram.com/songjieun_psr" TargetMode="External"/><Relationship Id="rId2" Type="http://schemas.openxmlformats.org/officeDocument/2006/relationships/hyperlink" Target="https://instagram.com/luv_lyju" TargetMode="External"/><Relationship Id="rId3" Type="http://schemas.openxmlformats.org/officeDocument/2006/relationships/hyperlink" Target="https://instagram.com/luv_lyju" TargetMode="External"/><Relationship Id="rId4" Type="http://schemas.openxmlformats.org/officeDocument/2006/relationships/hyperlink" Target="https://instagram.com/songjieun_psr" TargetMode="External"/><Relationship Id="rId9" Type="http://schemas.openxmlformats.org/officeDocument/2006/relationships/hyperlink" Target="https://www.instagram.com/medione_medical/" TargetMode="External"/><Relationship Id="rId15" Type="http://schemas.openxmlformats.org/officeDocument/2006/relationships/table" Target="../tables/table3.xml"/><Relationship Id="rId5" Type="http://schemas.openxmlformats.org/officeDocument/2006/relationships/hyperlink" Target="https://instagram.com/luv_lyju" TargetMode="External"/><Relationship Id="rId6" Type="http://schemas.openxmlformats.org/officeDocument/2006/relationships/hyperlink" Target="https://www.instagram.com/happy_gritk/" TargetMode="External"/><Relationship Id="rId7" Type="http://schemas.openxmlformats.org/officeDocument/2006/relationships/hyperlink" Target="https://www.instagram.com/happy_gritk/" TargetMode="External"/><Relationship Id="rId8" Type="http://schemas.openxmlformats.org/officeDocument/2006/relationships/hyperlink" Target="http://instagram.com/monique_illust" TargetMode="External"/></Relationships>
</file>

<file path=xl/worksheets/_rels/sheet4.xml.rels><?xml version="1.0" encoding="UTF-8" standalone="yes"?><Relationships xmlns="http://schemas.openxmlformats.org/package/2006/relationships"><Relationship Id="rId11" Type="http://schemas.openxmlformats.org/officeDocument/2006/relationships/hyperlink" Target="https://www.instagram.com/hom.melier/" TargetMode="External"/><Relationship Id="rId10" Type="http://schemas.openxmlformats.org/officeDocument/2006/relationships/hyperlink" Target="https://www.instagram.com/medione_medical/" TargetMode="External"/><Relationship Id="rId13" Type="http://schemas.openxmlformats.org/officeDocument/2006/relationships/hyperlink" Target="https://www.instagram.com/hosu_131111/" TargetMode="External"/><Relationship Id="rId12" Type="http://schemas.openxmlformats.org/officeDocument/2006/relationships/hyperlink" Target="https://www.instagram.com/porori84/" TargetMode="External"/><Relationship Id="rId1" Type="http://schemas.openxmlformats.org/officeDocument/2006/relationships/hyperlink" Target="https://instagram.com/songjieun_psr" TargetMode="External"/><Relationship Id="rId2" Type="http://schemas.openxmlformats.org/officeDocument/2006/relationships/hyperlink" Target="https://instagram.com/luv_lyju" TargetMode="External"/><Relationship Id="rId3" Type="http://schemas.openxmlformats.org/officeDocument/2006/relationships/hyperlink" Target="https://instagram.com/luv_lyju" TargetMode="External"/><Relationship Id="rId4" Type="http://schemas.openxmlformats.org/officeDocument/2006/relationships/hyperlink" Target="https://instagram.com/songjieun_psr" TargetMode="External"/><Relationship Id="rId9" Type="http://schemas.openxmlformats.org/officeDocument/2006/relationships/hyperlink" Target="http://instagram.com/monique_illust" TargetMode="External"/><Relationship Id="rId14" Type="http://schemas.openxmlformats.org/officeDocument/2006/relationships/drawing" Target="../drawings/drawing4.xml"/><Relationship Id="rId16" Type="http://schemas.openxmlformats.org/officeDocument/2006/relationships/table" Target="../tables/table4.xml"/><Relationship Id="rId5" Type="http://schemas.openxmlformats.org/officeDocument/2006/relationships/hyperlink" Target="https://instagram.com/luv_lyju" TargetMode="External"/><Relationship Id="rId6" Type="http://schemas.openxmlformats.org/officeDocument/2006/relationships/hyperlink" Target="https://instagram.com/luv_lyju" TargetMode="External"/><Relationship Id="rId7" Type="http://schemas.openxmlformats.org/officeDocument/2006/relationships/hyperlink" Target="https://www.instagram.com/happy_gritk/" TargetMode="External"/><Relationship Id="rId8" Type="http://schemas.openxmlformats.org/officeDocument/2006/relationships/hyperlink" Target="https://www.instagram.com/happy_gritk/" TargetMode="External"/></Relationships>
</file>

<file path=xl/worksheets/_rels/sheet5.xml.rels><?xml version="1.0" encoding="UTF-8" standalone="yes"?><Relationships xmlns="http://schemas.openxmlformats.org/package/2006/relationships"><Relationship Id="rId11" Type="http://schemas.openxmlformats.org/officeDocument/2006/relationships/hyperlink" Target="https://www.instagram.com/hom.melier/" TargetMode="External"/><Relationship Id="rId10" Type="http://schemas.openxmlformats.org/officeDocument/2006/relationships/hyperlink" Target="https://www.instagram.com/medione_medical/" TargetMode="External"/><Relationship Id="rId13" Type="http://schemas.openxmlformats.org/officeDocument/2006/relationships/hyperlink" Target="https://www.instagram.com/hosu_131111/" TargetMode="External"/><Relationship Id="rId12" Type="http://schemas.openxmlformats.org/officeDocument/2006/relationships/hyperlink" Target="https://www.instagram.com/porori84/" TargetMode="External"/><Relationship Id="rId1" Type="http://schemas.openxmlformats.org/officeDocument/2006/relationships/hyperlink" Target="https://instagram.com/songjieun_psr" TargetMode="External"/><Relationship Id="rId2" Type="http://schemas.openxmlformats.org/officeDocument/2006/relationships/hyperlink" Target="https://instagram.com/luv_lyju" TargetMode="External"/><Relationship Id="rId3" Type="http://schemas.openxmlformats.org/officeDocument/2006/relationships/hyperlink" Target="https://instagram.com/luv_lyju" TargetMode="External"/><Relationship Id="rId4" Type="http://schemas.openxmlformats.org/officeDocument/2006/relationships/hyperlink" Target="https://instagram.com/songjieun_psr" TargetMode="External"/><Relationship Id="rId9" Type="http://schemas.openxmlformats.org/officeDocument/2006/relationships/hyperlink" Target="http://instagram.com/monique_illust" TargetMode="External"/><Relationship Id="rId15" Type="http://schemas.openxmlformats.org/officeDocument/2006/relationships/drawing" Target="../drawings/drawing5.xml"/><Relationship Id="rId14" Type="http://schemas.openxmlformats.org/officeDocument/2006/relationships/hyperlink" Target="https://www.instagram.com/hom.melier/" TargetMode="External"/><Relationship Id="rId17" Type="http://schemas.openxmlformats.org/officeDocument/2006/relationships/table" Target="../tables/table5.xml"/><Relationship Id="rId5" Type="http://schemas.openxmlformats.org/officeDocument/2006/relationships/hyperlink" Target="https://instagram.com/luv_lyju" TargetMode="External"/><Relationship Id="rId6" Type="http://schemas.openxmlformats.org/officeDocument/2006/relationships/hyperlink" Target="https://instagram.com/luv_lyju" TargetMode="External"/><Relationship Id="rId7" Type="http://schemas.openxmlformats.org/officeDocument/2006/relationships/hyperlink" Target="https://www.instagram.com/happy_gritk/" TargetMode="External"/><Relationship Id="rId8" Type="http://schemas.openxmlformats.org/officeDocument/2006/relationships/hyperlink" Target="https://www.instagram.com/happy_gritk/" TargetMode="External"/></Relationships>
</file>

<file path=xl/worksheets/_rels/sheet6.xml.rels><?xml version="1.0" encoding="UTF-8" standalone="yes"?><Relationships xmlns="http://schemas.openxmlformats.org/package/2006/relationships"><Relationship Id="rId11" Type="http://schemas.openxmlformats.org/officeDocument/2006/relationships/drawing" Target="../drawings/drawing6.xml"/><Relationship Id="rId10" Type="http://schemas.openxmlformats.org/officeDocument/2006/relationships/hyperlink" Target="https://www.instagram.com/hom.melier/" TargetMode="External"/><Relationship Id="rId13" Type="http://schemas.openxmlformats.org/officeDocument/2006/relationships/table" Target="../tables/table6.xml"/><Relationship Id="rId1" Type="http://schemas.openxmlformats.org/officeDocument/2006/relationships/hyperlink" Target="https://instagram.com/songjieun_psr" TargetMode="External"/><Relationship Id="rId2" Type="http://schemas.openxmlformats.org/officeDocument/2006/relationships/hyperlink" Target="https://instagram.com/luv_lyju" TargetMode="External"/><Relationship Id="rId3" Type="http://schemas.openxmlformats.org/officeDocument/2006/relationships/hyperlink" Target="https://instagram.com/luv_lyju" TargetMode="External"/><Relationship Id="rId4" Type="http://schemas.openxmlformats.org/officeDocument/2006/relationships/hyperlink" Target="https://www.instagram.com/happy_gritk/" TargetMode="External"/><Relationship Id="rId9" Type="http://schemas.openxmlformats.org/officeDocument/2006/relationships/hyperlink" Target="https://www.instagram.com/hosu_131111/" TargetMode="External"/><Relationship Id="rId5" Type="http://schemas.openxmlformats.org/officeDocument/2006/relationships/hyperlink" Target="https://www.instagram.com/happy_gritk/" TargetMode="External"/><Relationship Id="rId6" Type="http://schemas.openxmlformats.org/officeDocument/2006/relationships/hyperlink" Target="http://instagram.com/monique_illust" TargetMode="External"/><Relationship Id="rId7" Type="http://schemas.openxmlformats.org/officeDocument/2006/relationships/hyperlink" Target="https://www.instagram.com/dongyeon_press/" TargetMode="External"/><Relationship Id="rId8" Type="http://schemas.openxmlformats.org/officeDocument/2006/relationships/hyperlink" Target="https://www.instagram.com/porori84/" TargetMode="External"/></Relationships>
</file>

<file path=xl/worksheets/_rels/sheet7.xml.rels><?xml version="1.0" encoding="UTF-8" standalone="yes"?><Relationships xmlns="http://schemas.openxmlformats.org/package/2006/relationships"><Relationship Id="rId11" Type="http://schemas.openxmlformats.org/officeDocument/2006/relationships/drawing" Target="../drawings/drawing7.xml"/><Relationship Id="rId10" Type="http://schemas.openxmlformats.org/officeDocument/2006/relationships/hyperlink" Target="https://www.instagram.com/hannah_calli_?igsh=emV4OXF5ZDVncGRn" TargetMode="External"/><Relationship Id="rId13" Type="http://schemas.openxmlformats.org/officeDocument/2006/relationships/table" Target="../tables/table7.xml"/><Relationship Id="rId1" Type="http://schemas.openxmlformats.org/officeDocument/2006/relationships/hyperlink" Target="https://instagram.com/songjieun_psr" TargetMode="External"/><Relationship Id="rId2" Type="http://schemas.openxmlformats.org/officeDocument/2006/relationships/hyperlink" Target="https://instagram.com/luv_lyju" TargetMode="External"/><Relationship Id="rId3" Type="http://schemas.openxmlformats.org/officeDocument/2006/relationships/hyperlink" Target="https://instagram.com/luv_lyju" TargetMode="External"/><Relationship Id="rId4" Type="http://schemas.openxmlformats.org/officeDocument/2006/relationships/hyperlink" Target="https://www.instagram.com/happy_gritk/" TargetMode="External"/><Relationship Id="rId9" Type="http://schemas.openxmlformats.org/officeDocument/2006/relationships/hyperlink" Target="https://www.instagram.com/hosu_131111/" TargetMode="External"/><Relationship Id="rId5" Type="http://schemas.openxmlformats.org/officeDocument/2006/relationships/hyperlink" Target="https://www.instagram.com/happy_gritk/" TargetMode="External"/><Relationship Id="rId6" Type="http://schemas.openxmlformats.org/officeDocument/2006/relationships/hyperlink" Target="http://instagram.com/monique_illust" TargetMode="External"/><Relationship Id="rId7" Type="http://schemas.openxmlformats.org/officeDocument/2006/relationships/hyperlink" Target="https://www.instagram.com/dongyeon_press/" TargetMode="External"/><Relationship Id="rId8" Type="http://schemas.openxmlformats.org/officeDocument/2006/relationships/hyperlink" Target="https://www.instagram.com/porori84/" TargetMode="External"/></Relationships>
</file>

<file path=xl/worksheets/_rels/sheet8.xml.rels><?xml version="1.0" encoding="UTF-8" standalone="yes"?><Relationships xmlns="http://schemas.openxmlformats.org/package/2006/relationships"><Relationship Id="rId11" Type="http://schemas.openxmlformats.org/officeDocument/2006/relationships/hyperlink" Target="https://www.instagram.com/reboot_hyeran" TargetMode="External"/><Relationship Id="rId10" Type="http://schemas.openxmlformats.org/officeDocument/2006/relationships/hyperlink" Target="https://www.instagram.com/reel/DGiavKNzh7o/?igsh=bXdydXRzYmVjZDU5" TargetMode="External"/><Relationship Id="rId12" Type="http://schemas.openxmlformats.org/officeDocument/2006/relationships/drawing" Target="../drawings/drawing8.xml"/><Relationship Id="rId1" Type="http://schemas.openxmlformats.org/officeDocument/2006/relationships/hyperlink" Target="https://instagram.com/songjieun_psr" TargetMode="External"/><Relationship Id="rId2" Type="http://schemas.openxmlformats.org/officeDocument/2006/relationships/hyperlink" Target="https://www.instagram.com/go_with_god" TargetMode="External"/><Relationship Id="rId3" Type="http://schemas.openxmlformats.org/officeDocument/2006/relationships/hyperlink" Target="https://www.instagram.com/dabeen191114?igsh=MWk2Z3N6NGx6bXN5Mw==" TargetMode="External"/><Relationship Id="rId4" Type="http://schemas.openxmlformats.org/officeDocument/2006/relationships/hyperlink" Target="https://www.instagram.com/atomy_schola?igsh=M2xmdHI3amRxbmNm" TargetMode="External"/><Relationship Id="rId9" Type="http://schemas.openxmlformats.org/officeDocument/2006/relationships/hyperlink" Target="http://instagram.com/monique_illust" TargetMode="External"/><Relationship Id="rId14" Type="http://schemas.openxmlformats.org/officeDocument/2006/relationships/table" Target="../tables/table8.xml"/><Relationship Id="rId5" Type="http://schemas.openxmlformats.org/officeDocument/2006/relationships/hyperlink" Target="https://instagram.com/luv_lyju" TargetMode="External"/><Relationship Id="rId6" Type="http://schemas.openxmlformats.org/officeDocument/2006/relationships/hyperlink" Target="https://www.instagram.com/gaeulung?igsh=MWl0bWtkenVnb25p" TargetMode="External"/><Relationship Id="rId7" Type="http://schemas.openxmlformats.org/officeDocument/2006/relationships/hyperlink" Target="https://www.instagram.com/happy_gritk/" TargetMode="External"/><Relationship Id="rId8" Type="http://schemas.openxmlformats.org/officeDocument/2006/relationships/hyperlink" Target="https://www.instagram.com/doctorbium?igsh=MWF5am9tYmt4N2sycA==" TargetMode="Externa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hyperlink" Target="https://instagram.com/songjieun_psr" TargetMode="External"/><Relationship Id="rId2" Type="http://schemas.openxmlformats.org/officeDocument/2006/relationships/hyperlink" Target="https://instagram.com/luv_lyju" TargetMode="External"/><Relationship Id="rId3" Type="http://schemas.openxmlformats.org/officeDocument/2006/relationships/hyperlink" Target="https://www.instagram.com/happy_gritk/" TargetMode="External"/><Relationship Id="rId4" Type="http://schemas.openxmlformats.org/officeDocument/2006/relationships/hyperlink" Target="http://instagram.com/monique_illust" TargetMode="External"/><Relationship Id="rId9" Type="http://schemas.openxmlformats.org/officeDocument/2006/relationships/table" Target="../tables/table9.xml"/><Relationship Id="rId5" Type="http://schemas.openxmlformats.org/officeDocument/2006/relationships/hyperlink" Target="https://www.instagram.com/porori84/" TargetMode="External"/><Relationship Id="rId6" Type="http://schemas.openxmlformats.org/officeDocument/2006/relationships/hyperlink" Target="http://seoulbrother.sg/" TargetMode="External"/><Relationship Id="rId7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1" Type="http://schemas.openxmlformats.org/officeDocument/2006/relationships/table" Target="../tables/table10.xml"/><Relationship Id="rId1" Type="http://schemas.openxmlformats.org/officeDocument/2006/relationships/hyperlink" Target="https://instagram.com/songjieun_psr" TargetMode="External"/><Relationship Id="rId2" Type="http://schemas.openxmlformats.org/officeDocument/2006/relationships/hyperlink" Target="https://instagram.com/luv_lyju" TargetMode="External"/><Relationship Id="rId3" Type="http://schemas.openxmlformats.org/officeDocument/2006/relationships/hyperlink" Target="https://www.instagram.com/happy_gritk/" TargetMode="External"/><Relationship Id="rId4" Type="http://schemas.openxmlformats.org/officeDocument/2006/relationships/hyperlink" Target="http://instagram.com/monique_illust" TargetMode="External"/><Relationship Id="rId9" Type="http://schemas.openxmlformats.org/officeDocument/2006/relationships/drawing" Target="../drawings/drawing10.xml"/><Relationship Id="rId5" Type="http://schemas.openxmlformats.org/officeDocument/2006/relationships/hyperlink" Target="https://www.instagram.com/porori84/" TargetMode="External"/><Relationship Id="rId6" Type="http://schemas.openxmlformats.org/officeDocument/2006/relationships/hyperlink" Target="https://www.instagram.com/hosu_131111/" TargetMode="External"/><Relationship Id="rId7" Type="http://schemas.openxmlformats.org/officeDocument/2006/relationships/hyperlink" Target="http://pinkly.travel" TargetMode="External"/><Relationship Id="rId8" Type="http://schemas.openxmlformats.org/officeDocument/2006/relationships/hyperlink" Target="https://www.instagram.com/dongyeon_press/" TargetMode="External"/></Relationships>
</file>

<file path=xl/worksheets/_rels/sheet11.xml.rels><?xml version="1.0" encoding="UTF-8" standalone="yes"?><Relationships xmlns="http://schemas.openxmlformats.org/package/2006/relationships"><Relationship Id="rId11" Type="http://schemas.openxmlformats.org/officeDocument/2006/relationships/drawing" Target="../drawings/drawing11.xml"/><Relationship Id="rId10" Type="http://schemas.openxmlformats.org/officeDocument/2006/relationships/hyperlink" Target="https://www.instagram.com/youngjicha/" TargetMode="External"/><Relationship Id="rId13" Type="http://schemas.openxmlformats.org/officeDocument/2006/relationships/table" Target="../tables/table11.xml"/><Relationship Id="rId1" Type="http://schemas.openxmlformats.org/officeDocument/2006/relationships/hyperlink" Target="https://instagram.com/songjieun_psr" TargetMode="External"/><Relationship Id="rId2" Type="http://schemas.openxmlformats.org/officeDocument/2006/relationships/hyperlink" Target="https://instagram.com/luv_lyju" TargetMode="External"/><Relationship Id="rId3" Type="http://schemas.openxmlformats.org/officeDocument/2006/relationships/hyperlink" Target="https://www.instagram.com/happy_gritk/" TargetMode="External"/><Relationship Id="rId4" Type="http://schemas.openxmlformats.org/officeDocument/2006/relationships/hyperlink" Target="http://instagram.com/monique_illust" TargetMode="External"/><Relationship Id="rId9" Type="http://schemas.openxmlformats.org/officeDocument/2006/relationships/hyperlink" Target="http://instagram.com/littleactioncontent" TargetMode="External"/><Relationship Id="rId5" Type="http://schemas.openxmlformats.org/officeDocument/2006/relationships/hyperlink" Target="https://www.instagram.com/dongyeon_press/" TargetMode="External"/><Relationship Id="rId6" Type="http://schemas.openxmlformats.org/officeDocument/2006/relationships/hyperlink" Target="https://www.instagram.com/porori84/" TargetMode="External"/><Relationship Id="rId7" Type="http://schemas.openxmlformats.org/officeDocument/2006/relationships/hyperlink" Target="https://www.instagram.com/hosu_131111/" TargetMode="External"/><Relationship Id="rId8" Type="http://schemas.openxmlformats.org/officeDocument/2006/relationships/hyperlink" Target="http://pinkly.travel" TargetMode="External"/></Relationships>
</file>

<file path=xl/worksheets/_rels/sheet12.xml.rels><?xml version="1.0" encoding="UTF-8" standalone="yes"?><Relationships xmlns="http://schemas.openxmlformats.org/package/2006/relationships"><Relationship Id="rId11" Type="http://schemas.openxmlformats.org/officeDocument/2006/relationships/drawing" Target="../drawings/drawing12.xml"/><Relationship Id="rId10" Type="http://schemas.openxmlformats.org/officeDocument/2006/relationships/hyperlink" Target="https://www.instagram.com/youngjicha/" TargetMode="External"/><Relationship Id="rId13" Type="http://schemas.openxmlformats.org/officeDocument/2006/relationships/table" Target="../tables/table12.xml"/><Relationship Id="rId1" Type="http://schemas.openxmlformats.org/officeDocument/2006/relationships/hyperlink" Target="https://instagram.com/songjieun_psr" TargetMode="External"/><Relationship Id="rId2" Type="http://schemas.openxmlformats.org/officeDocument/2006/relationships/hyperlink" Target="https://instagram.com/luv_lyju" TargetMode="External"/><Relationship Id="rId3" Type="http://schemas.openxmlformats.org/officeDocument/2006/relationships/hyperlink" Target="https://www.instagram.com/happy_gritk/" TargetMode="External"/><Relationship Id="rId4" Type="http://schemas.openxmlformats.org/officeDocument/2006/relationships/hyperlink" Target="http://instagram.com/monique_illust" TargetMode="External"/><Relationship Id="rId9" Type="http://schemas.openxmlformats.org/officeDocument/2006/relationships/hyperlink" Target="http://instagram.com/littleactioncontent" TargetMode="External"/><Relationship Id="rId5" Type="http://schemas.openxmlformats.org/officeDocument/2006/relationships/hyperlink" Target="https://www.instagram.com/booksnlife25/" TargetMode="External"/><Relationship Id="rId6" Type="http://schemas.openxmlformats.org/officeDocument/2006/relationships/hyperlink" Target="https://www.instagram.com/porori84/" TargetMode="External"/><Relationship Id="rId7" Type="http://schemas.openxmlformats.org/officeDocument/2006/relationships/hyperlink" Target="https://www.instagram.com/hosu_131111/" TargetMode="External"/><Relationship Id="rId8" Type="http://schemas.openxmlformats.org/officeDocument/2006/relationships/hyperlink" Target="http://pinkly.travel" TargetMode="Externa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1" Type="http://schemas.openxmlformats.org/officeDocument/2006/relationships/hyperlink" Target="http://pinkly.travel" TargetMode="External"/><Relationship Id="rId10" Type="http://schemas.openxmlformats.org/officeDocument/2006/relationships/hyperlink" Target="https://www.instagram.com/hosu_131111/" TargetMode="External"/><Relationship Id="rId13" Type="http://schemas.openxmlformats.org/officeDocument/2006/relationships/hyperlink" Target="https://www.instagram.com/hannah_calli_?igsh=emV4OXF5ZDVncGRn" TargetMode="External"/><Relationship Id="rId12" Type="http://schemas.openxmlformats.org/officeDocument/2006/relationships/hyperlink" Target="http://instagram.com/littleactioncontent" TargetMode="External"/><Relationship Id="rId1" Type="http://schemas.openxmlformats.org/officeDocument/2006/relationships/comments" Target="../comments1.xml"/><Relationship Id="rId2" Type="http://schemas.openxmlformats.org/officeDocument/2006/relationships/hyperlink" Target="https://instagram.com/songjieun_psr" TargetMode="External"/><Relationship Id="rId3" Type="http://schemas.openxmlformats.org/officeDocument/2006/relationships/hyperlink" Target="https://instagram.com/luv_lyju" TargetMode="External"/><Relationship Id="rId4" Type="http://schemas.openxmlformats.org/officeDocument/2006/relationships/hyperlink" Target="https://instagram.com/luv_lyju" TargetMode="External"/><Relationship Id="rId9" Type="http://schemas.openxmlformats.org/officeDocument/2006/relationships/hyperlink" Target="https://www.instagram.com/porori84/" TargetMode="External"/><Relationship Id="rId15" Type="http://schemas.openxmlformats.org/officeDocument/2006/relationships/vmlDrawing" Target="../drawings/vmlDrawing1.vml"/><Relationship Id="rId14" Type="http://schemas.openxmlformats.org/officeDocument/2006/relationships/drawing" Target="../drawings/drawing14.xml"/><Relationship Id="rId17" Type="http://schemas.openxmlformats.org/officeDocument/2006/relationships/table" Target="../tables/table13.xml"/><Relationship Id="rId5" Type="http://schemas.openxmlformats.org/officeDocument/2006/relationships/hyperlink" Target="https://www.instagram.com/happy_gritk/" TargetMode="External"/><Relationship Id="rId6" Type="http://schemas.openxmlformats.org/officeDocument/2006/relationships/hyperlink" Target="https://www.instagram.com/happy_gritk/" TargetMode="External"/><Relationship Id="rId7" Type="http://schemas.openxmlformats.org/officeDocument/2006/relationships/hyperlink" Target="http://instagram.com/monique_illust" TargetMode="External"/><Relationship Id="rId8" Type="http://schemas.openxmlformats.org/officeDocument/2006/relationships/hyperlink" Target="https://www.instagram.com/booksnlife25/" TargetMode="External"/></Relationships>
</file>

<file path=xl/worksheets/_rels/sheet15.xml.rels><?xml version="1.0" encoding="UTF-8" standalone="yes"?><Relationships xmlns="http://schemas.openxmlformats.org/package/2006/relationships"><Relationship Id="rId11" Type="http://schemas.openxmlformats.org/officeDocument/2006/relationships/hyperlink" Target="http://instagram.com/littleactioncontent" TargetMode="External"/><Relationship Id="rId10" Type="http://schemas.openxmlformats.org/officeDocument/2006/relationships/hyperlink" Target="http://pinkly.travel" TargetMode="External"/><Relationship Id="rId13" Type="http://schemas.openxmlformats.org/officeDocument/2006/relationships/drawing" Target="../drawings/drawing15.xml"/><Relationship Id="rId12" Type="http://schemas.openxmlformats.org/officeDocument/2006/relationships/hyperlink" Target="https://www.instagram.com/hannah_calli_?igsh=emV4OXF5ZDVncGRn" TargetMode="External"/><Relationship Id="rId1" Type="http://schemas.openxmlformats.org/officeDocument/2006/relationships/hyperlink" Target="https://instagram.com/songjieun_psr" TargetMode="External"/><Relationship Id="rId2" Type="http://schemas.openxmlformats.org/officeDocument/2006/relationships/hyperlink" Target="https://instagram.com/luv_lyju" TargetMode="External"/><Relationship Id="rId3" Type="http://schemas.openxmlformats.org/officeDocument/2006/relationships/hyperlink" Target="https://instagram.com/luv_lyju" TargetMode="External"/><Relationship Id="rId4" Type="http://schemas.openxmlformats.org/officeDocument/2006/relationships/hyperlink" Target="https://www.instagram.com/happy_gritk/" TargetMode="External"/><Relationship Id="rId9" Type="http://schemas.openxmlformats.org/officeDocument/2006/relationships/hyperlink" Target="https://www.instagram.com/hosu_131111/" TargetMode="External"/><Relationship Id="rId15" Type="http://schemas.openxmlformats.org/officeDocument/2006/relationships/table" Target="../tables/table14.xml"/><Relationship Id="rId5" Type="http://schemas.openxmlformats.org/officeDocument/2006/relationships/hyperlink" Target="https://www.instagram.com/happy_gritk/" TargetMode="External"/><Relationship Id="rId6" Type="http://schemas.openxmlformats.org/officeDocument/2006/relationships/hyperlink" Target="http://instagram.com/monique_illust" TargetMode="External"/><Relationship Id="rId7" Type="http://schemas.openxmlformats.org/officeDocument/2006/relationships/hyperlink" Target="https://www.instagram.com/dongyeon_press/" TargetMode="External"/><Relationship Id="rId8" Type="http://schemas.openxmlformats.org/officeDocument/2006/relationships/hyperlink" Target="https://www.instagram.com/porori84/" TargetMode="External"/></Relationships>
</file>

<file path=xl/worksheets/_rels/sheet16.xml.rels><?xml version="1.0" encoding="UTF-8" standalone="yes"?><Relationships xmlns="http://schemas.openxmlformats.org/package/2006/relationships"><Relationship Id="rId11" Type="http://schemas.openxmlformats.org/officeDocument/2006/relationships/hyperlink" Target="http://instagram.com/littleactioncontent" TargetMode="External"/><Relationship Id="rId10" Type="http://schemas.openxmlformats.org/officeDocument/2006/relationships/hyperlink" Target="http://pinkly.travel" TargetMode="External"/><Relationship Id="rId13" Type="http://schemas.openxmlformats.org/officeDocument/2006/relationships/drawing" Target="../drawings/drawing16.xml"/><Relationship Id="rId12" Type="http://schemas.openxmlformats.org/officeDocument/2006/relationships/hyperlink" Target="https://www.instagram.com/hannah_calli_?igsh=emV4OXF5ZDVncGRn" TargetMode="External"/><Relationship Id="rId1" Type="http://schemas.openxmlformats.org/officeDocument/2006/relationships/hyperlink" Target="https://instagram.com/songjieun_psr" TargetMode="External"/><Relationship Id="rId2" Type="http://schemas.openxmlformats.org/officeDocument/2006/relationships/hyperlink" Target="https://instagram.com/luv_lyju" TargetMode="External"/><Relationship Id="rId3" Type="http://schemas.openxmlformats.org/officeDocument/2006/relationships/hyperlink" Target="https://instagram.com/luv_lyju" TargetMode="External"/><Relationship Id="rId4" Type="http://schemas.openxmlformats.org/officeDocument/2006/relationships/hyperlink" Target="https://www.instagram.com/happy_gritk/" TargetMode="External"/><Relationship Id="rId9" Type="http://schemas.openxmlformats.org/officeDocument/2006/relationships/hyperlink" Target="https://www.instagram.com/hosu_131111/" TargetMode="External"/><Relationship Id="rId15" Type="http://schemas.openxmlformats.org/officeDocument/2006/relationships/table" Target="../tables/table15.xml"/><Relationship Id="rId5" Type="http://schemas.openxmlformats.org/officeDocument/2006/relationships/hyperlink" Target="https://www.instagram.com/happy_gritk/" TargetMode="External"/><Relationship Id="rId6" Type="http://schemas.openxmlformats.org/officeDocument/2006/relationships/hyperlink" Target="http://instagram.com/monique_illust" TargetMode="External"/><Relationship Id="rId7" Type="http://schemas.openxmlformats.org/officeDocument/2006/relationships/hyperlink" Target="https://www.instagram.com/dongyeon_press/" TargetMode="External"/><Relationship Id="rId8" Type="http://schemas.openxmlformats.org/officeDocument/2006/relationships/hyperlink" Target="https://www.instagram.com/porori84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0"/>
  <cols>
    <col customWidth="1" min="1" max="1" width="6.13"/>
    <col customWidth="1" min="2" max="2" width="4.88"/>
    <col customWidth="1" min="3" max="3" width="18.63"/>
    <col customWidth="1" min="4" max="4" width="21.13"/>
    <col customWidth="1" min="5" max="6" width="12.63"/>
    <col customWidth="1" hidden="1" min="7" max="7" width="12.63"/>
    <col customWidth="1" min="16" max="26" width="14.38"/>
  </cols>
  <sheetData>
    <row r="1" ht="15.75" customHeight="1">
      <c r="A1" s="1"/>
      <c r="B1" s="2" t="s">
        <v>0</v>
      </c>
      <c r="E1" s="3" t="s">
        <v>1</v>
      </c>
      <c r="G1" s="4"/>
      <c r="H1" s="5" t="s">
        <v>2</v>
      </c>
      <c r="I1" s="5" t="s">
        <v>3</v>
      </c>
      <c r="J1" s="5" t="s">
        <v>4</v>
      </c>
      <c r="K1" s="5" t="s">
        <v>5</v>
      </c>
      <c r="L1" s="5" t="s">
        <v>6</v>
      </c>
      <c r="M1" s="5" t="s">
        <v>7</v>
      </c>
      <c r="N1" s="5" t="s">
        <v>8</v>
      </c>
      <c r="O1" s="5" t="s">
        <v>9</v>
      </c>
      <c r="P1" s="5" t="s">
        <v>10</v>
      </c>
      <c r="Q1" s="1"/>
      <c r="R1" s="1"/>
      <c r="S1" s="1"/>
      <c r="T1" s="1"/>
      <c r="U1" s="1"/>
      <c r="V1" s="1"/>
      <c r="W1" s="1"/>
      <c r="X1" s="1"/>
      <c r="Y1" s="1"/>
      <c r="Z1" s="1"/>
    </row>
    <row r="2" ht="15.75" customHeight="1">
      <c r="A2" s="1"/>
      <c r="G2" s="6"/>
      <c r="H2" s="7" t="s">
        <v>11</v>
      </c>
      <c r="I2" s="7" t="s">
        <v>12</v>
      </c>
      <c r="J2" s="7" t="s">
        <v>13</v>
      </c>
      <c r="K2" s="7" t="s">
        <v>14</v>
      </c>
      <c r="L2" s="7" t="s">
        <v>15</v>
      </c>
      <c r="M2" s="7" t="s">
        <v>16</v>
      </c>
      <c r="N2" s="7" t="s">
        <v>17</v>
      </c>
      <c r="O2" s="5" t="s">
        <v>18</v>
      </c>
      <c r="P2" s="5" t="s">
        <v>19</v>
      </c>
      <c r="Q2" s="1"/>
      <c r="R2" s="1"/>
      <c r="S2" s="1"/>
      <c r="T2" s="1"/>
      <c r="U2" s="1"/>
      <c r="V2" s="1"/>
      <c r="W2" s="1"/>
      <c r="X2" s="1"/>
      <c r="Y2" s="1"/>
      <c r="Z2" s="1"/>
    </row>
    <row r="3" ht="15.75" customHeight="1">
      <c r="A3" s="1"/>
      <c r="B3" s="1"/>
      <c r="C3" s="1"/>
      <c r="D3" s="1"/>
      <c r="E3" s="8"/>
      <c r="F3" s="8"/>
      <c r="G3" s="9"/>
      <c r="H3" s="10" t="str">
        <f t="shared" ref="H3:N3" si="1">COUNTIF(H35:H199, "완료") &amp; "명 완료"
</f>
        <v>23명 완료</v>
      </c>
      <c r="I3" s="10" t="str">
        <f t="shared" si="1"/>
        <v>20명 완료</v>
      </c>
      <c r="J3" s="10" t="str">
        <f t="shared" si="1"/>
        <v>17명 완료</v>
      </c>
      <c r="K3" s="10" t="str">
        <f t="shared" si="1"/>
        <v>18명 완료</v>
      </c>
      <c r="L3" s="10" t="str">
        <f t="shared" si="1"/>
        <v>14명 완료</v>
      </c>
      <c r="M3" s="10" t="str">
        <f t="shared" si="1"/>
        <v>5명 완료</v>
      </c>
      <c r="N3" s="10" t="str">
        <f t="shared" si="1"/>
        <v>2명 완료</v>
      </c>
      <c r="O3" s="11" t="str">
        <f>COUNTIF(N35:N199, "완료") &amp; "명 완료"
</f>
        <v>2명 완료</v>
      </c>
      <c r="P3" s="12"/>
      <c r="Q3" s="1"/>
      <c r="R3" s="1"/>
      <c r="S3" s="1"/>
      <c r="T3" s="1"/>
      <c r="U3" s="1"/>
      <c r="V3" s="1"/>
      <c r="W3" s="1"/>
      <c r="X3" s="1"/>
      <c r="Y3" s="1"/>
      <c r="Z3" s="1"/>
    </row>
    <row r="4" ht="15.75" customHeight="1">
      <c r="A4" s="13"/>
      <c r="B4" s="14" t="s">
        <v>20</v>
      </c>
      <c r="C4" s="15" t="s">
        <v>21</v>
      </c>
      <c r="D4" s="15" t="s">
        <v>22</v>
      </c>
      <c r="E4" s="16" t="s">
        <v>23</v>
      </c>
      <c r="F4" s="16" t="s">
        <v>24</v>
      </c>
      <c r="G4" s="17"/>
      <c r="H4" s="18" t="s">
        <v>25</v>
      </c>
      <c r="I4" s="18" t="s">
        <v>25</v>
      </c>
      <c r="J4" s="18" t="s">
        <v>25</v>
      </c>
      <c r="K4" s="18" t="s">
        <v>25</v>
      </c>
      <c r="L4" s="18" t="s">
        <v>25</v>
      </c>
      <c r="M4" s="18" t="s">
        <v>25</v>
      </c>
      <c r="N4" s="18" t="s">
        <v>25</v>
      </c>
      <c r="O4" s="19" t="s">
        <v>25</v>
      </c>
      <c r="P4" s="19" t="s">
        <v>25</v>
      </c>
      <c r="Q4" s="1"/>
      <c r="R4" s="1"/>
      <c r="S4" s="1"/>
      <c r="T4" s="1"/>
      <c r="U4" s="1"/>
      <c r="V4" s="1"/>
      <c r="W4" s="1"/>
      <c r="X4" s="1"/>
      <c r="Y4" s="1"/>
      <c r="Z4" s="1"/>
    </row>
    <row r="5" ht="15.75" customHeight="1">
      <c r="A5" s="20"/>
      <c r="B5" s="21">
        <v>1.0</v>
      </c>
      <c r="C5" s="22" t="s">
        <v>26</v>
      </c>
      <c r="D5" s="23" t="s">
        <v>27</v>
      </c>
      <c r="E5" s="24" t="str">
        <f t="shared" ref="E5:E123" si="2">IF(COUNTIF(G5:N5, "완료")=0, "", COUNTIF($G$4:$N$4, "완료") &amp; "번 중 " &amp; COUNTIF(G5:N5, "완료") &amp; "번 참여")
</f>
        <v>7번 중 7번 참여</v>
      </c>
      <c r="F5" s="25">
        <f t="shared" ref="F5:F123" si="3">IF(COUNTIF($G$4:$N$4, "완료")=0, "", IF(COUNTIF(G5:N5, "완료")=0, "", COUNTIF(G5:N5, "완료") / COUNTIF($G$4:$N$4, "완료")))
</f>
        <v>1</v>
      </c>
      <c r="G5" s="26"/>
      <c r="H5" s="26" t="s">
        <v>25</v>
      </c>
      <c r="I5" s="26" t="s">
        <v>25</v>
      </c>
      <c r="J5" s="26" t="s">
        <v>25</v>
      </c>
      <c r="K5" s="26" t="s">
        <v>25</v>
      </c>
      <c r="L5" s="26" t="s">
        <v>25</v>
      </c>
      <c r="M5" s="26" t="s">
        <v>25</v>
      </c>
      <c r="N5" s="26" t="s">
        <v>25</v>
      </c>
      <c r="O5" s="27"/>
      <c r="P5" s="27"/>
      <c r="Q5" s="27"/>
      <c r="R5" s="27"/>
      <c r="S5" s="27"/>
      <c r="T5" s="27"/>
      <c r="U5" s="27"/>
      <c r="V5" s="27"/>
      <c r="W5" s="27"/>
      <c r="X5" s="27"/>
      <c r="Y5" s="27"/>
      <c r="Z5" s="27"/>
    </row>
    <row r="6" ht="15.75" customHeight="1">
      <c r="A6" s="28"/>
      <c r="B6" s="29">
        <v>2.0</v>
      </c>
      <c r="C6" s="30" t="s">
        <v>28</v>
      </c>
      <c r="D6" s="30" t="s">
        <v>29</v>
      </c>
      <c r="E6" s="31" t="str">
        <f t="shared" si="2"/>
        <v>7번 중 6번 참여</v>
      </c>
      <c r="F6" s="32">
        <f t="shared" si="3"/>
        <v>0.8571428571</v>
      </c>
      <c r="G6" s="26"/>
      <c r="H6" s="26" t="s">
        <v>25</v>
      </c>
      <c r="I6" s="26" t="s">
        <v>25</v>
      </c>
      <c r="J6" s="26" t="s">
        <v>25</v>
      </c>
      <c r="K6" s="26" t="s">
        <v>25</v>
      </c>
      <c r="L6" s="26" t="s">
        <v>25</v>
      </c>
      <c r="M6" s="26" t="s">
        <v>25</v>
      </c>
      <c r="N6" s="26"/>
      <c r="O6" s="27"/>
      <c r="P6" s="27"/>
      <c r="Q6" s="27"/>
      <c r="R6" s="27"/>
      <c r="S6" s="27"/>
      <c r="T6" s="27"/>
      <c r="U6" s="27"/>
      <c r="V6" s="27"/>
      <c r="W6" s="27"/>
      <c r="X6" s="27"/>
      <c r="Y6" s="27"/>
      <c r="Z6" s="27"/>
    </row>
    <row r="7" ht="15.75" customHeight="1">
      <c r="A7" s="20"/>
      <c r="B7" s="21">
        <v>3.0</v>
      </c>
      <c r="C7" s="22" t="s">
        <v>30</v>
      </c>
      <c r="D7" s="22" t="s">
        <v>31</v>
      </c>
      <c r="E7" s="33" t="str">
        <f t="shared" si="2"/>
        <v/>
      </c>
      <c r="F7" s="34" t="str">
        <f t="shared" si="3"/>
        <v/>
      </c>
      <c r="G7" s="26"/>
      <c r="H7" s="26"/>
      <c r="I7" s="26"/>
      <c r="J7" s="26"/>
      <c r="K7" s="26"/>
      <c r="L7" s="26"/>
      <c r="M7" s="26"/>
      <c r="N7" s="26"/>
      <c r="O7" s="27"/>
      <c r="P7" s="27"/>
      <c r="Q7" s="27"/>
      <c r="R7" s="27"/>
      <c r="S7" s="27"/>
      <c r="T7" s="27"/>
      <c r="U7" s="27"/>
      <c r="V7" s="27"/>
      <c r="W7" s="27"/>
      <c r="X7" s="27"/>
      <c r="Y7" s="27"/>
      <c r="Z7" s="27"/>
    </row>
    <row r="8" ht="15.75" customHeight="1">
      <c r="A8" s="28"/>
      <c r="B8" s="29">
        <v>4.0</v>
      </c>
      <c r="C8" s="30" t="s">
        <v>32</v>
      </c>
      <c r="D8" s="30" t="s">
        <v>33</v>
      </c>
      <c r="E8" s="35" t="str">
        <f t="shared" si="2"/>
        <v/>
      </c>
      <c r="F8" s="36" t="str">
        <f t="shared" si="3"/>
        <v/>
      </c>
      <c r="G8" s="26"/>
      <c r="H8" s="26"/>
      <c r="I8" s="26"/>
      <c r="J8" s="26"/>
      <c r="K8" s="26"/>
      <c r="L8" s="26"/>
      <c r="M8" s="26"/>
      <c r="N8" s="26"/>
      <c r="O8" s="27"/>
      <c r="P8" s="27"/>
      <c r="Q8" s="27"/>
      <c r="R8" s="27"/>
      <c r="S8" s="27"/>
      <c r="T8" s="27"/>
      <c r="U8" s="27"/>
      <c r="V8" s="27"/>
      <c r="W8" s="27"/>
      <c r="X8" s="27"/>
      <c r="Y8" s="27"/>
      <c r="Z8" s="27"/>
    </row>
    <row r="9" ht="15.75" customHeight="1">
      <c r="A9" s="20"/>
      <c r="B9" s="21">
        <v>5.0</v>
      </c>
      <c r="C9" s="22" t="s">
        <v>34</v>
      </c>
      <c r="D9" s="22" t="s">
        <v>35</v>
      </c>
      <c r="E9" s="24" t="str">
        <f t="shared" si="2"/>
        <v>7번 중 2번 참여</v>
      </c>
      <c r="F9" s="25">
        <f t="shared" si="3"/>
        <v>0.2857142857</v>
      </c>
      <c r="G9" s="26"/>
      <c r="H9" s="26"/>
      <c r="I9" s="26"/>
      <c r="J9" s="26"/>
      <c r="K9" s="26" t="s">
        <v>25</v>
      </c>
      <c r="L9" s="26" t="s">
        <v>25</v>
      </c>
      <c r="M9" s="26"/>
      <c r="N9" s="26"/>
      <c r="O9" s="27"/>
      <c r="P9" s="27"/>
      <c r="Q9" s="27"/>
      <c r="R9" s="27"/>
      <c r="S9" s="27"/>
      <c r="T9" s="27"/>
      <c r="U9" s="27"/>
      <c r="V9" s="27"/>
      <c r="W9" s="27"/>
      <c r="X9" s="27"/>
      <c r="Y9" s="27"/>
      <c r="Z9" s="27"/>
    </row>
    <row r="10" ht="15.75" customHeight="1">
      <c r="A10" s="28"/>
      <c r="B10" s="29">
        <v>6.0</v>
      </c>
      <c r="C10" s="30" t="s">
        <v>36</v>
      </c>
      <c r="D10" s="30" t="s">
        <v>37</v>
      </c>
      <c r="E10" s="35" t="str">
        <f t="shared" si="2"/>
        <v>7번 중 5번 참여</v>
      </c>
      <c r="F10" s="37">
        <f t="shared" si="3"/>
        <v>0.7142857143</v>
      </c>
      <c r="G10" s="26"/>
      <c r="H10" s="26" t="s">
        <v>25</v>
      </c>
      <c r="I10" s="26" t="s">
        <v>25</v>
      </c>
      <c r="J10" s="26" t="s">
        <v>25</v>
      </c>
      <c r="K10" s="26" t="s">
        <v>25</v>
      </c>
      <c r="L10" s="26" t="s">
        <v>25</v>
      </c>
      <c r="M10" s="26"/>
      <c r="N10" s="26"/>
      <c r="O10" s="27"/>
      <c r="P10" s="27"/>
      <c r="Q10" s="27"/>
      <c r="R10" s="27"/>
      <c r="S10" s="27"/>
      <c r="T10" s="27"/>
      <c r="U10" s="27"/>
      <c r="V10" s="27"/>
      <c r="W10" s="27"/>
      <c r="X10" s="27"/>
      <c r="Y10" s="27"/>
      <c r="Z10" s="27"/>
    </row>
    <row r="11" ht="15.75" customHeight="1">
      <c r="A11" s="20"/>
      <c r="B11" s="21">
        <v>7.0</v>
      </c>
      <c r="C11" s="22" t="s">
        <v>38</v>
      </c>
      <c r="D11" s="22" t="s">
        <v>39</v>
      </c>
      <c r="E11" s="24" t="str">
        <f t="shared" si="2"/>
        <v>7번 중 4번 참여</v>
      </c>
      <c r="F11" s="25">
        <f t="shared" si="3"/>
        <v>0.5714285714</v>
      </c>
      <c r="G11" s="26"/>
      <c r="H11" s="26" t="s">
        <v>25</v>
      </c>
      <c r="I11" s="26" t="s">
        <v>25</v>
      </c>
      <c r="J11" s="26" t="s">
        <v>25</v>
      </c>
      <c r="K11" s="26"/>
      <c r="L11" s="26" t="s">
        <v>25</v>
      </c>
      <c r="M11" s="26"/>
      <c r="N11" s="26"/>
      <c r="O11" s="27"/>
      <c r="P11" s="27"/>
      <c r="Q11" s="27"/>
      <c r="R11" s="27"/>
      <c r="S11" s="27"/>
      <c r="T11" s="27"/>
      <c r="U11" s="27"/>
      <c r="V11" s="27"/>
      <c r="W11" s="27"/>
      <c r="X11" s="27"/>
      <c r="Y11" s="27"/>
      <c r="Z11" s="27"/>
    </row>
    <row r="12" ht="15.75" customHeight="1">
      <c r="A12" s="28"/>
      <c r="B12" s="29">
        <v>8.0</v>
      </c>
      <c r="C12" s="30" t="s">
        <v>40</v>
      </c>
      <c r="D12" s="30" t="s">
        <v>41</v>
      </c>
      <c r="E12" s="31" t="str">
        <f t="shared" si="2"/>
        <v>7번 중 5번 참여</v>
      </c>
      <c r="F12" s="32">
        <f t="shared" si="3"/>
        <v>0.7142857143</v>
      </c>
      <c r="G12" s="26"/>
      <c r="H12" s="26" t="s">
        <v>25</v>
      </c>
      <c r="I12" s="26" t="s">
        <v>25</v>
      </c>
      <c r="J12" s="26" t="s">
        <v>25</v>
      </c>
      <c r="K12" s="26" t="s">
        <v>25</v>
      </c>
      <c r="L12" s="26" t="s">
        <v>25</v>
      </c>
      <c r="M12" s="26"/>
      <c r="N12" s="26"/>
      <c r="O12" s="27"/>
      <c r="P12" s="27"/>
      <c r="Q12" s="27"/>
      <c r="R12" s="27"/>
      <c r="S12" s="27"/>
      <c r="T12" s="27"/>
      <c r="U12" s="27"/>
      <c r="V12" s="27"/>
      <c r="W12" s="27"/>
      <c r="X12" s="27"/>
      <c r="Y12" s="27"/>
      <c r="Z12" s="27"/>
    </row>
    <row r="13" ht="15.75" customHeight="1">
      <c r="A13" s="20"/>
      <c r="B13" s="21">
        <v>9.0</v>
      </c>
      <c r="C13" s="22" t="s">
        <v>42</v>
      </c>
      <c r="D13" s="22" t="s">
        <v>43</v>
      </c>
      <c r="E13" s="24" t="str">
        <f t="shared" si="2"/>
        <v>7번 중 3번 참여</v>
      </c>
      <c r="F13" s="25">
        <f t="shared" si="3"/>
        <v>0.4285714286</v>
      </c>
      <c r="G13" s="26"/>
      <c r="H13" s="26" t="s">
        <v>25</v>
      </c>
      <c r="I13" s="26" t="s">
        <v>25</v>
      </c>
      <c r="J13" s="26"/>
      <c r="K13" s="26"/>
      <c r="L13" s="26" t="s">
        <v>25</v>
      </c>
      <c r="M13" s="26"/>
      <c r="N13" s="26"/>
      <c r="O13" s="27"/>
      <c r="P13" s="27"/>
      <c r="Q13" s="27"/>
      <c r="R13" s="27"/>
      <c r="S13" s="27"/>
      <c r="T13" s="27"/>
      <c r="U13" s="27"/>
      <c r="V13" s="27"/>
      <c r="W13" s="27"/>
      <c r="X13" s="27"/>
      <c r="Y13" s="27"/>
      <c r="Z13" s="27"/>
    </row>
    <row r="14" ht="15.75" customHeight="1">
      <c r="A14" s="28"/>
      <c r="B14" s="29">
        <v>10.0</v>
      </c>
      <c r="C14" s="30" t="s">
        <v>44</v>
      </c>
      <c r="D14" s="30" t="s">
        <v>45</v>
      </c>
      <c r="E14" s="31" t="str">
        <f t="shared" si="2"/>
        <v>7번 중 7번 참여</v>
      </c>
      <c r="F14" s="32">
        <f t="shared" si="3"/>
        <v>1</v>
      </c>
      <c r="G14" s="26"/>
      <c r="H14" s="26" t="s">
        <v>25</v>
      </c>
      <c r="I14" s="26" t="s">
        <v>25</v>
      </c>
      <c r="J14" s="26" t="s">
        <v>25</v>
      </c>
      <c r="K14" s="26" t="s">
        <v>25</v>
      </c>
      <c r="L14" s="26" t="s">
        <v>25</v>
      </c>
      <c r="M14" s="26" t="s">
        <v>25</v>
      </c>
      <c r="N14" s="26" t="s">
        <v>25</v>
      </c>
      <c r="O14" s="27"/>
      <c r="P14" s="27"/>
      <c r="Q14" s="27"/>
      <c r="R14" s="27"/>
      <c r="S14" s="27"/>
      <c r="T14" s="27"/>
      <c r="U14" s="27"/>
      <c r="V14" s="27"/>
      <c r="W14" s="27"/>
      <c r="X14" s="27"/>
      <c r="Y14" s="27"/>
      <c r="Z14" s="27"/>
    </row>
    <row r="15" ht="15.75" customHeight="1">
      <c r="A15" s="20"/>
      <c r="B15" s="21">
        <v>11.0</v>
      </c>
      <c r="C15" s="22" t="s">
        <v>46</v>
      </c>
      <c r="D15" s="22" t="s">
        <v>47</v>
      </c>
      <c r="E15" s="24" t="str">
        <f t="shared" si="2"/>
        <v>7번 중 6번 참여</v>
      </c>
      <c r="F15" s="25">
        <f t="shared" si="3"/>
        <v>0.8571428571</v>
      </c>
      <c r="G15" s="26"/>
      <c r="H15" s="26" t="s">
        <v>25</v>
      </c>
      <c r="I15" s="26" t="s">
        <v>25</v>
      </c>
      <c r="J15" s="26" t="s">
        <v>25</v>
      </c>
      <c r="K15" s="26" t="s">
        <v>25</v>
      </c>
      <c r="L15" s="26" t="s">
        <v>25</v>
      </c>
      <c r="M15" s="26" t="s">
        <v>25</v>
      </c>
      <c r="N15" s="26"/>
      <c r="O15" s="27"/>
      <c r="P15" s="27"/>
      <c r="Q15" s="27"/>
      <c r="R15" s="27"/>
      <c r="S15" s="27"/>
      <c r="T15" s="27"/>
      <c r="U15" s="27"/>
      <c r="V15" s="27"/>
      <c r="W15" s="27"/>
      <c r="X15" s="27"/>
      <c r="Y15" s="27"/>
      <c r="Z15" s="27"/>
    </row>
    <row r="16" ht="15.75" customHeight="1">
      <c r="A16" s="28"/>
      <c r="B16" s="29">
        <v>12.0</v>
      </c>
      <c r="C16" s="30" t="s">
        <v>48</v>
      </c>
      <c r="D16" s="30" t="s">
        <v>49</v>
      </c>
      <c r="E16" s="31" t="str">
        <f t="shared" si="2"/>
        <v>7번 중 5번 참여</v>
      </c>
      <c r="F16" s="32">
        <f t="shared" si="3"/>
        <v>0.7142857143</v>
      </c>
      <c r="G16" s="26"/>
      <c r="H16" s="26" t="s">
        <v>25</v>
      </c>
      <c r="I16" s="26" t="s">
        <v>25</v>
      </c>
      <c r="J16" s="26" t="s">
        <v>25</v>
      </c>
      <c r="K16" s="26" t="s">
        <v>25</v>
      </c>
      <c r="L16" s="26" t="s">
        <v>25</v>
      </c>
      <c r="M16" s="26"/>
      <c r="N16" s="26"/>
      <c r="O16" s="27"/>
      <c r="P16" s="27"/>
      <c r="Q16" s="27"/>
      <c r="R16" s="27"/>
      <c r="S16" s="27"/>
      <c r="T16" s="27"/>
      <c r="U16" s="27"/>
      <c r="V16" s="27"/>
      <c r="W16" s="27"/>
      <c r="X16" s="27"/>
      <c r="Y16" s="27"/>
      <c r="Z16" s="27"/>
    </row>
    <row r="17" ht="15.75" customHeight="1">
      <c r="A17" s="20"/>
      <c r="B17" s="21">
        <v>13.0</v>
      </c>
      <c r="C17" s="22" t="s">
        <v>50</v>
      </c>
      <c r="D17" s="22" t="s">
        <v>51</v>
      </c>
      <c r="E17" s="33" t="str">
        <f t="shared" si="2"/>
        <v/>
      </c>
      <c r="F17" s="34" t="str">
        <f t="shared" si="3"/>
        <v/>
      </c>
      <c r="G17" s="26"/>
      <c r="H17" s="26"/>
      <c r="I17" s="26"/>
      <c r="J17" s="26"/>
      <c r="K17" s="26"/>
      <c r="L17" s="26"/>
      <c r="M17" s="26"/>
      <c r="N17" s="26"/>
      <c r="O17" s="27"/>
      <c r="P17" s="27"/>
      <c r="Q17" s="27"/>
      <c r="R17" s="27"/>
      <c r="S17" s="27"/>
      <c r="T17" s="27"/>
      <c r="U17" s="27"/>
      <c r="V17" s="27"/>
      <c r="W17" s="27"/>
      <c r="X17" s="27"/>
      <c r="Y17" s="27"/>
      <c r="Z17" s="27"/>
    </row>
    <row r="18" ht="15.75" customHeight="1">
      <c r="A18" s="28"/>
      <c r="B18" s="29">
        <v>14.0</v>
      </c>
      <c r="C18" s="30" t="s">
        <v>52</v>
      </c>
      <c r="D18" s="30" t="s">
        <v>53</v>
      </c>
      <c r="E18" s="35" t="str">
        <f t="shared" si="2"/>
        <v/>
      </c>
      <c r="F18" s="36" t="str">
        <f t="shared" si="3"/>
        <v/>
      </c>
      <c r="G18" s="26"/>
      <c r="H18" s="26"/>
      <c r="I18" s="26"/>
      <c r="J18" s="26"/>
      <c r="K18" s="26"/>
      <c r="L18" s="26"/>
      <c r="M18" s="26"/>
      <c r="N18" s="26"/>
      <c r="O18" s="27"/>
      <c r="P18" s="27"/>
      <c r="Q18" s="27"/>
      <c r="R18" s="27"/>
      <c r="S18" s="27"/>
      <c r="T18" s="27"/>
      <c r="U18" s="27"/>
      <c r="V18" s="27"/>
      <c r="W18" s="27"/>
      <c r="X18" s="27"/>
      <c r="Y18" s="27"/>
      <c r="Z18" s="27"/>
    </row>
    <row r="19" ht="15.75" customHeight="1">
      <c r="A19" s="20"/>
      <c r="B19" s="21">
        <v>15.0</v>
      </c>
      <c r="C19" s="22" t="s">
        <v>54</v>
      </c>
      <c r="D19" s="22" t="s">
        <v>55</v>
      </c>
      <c r="E19" s="33" t="str">
        <f t="shared" si="2"/>
        <v/>
      </c>
      <c r="F19" s="34" t="str">
        <f t="shared" si="3"/>
        <v/>
      </c>
      <c r="G19" s="26"/>
      <c r="H19" s="26"/>
      <c r="I19" s="26"/>
      <c r="J19" s="26"/>
      <c r="K19" s="26"/>
      <c r="L19" s="26"/>
      <c r="M19" s="26"/>
      <c r="N19" s="26"/>
      <c r="O19" s="27"/>
      <c r="P19" s="27"/>
      <c r="Q19" s="27"/>
      <c r="R19" s="27"/>
      <c r="S19" s="27"/>
      <c r="T19" s="27"/>
      <c r="U19" s="27"/>
      <c r="V19" s="27"/>
      <c r="W19" s="27"/>
      <c r="X19" s="27"/>
      <c r="Y19" s="27"/>
      <c r="Z19" s="27"/>
    </row>
    <row r="20" ht="15.75" customHeight="1">
      <c r="A20" s="28"/>
      <c r="B20" s="29">
        <v>16.0</v>
      </c>
      <c r="C20" s="30" t="s">
        <v>56</v>
      </c>
      <c r="D20" s="30" t="s">
        <v>57</v>
      </c>
      <c r="E20" s="31" t="str">
        <f t="shared" si="2"/>
        <v>7번 중 7번 참여</v>
      </c>
      <c r="F20" s="32">
        <f t="shared" si="3"/>
        <v>1</v>
      </c>
      <c r="G20" s="26"/>
      <c r="H20" s="26" t="s">
        <v>25</v>
      </c>
      <c r="I20" s="26" t="s">
        <v>25</v>
      </c>
      <c r="J20" s="26" t="s">
        <v>25</v>
      </c>
      <c r="K20" s="26" t="s">
        <v>25</v>
      </c>
      <c r="L20" s="26" t="s">
        <v>25</v>
      </c>
      <c r="M20" s="26" t="s">
        <v>25</v>
      </c>
      <c r="N20" s="26" t="s">
        <v>25</v>
      </c>
      <c r="O20" s="27"/>
      <c r="P20" s="27"/>
      <c r="Q20" s="27"/>
      <c r="R20" s="27"/>
      <c r="S20" s="27"/>
      <c r="T20" s="27"/>
      <c r="U20" s="27"/>
      <c r="V20" s="27"/>
      <c r="W20" s="27"/>
      <c r="X20" s="27"/>
      <c r="Y20" s="27"/>
      <c r="Z20" s="27"/>
    </row>
    <row r="21" ht="15.75" customHeight="1">
      <c r="A21" s="20"/>
      <c r="B21" s="21">
        <v>17.0</v>
      </c>
      <c r="C21" s="22" t="s">
        <v>58</v>
      </c>
      <c r="D21" s="22" t="s">
        <v>59</v>
      </c>
      <c r="E21" s="33" t="str">
        <f t="shared" si="2"/>
        <v/>
      </c>
      <c r="F21" s="34" t="str">
        <f t="shared" si="3"/>
        <v/>
      </c>
      <c r="G21" s="26"/>
      <c r="H21" s="26"/>
      <c r="I21" s="26"/>
      <c r="J21" s="26"/>
      <c r="K21" s="26"/>
      <c r="L21" s="26"/>
      <c r="M21" s="26"/>
      <c r="N21" s="26"/>
      <c r="O21" s="27"/>
      <c r="P21" s="27"/>
      <c r="Q21" s="27"/>
      <c r="R21" s="27"/>
      <c r="S21" s="27"/>
      <c r="T21" s="27"/>
      <c r="U21" s="27"/>
      <c r="V21" s="27"/>
      <c r="W21" s="27"/>
      <c r="X21" s="27"/>
      <c r="Y21" s="27"/>
      <c r="Z21" s="27"/>
    </row>
    <row r="22" ht="15.75" customHeight="1">
      <c r="A22" s="28"/>
      <c r="B22" s="29">
        <v>18.0</v>
      </c>
      <c r="C22" s="30" t="s">
        <v>60</v>
      </c>
      <c r="D22" s="38" t="s">
        <v>61</v>
      </c>
      <c r="E22" s="35" t="str">
        <f t="shared" si="2"/>
        <v/>
      </c>
      <c r="F22" s="36" t="str">
        <f t="shared" si="3"/>
        <v/>
      </c>
      <c r="G22" s="26"/>
      <c r="H22" s="26"/>
      <c r="I22" s="26"/>
      <c r="J22" s="26"/>
      <c r="K22" s="26"/>
      <c r="L22" s="26"/>
      <c r="M22" s="26"/>
      <c r="N22" s="26"/>
      <c r="O22" s="27"/>
      <c r="P22" s="27"/>
      <c r="Q22" s="27"/>
      <c r="R22" s="27"/>
      <c r="S22" s="27"/>
      <c r="T22" s="27"/>
      <c r="U22" s="27"/>
      <c r="V22" s="27"/>
      <c r="W22" s="27"/>
      <c r="X22" s="27"/>
      <c r="Y22" s="27"/>
      <c r="Z22" s="27"/>
    </row>
    <row r="23" ht="15.75" customHeight="1">
      <c r="A23" s="20"/>
      <c r="B23" s="21">
        <v>19.0</v>
      </c>
      <c r="C23" s="39" t="s">
        <v>62</v>
      </c>
      <c r="D23" s="40" t="s">
        <v>63</v>
      </c>
      <c r="E23" s="33" t="str">
        <f t="shared" si="2"/>
        <v/>
      </c>
      <c r="F23" s="34" t="str">
        <f t="shared" si="3"/>
        <v/>
      </c>
      <c r="G23" s="26"/>
      <c r="H23" s="26"/>
      <c r="I23" s="26"/>
      <c r="J23" s="26"/>
      <c r="K23" s="26"/>
      <c r="L23" s="26"/>
      <c r="M23" s="26"/>
      <c r="N23" s="26"/>
      <c r="O23" s="27"/>
      <c r="P23" s="27"/>
      <c r="Q23" s="27"/>
      <c r="R23" s="27"/>
      <c r="S23" s="27"/>
      <c r="T23" s="27"/>
      <c r="U23" s="27"/>
      <c r="V23" s="27"/>
      <c r="W23" s="27"/>
      <c r="X23" s="27"/>
      <c r="Y23" s="27"/>
      <c r="Z23" s="27"/>
    </row>
    <row r="24" ht="15.75" customHeight="1">
      <c r="A24" s="28"/>
      <c r="B24" s="29">
        <v>20.0</v>
      </c>
      <c r="C24" s="30" t="s">
        <v>64</v>
      </c>
      <c r="D24" s="30" t="s">
        <v>65</v>
      </c>
      <c r="E24" s="35" t="str">
        <f t="shared" si="2"/>
        <v/>
      </c>
      <c r="F24" s="36" t="str">
        <f t="shared" si="3"/>
        <v/>
      </c>
      <c r="G24" s="26"/>
      <c r="H24" s="26"/>
      <c r="I24" s="26"/>
      <c r="J24" s="26"/>
      <c r="K24" s="26"/>
      <c r="L24" s="26"/>
      <c r="M24" s="26"/>
      <c r="N24" s="26"/>
      <c r="O24" s="27"/>
      <c r="P24" s="27"/>
      <c r="Q24" s="27"/>
      <c r="R24" s="27"/>
      <c r="S24" s="27"/>
      <c r="T24" s="27"/>
      <c r="U24" s="27"/>
      <c r="V24" s="27"/>
      <c r="W24" s="27"/>
      <c r="X24" s="27"/>
      <c r="Y24" s="27"/>
      <c r="Z24" s="27"/>
    </row>
    <row r="25" ht="15.75" customHeight="1">
      <c r="A25" s="20"/>
      <c r="B25" s="21">
        <v>21.0</v>
      </c>
      <c r="C25" s="22" t="s">
        <v>66</v>
      </c>
      <c r="D25" s="22" t="s">
        <v>67</v>
      </c>
      <c r="E25" s="33" t="str">
        <f t="shared" si="2"/>
        <v/>
      </c>
      <c r="F25" s="34" t="str">
        <f t="shared" si="3"/>
        <v/>
      </c>
      <c r="G25" s="26"/>
      <c r="H25" s="26"/>
      <c r="I25" s="26"/>
      <c r="J25" s="26"/>
      <c r="K25" s="26"/>
      <c r="L25" s="26"/>
      <c r="M25" s="26"/>
      <c r="N25" s="26"/>
      <c r="O25" s="27"/>
      <c r="P25" s="27"/>
      <c r="Q25" s="27"/>
      <c r="R25" s="27"/>
      <c r="S25" s="27"/>
      <c r="T25" s="27"/>
      <c r="U25" s="27"/>
      <c r="V25" s="27"/>
      <c r="W25" s="27"/>
      <c r="X25" s="27"/>
      <c r="Y25" s="27"/>
      <c r="Z25" s="27"/>
    </row>
    <row r="26" ht="15.75" customHeight="1">
      <c r="A26" s="28"/>
      <c r="B26" s="29">
        <v>22.0</v>
      </c>
      <c r="C26" s="41" t="s">
        <v>68</v>
      </c>
      <c r="D26" s="41" t="s">
        <v>69</v>
      </c>
      <c r="E26" s="35" t="str">
        <f t="shared" si="2"/>
        <v/>
      </c>
      <c r="F26" s="36" t="str">
        <f t="shared" si="3"/>
        <v/>
      </c>
      <c r="G26" s="26"/>
      <c r="H26" s="26"/>
      <c r="I26" s="26"/>
      <c r="J26" s="26"/>
      <c r="K26" s="26"/>
      <c r="L26" s="26"/>
      <c r="M26" s="26"/>
      <c r="N26" s="26"/>
      <c r="O26" s="27"/>
      <c r="P26" s="27"/>
      <c r="Q26" s="27"/>
      <c r="R26" s="27"/>
      <c r="S26" s="27"/>
      <c r="T26" s="27"/>
      <c r="U26" s="27"/>
      <c r="V26" s="27"/>
      <c r="W26" s="27"/>
      <c r="X26" s="27"/>
      <c r="Y26" s="27"/>
      <c r="Z26" s="27"/>
    </row>
    <row r="27" ht="15.75" customHeight="1">
      <c r="A27" s="20"/>
      <c r="B27" s="21">
        <v>23.0</v>
      </c>
      <c r="C27" s="22" t="s">
        <v>26</v>
      </c>
      <c r="D27" s="23" t="s">
        <v>27</v>
      </c>
      <c r="E27" s="33" t="str">
        <f t="shared" si="2"/>
        <v/>
      </c>
      <c r="F27" s="34" t="str">
        <f t="shared" si="3"/>
        <v/>
      </c>
      <c r="G27" s="26"/>
      <c r="H27" s="26"/>
      <c r="I27" s="26"/>
      <c r="J27" s="26"/>
      <c r="K27" s="26"/>
      <c r="L27" s="26"/>
      <c r="M27" s="26"/>
      <c r="N27" s="26"/>
      <c r="O27" s="27"/>
      <c r="P27" s="27"/>
      <c r="Q27" s="27"/>
      <c r="R27" s="27"/>
      <c r="S27" s="27"/>
      <c r="T27" s="27"/>
      <c r="U27" s="27"/>
      <c r="V27" s="27"/>
      <c r="W27" s="27"/>
      <c r="X27" s="27"/>
      <c r="Y27" s="27"/>
      <c r="Z27" s="27"/>
    </row>
    <row r="28" ht="15.75" customHeight="1">
      <c r="A28" s="28"/>
      <c r="B28" s="29">
        <v>24.0</v>
      </c>
      <c r="C28" s="30" t="s">
        <v>28</v>
      </c>
      <c r="D28" s="30" t="s">
        <v>70</v>
      </c>
      <c r="E28" s="31" t="str">
        <f t="shared" si="2"/>
        <v>7번 중 6번 참여</v>
      </c>
      <c r="F28" s="32">
        <f t="shared" si="3"/>
        <v>0.8571428571</v>
      </c>
      <c r="G28" s="26"/>
      <c r="H28" s="26" t="s">
        <v>25</v>
      </c>
      <c r="I28" s="26" t="s">
        <v>25</v>
      </c>
      <c r="J28" s="26" t="s">
        <v>25</v>
      </c>
      <c r="K28" s="26" t="s">
        <v>25</v>
      </c>
      <c r="L28" s="26" t="s">
        <v>25</v>
      </c>
      <c r="M28" s="26" t="s">
        <v>25</v>
      </c>
      <c r="N28" s="26"/>
      <c r="O28" s="27"/>
      <c r="P28" s="27"/>
      <c r="Q28" s="27"/>
      <c r="R28" s="27"/>
      <c r="S28" s="27"/>
      <c r="T28" s="27"/>
      <c r="U28" s="27"/>
      <c r="V28" s="27"/>
      <c r="W28" s="27"/>
      <c r="X28" s="27"/>
      <c r="Y28" s="27"/>
      <c r="Z28" s="27"/>
    </row>
    <row r="29" ht="15.75" customHeight="1">
      <c r="A29" s="20"/>
      <c r="B29" s="21">
        <v>25.0</v>
      </c>
      <c r="C29" s="22" t="s">
        <v>30</v>
      </c>
      <c r="D29" s="22" t="s">
        <v>31</v>
      </c>
      <c r="E29" s="33" t="str">
        <f t="shared" si="2"/>
        <v/>
      </c>
      <c r="F29" s="34" t="str">
        <f t="shared" si="3"/>
        <v/>
      </c>
      <c r="G29" s="26"/>
      <c r="H29" s="26"/>
      <c r="I29" s="26"/>
      <c r="J29" s="26"/>
      <c r="K29" s="26"/>
      <c r="L29" s="26"/>
      <c r="M29" s="26"/>
      <c r="N29" s="26"/>
      <c r="O29" s="27"/>
      <c r="P29" s="27"/>
      <c r="Q29" s="27"/>
      <c r="R29" s="27"/>
      <c r="S29" s="27"/>
      <c r="T29" s="27"/>
      <c r="U29" s="27"/>
      <c r="V29" s="27"/>
      <c r="W29" s="27"/>
      <c r="X29" s="27"/>
      <c r="Y29" s="27"/>
      <c r="Z29" s="27"/>
    </row>
    <row r="30" ht="15.75" customHeight="1">
      <c r="A30" s="28"/>
      <c r="B30" s="29">
        <v>26.0</v>
      </c>
      <c r="C30" s="30" t="s">
        <v>32</v>
      </c>
      <c r="D30" s="30" t="s">
        <v>33</v>
      </c>
      <c r="E30" s="35" t="str">
        <f t="shared" si="2"/>
        <v/>
      </c>
      <c r="F30" s="36" t="str">
        <f t="shared" si="3"/>
        <v/>
      </c>
      <c r="G30" s="26"/>
      <c r="H30" s="26"/>
      <c r="I30" s="26"/>
      <c r="J30" s="26"/>
      <c r="K30" s="26"/>
      <c r="L30" s="26"/>
      <c r="M30" s="26"/>
      <c r="N30" s="26"/>
      <c r="O30" s="27"/>
      <c r="P30" s="27"/>
      <c r="Q30" s="27"/>
      <c r="R30" s="27"/>
      <c r="S30" s="27"/>
      <c r="T30" s="27"/>
      <c r="U30" s="27"/>
      <c r="V30" s="27"/>
      <c r="W30" s="27"/>
      <c r="X30" s="27"/>
      <c r="Y30" s="27"/>
      <c r="Z30" s="27"/>
    </row>
    <row r="31" ht="15.75" customHeight="1">
      <c r="A31" s="20"/>
      <c r="B31" s="21">
        <v>27.0</v>
      </c>
      <c r="C31" s="22" t="s">
        <v>34</v>
      </c>
      <c r="D31" s="22" t="s">
        <v>71</v>
      </c>
      <c r="E31" s="33" t="str">
        <f t="shared" si="2"/>
        <v/>
      </c>
      <c r="F31" s="34" t="str">
        <f t="shared" si="3"/>
        <v/>
      </c>
      <c r="G31" s="26"/>
      <c r="H31" s="26"/>
      <c r="I31" s="26"/>
      <c r="J31" s="26"/>
      <c r="K31" s="26"/>
      <c r="L31" s="26"/>
      <c r="M31" s="26"/>
      <c r="N31" s="26"/>
      <c r="O31" s="27"/>
      <c r="P31" s="27"/>
      <c r="Q31" s="27"/>
      <c r="R31" s="27"/>
      <c r="S31" s="27"/>
      <c r="T31" s="27"/>
      <c r="U31" s="27"/>
      <c r="V31" s="27"/>
      <c r="W31" s="27"/>
      <c r="X31" s="27"/>
      <c r="Y31" s="27"/>
      <c r="Z31" s="27"/>
    </row>
    <row r="32" ht="15.75" customHeight="1">
      <c r="A32" s="28"/>
      <c r="B32" s="29">
        <v>28.0</v>
      </c>
      <c r="C32" s="30" t="s">
        <v>36</v>
      </c>
      <c r="D32" s="30" t="s">
        <v>72</v>
      </c>
      <c r="E32" s="35" t="str">
        <f t="shared" si="2"/>
        <v/>
      </c>
      <c r="F32" s="36" t="str">
        <f t="shared" si="3"/>
        <v/>
      </c>
      <c r="G32" s="26"/>
      <c r="H32" s="26"/>
      <c r="I32" s="26"/>
      <c r="J32" s="26"/>
      <c r="K32" s="26"/>
      <c r="L32" s="26"/>
      <c r="M32" s="26"/>
      <c r="N32" s="26"/>
      <c r="O32" s="27"/>
      <c r="P32" s="27"/>
      <c r="Q32" s="27"/>
      <c r="R32" s="27"/>
      <c r="S32" s="27"/>
      <c r="T32" s="27"/>
      <c r="U32" s="27"/>
      <c r="V32" s="27"/>
      <c r="W32" s="27"/>
      <c r="X32" s="27"/>
      <c r="Y32" s="27"/>
      <c r="Z32" s="27"/>
    </row>
    <row r="33" ht="15.75" customHeight="1">
      <c r="A33" s="20"/>
      <c r="B33" s="21">
        <v>29.0</v>
      </c>
      <c r="C33" s="22" t="s">
        <v>38</v>
      </c>
      <c r="D33" s="22" t="s">
        <v>39</v>
      </c>
      <c r="E33" s="33" t="str">
        <f t="shared" si="2"/>
        <v/>
      </c>
      <c r="F33" s="34" t="str">
        <f t="shared" si="3"/>
        <v/>
      </c>
      <c r="G33" s="26"/>
      <c r="H33" s="26"/>
      <c r="I33" s="26"/>
      <c r="J33" s="26"/>
      <c r="K33" s="26"/>
      <c r="L33" s="26"/>
      <c r="M33" s="26"/>
      <c r="N33" s="26"/>
      <c r="O33" s="27"/>
      <c r="P33" s="27"/>
      <c r="Q33" s="27"/>
      <c r="R33" s="27"/>
      <c r="S33" s="27"/>
      <c r="T33" s="27"/>
      <c r="U33" s="27"/>
      <c r="V33" s="27"/>
      <c r="W33" s="27"/>
      <c r="X33" s="27"/>
      <c r="Y33" s="27"/>
      <c r="Z33" s="27"/>
    </row>
    <row r="34" ht="15.75" customHeight="1">
      <c r="A34" s="28"/>
      <c r="B34" s="29">
        <v>30.0</v>
      </c>
      <c r="C34" s="30" t="s">
        <v>40</v>
      </c>
      <c r="D34" s="30" t="s">
        <v>41</v>
      </c>
      <c r="E34" s="35" t="str">
        <f t="shared" si="2"/>
        <v/>
      </c>
      <c r="F34" s="36" t="str">
        <f t="shared" si="3"/>
        <v/>
      </c>
      <c r="G34" s="26"/>
      <c r="H34" s="26"/>
      <c r="I34" s="26"/>
      <c r="J34" s="26"/>
      <c r="K34" s="26"/>
      <c r="L34" s="26"/>
      <c r="M34" s="26"/>
      <c r="N34" s="26"/>
      <c r="O34" s="27"/>
      <c r="P34" s="27"/>
      <c r="Q34" s="27"/>
      <c r="R34" s="27"/>
      <c r="S34" s="27"/>
      <c r="T34" s="27"/>
      <c r="U34" s="27"/>
      <c r="V34" s="27"/>
      <c r="W34" s="27"/>
      <c r="X34" s="27"/>
      <c r="Y34" s="27"/>
      <c r="Z34" s="27"/>
    </row>
    <row r="35" ht="15.75" customHeight="1">
      <c r="A35" s="20"/>
      <c r="B35" s="21">
        <v>31.0</v>
      </c>
      <c r="C35" s="22" t="s">
        <v>42</v>
      </c>
      <c r="D35" s="22" t="s">
        <v>73</v>
      </c>
      <c r="E35" s="33" t="str">
        <f t="shared" si="2"/>
        <v/>
      </c>
      <c r="F35" s="34" t="str">
        <f t="shared" si="3"/>
        <v/>
      </c>
      <c r="G35" s="26"/>
      <c r="H35" s="26"/>
      <c r="I35" s="26"/>
      <c r="J35" s="26"/>
      <c r="K35" s="26"/>
      <c r="L35" s="26"/>
      <c r="M35" s="26"/>
      <c r="N35" s="26"/>
      <c r="O35" s="27"/>
      <c r="P35" s="27"/>
      <c r="Q35" s="27"/>
      <c r="R35" s="27"/>
      <c r="S35" s="27"/>
      <c r="T35" s="27"/>
      <c r="U35" s="27"/>
      <c r="V35" s="27"/>
      <c r="W35" s="27"/>
      <c r="X35" s="27"/>
      <c r="Y35" s="27"/>
      <c r="Z35" s="27"/>
    </row>
    <row r="36" ht="15.75" customHeight="1">
      <c r="A36" s="28"/>
      <c r="B36" s="29">
        <v>32.0</v>
      </c>
      <c r="C36" s="30" t="s">
        <v>44</v>
      </c>
      <c r="D36" s="30" t="s">
        <v>45</v>
      </c>
      <c r="E36" s="35" t="str">
        <f t="shared" si="2"/>
        <v/>
      </c>
      <c r="F36" s="36" t="str">
        <f t="shared" si="3"/>
        <v/>
      </c>
      <c r="G36" s="26"/>
      <c r="H36" s="26"/>
      <c r="I36" s="26"/>
      <c r="J36" s="26"/>
      <c r="K36" s="26"/>
      <c r="L36" s="26"/>
      <c r="M36" s="26"/>
      <c r="N36" s="26"/>
      <c r="O36" s="27"/>
      <c r="P36" s="27"/>
      <c r="Q36" s="27"/>
      <c r="R36" s="27"/>
      <c r="S36" s="27"/>
      <c r="T36" s="27"/>
      <c r="U36" s="27"/>
      <c r="V36" s="27"/>
      <c r="W36" s="27"/>
      <c r="X36" s="27"/>
      <c r="Y36" s="27"/>
      <c r="Z36" s="27"/>
    </row>
    <row r="37" ht="15.75" customHeight="1">
      <c r="A37" s="20"/>
      <c r="B37" s="21">
        <v>33.0</v>
      </c>
      <c r="C37" s="22" t="s">
        <v>46</v>
      </c>
      <c r="D37" s="22" t="s">
        <v>47</v>
      </c>
      <c r="E37" s="33" t="str">
        <f t="shared" si="2"/>
        <v/>
      </c>
      <c r="F37" s="34" t="str">
        <f t="shared" si="3"/>
        <v/>
      </c>
      <c r="G37" s="26"/>
      <c r="H37" s="26"/>
      <c r="I37" s="26"/>
      <c r="J37" s="26"/>
      <c r="K37" s="26"/>
      <c r="L37" s="26"/>
      <c r="M37" s="26"/>
      <c r="N37" s="26"/>
      <c r="O37" s="27"/>
      <c r="P37" s="27"/>
      <c r="Q37" s="27"/>
      <c r="R37" s="27"/>
      <c r="S37" s="27"/>
      <c r="T37" s="27"/>
      <c r="U37" s="27"/>
      <c r="V37" s="27"/>
      <c r="W37" s="27"/>
      <c r="X37" s="27"/>
      <c r="Y37" s="27"/>
      <c r="Z37" s="27"/>
    </row>
    <row r="38" ht="15.75" customHeight="1">
      <c r="A38" s="28"/>
      <c r="B38" s="29">
        <v>34.0</v>
      </c>
      <c r="C38" s="30" t="s">
        <v>48</v>
      </c>
      <c r="D38" s="30" t="s">
        <v>49</v>
      </c>
      <c r="E38" s="35" t="str">
        <f t="shared" si="2"/>
        <v/>
      </c>
      <c r="F38" s="36" t="str">
        <f t="shared" si="3"/>
        <v/>
      </c>
      <c r="G38" s="26"/>
      <c r="H38" s="26"/>
      <c r="I38" s="26"/>
      <c r="J38" s="26"/>
      <c r="K38" s="26"/>
      <c r="L38" s="26"/>
      <c r="M38" s="26"/>
      <c r="N38" s="26"/>
      <c r="O38" s="27"/>
      <c r="P38" s="27"/>
      <c r="Q38" s="27"/>
      <c r="R38" s="27"/>
      <c r="S38" s="27"/>
      <c r="T38" s="27"/>
      <c r="U38" s="27"/>
      <c r="V38" s="27"/>
      <c r="W38" s="27"/>
      <c r="X38" s="27"/>
      <c r="Y38" s="27"/>
      <c r="Z38" s="27"/>
    </row>
    <row r="39" ht="15.75" customHeight="1">
      <c r="A39" s="20"/>
      <c r="B39" s="21">
        <v>35.0</v>
      </c>
      <c r="C39" s="22" t="s">
        <v>50</v>
      </c>
      <c r="D39" s="22" t="s">
        <v>51</v>
      </c>
      <c r="E39" s="33" t="str">
        <f t="shared" si="2"/>
        <v/>
      </c>
      <c r="F39" s="34" t="str">
        <f t="shared" si="3"/>
        <v/>
      </c>
      <c r="G39" s="26"/>
      <c r="H39" s="26"/>
      <c r="I39" s="26"/>
      <c r="J39" s="26"/>
      <c r="K39" s="26"/>
      <c r="L39" s="26"/>
      <c r="M39" s="26"/>
      <c r="N39" s="26"/>
      <c r="O39" s="27"/>
      <c r="P39" s="27"/>
      <c r="Q39" s="27"/>
      <c r="R39" s="27"/>
      <c r="S39" s="27"/>
      <c r="T39" s="27"/>
      <c r="U39" s="27"/>
      <c r="V39" s="27"/>
      <c r="W39" s="27"/>
      <c r="X39" s="27"/>
      <c r="Y39" s="27"/>
      <c r="Z39" s="27"/>
    </row>
    <row r="40" ht="15.75" customHeight="1">
      <c r="A40" s="28"/>
      <c r="B40" s="29">
        <v>36.0</v>
      </c>
      <c r="C40" s="30" t="s">
        <v>52</v>
      </c>
      <c r="D40" s="30" t="s">
        <v>53</v>
      </c>
      <c r="E40" s="35" t="str">
        <f t="shared" si="2"/>
        <v/>
      </c>
      <c r="F40" s="36" t="str">
        <f t="shared" si="3"/>
        <v/>
      </c>
      <c r="G40" s="26"/>
      <c r="H40" s="26"/>
      <c r="I40" s="26"/>
      <c r="J40" s="26"/>
      <c r="K40" s="26"/>
      <c r="L40" s="26"/>
      <c r="M40" s="26"/>
      <c r="N40" s="26"/>
      <c r="O40" s="27"/>
      <c r="P40" s="27"/>
      <c r="Q40" s="27"/>
      <c r="R40" s="27"/>
      <c r="S40" s="27"/>
      <c r="T40" s="27"/>
      <c r="U40" s="27"/>
      <c r="V40" s="27"/>
      <c r="W40" s="27"/>
      <c r="X40" s="27"/>
      <c r="Y40" s="27"/>
      <c r="Z40" s="27"/>
    </row>
    <row r="41" ht="15.75" customHeight="1">
      <c r="A41" s="20"/>
      <c r="B41" s="21">
        <v>37.0</v>
      </c>
      <c r="C41" s="22" t="s">
        <v>54</v>
      </c>
      <c r="D41" s="22" t="s">
        <v>55</v>
      </c>
      <c r="E41" s="33" t="str">
        <f t="shared" si="2"/>
        <v/>
      </c>
      <c r="F41" s="34" t="str">
        <f t="shared" si="3"/>
        <v/>
      </c>
      <c r="G41" s="26"/>
      <c r="H41" s="26"/>
      <c r="I41" s="26"/>
      <c r="J41" s="26"/>
      <c r="K41" s="26"/>
      <c r="L41" s="26"/>
      <c r="M41" s="26"/>
      <c r="N41" s="26"/>
      <c r="O41" s="27"/>
      <c r="P41" s="27"/>
      <c r="Q41" s="27"/>
      <c r="R41" s="27"/>
      <c r="S41" s="27"/>
      <c r="T41" s="27"/>
      <c r="U41" s="27"/>
      <c r="V41" s="27"/>
      <c r="W41" s="27"/>
      <c r="X41" s="27"/>
      <c r="Y41" s="27"/>
      <c r="Z41" s="27"/>
    </row>
    <row r="42" ht="15.75" customHeight="1">
      <c r="A42" s="28"/>
      <c r="B42" s="29">
        <v>38.0</v>
      </c>
      <c r="C42" s="30" t="s">
        <v>56</v>
      </c>
      <c r="D42" s="30" t="s">
        <v>57</v>
      </c>
      <c r="E42" s="35" t="str">
        <f t="shared" si="2"/>
        <v/>
      </c>
      <c r="F42" s="36" t="str">
        <f t="shared" si="3"/>
        <v/>
      </c>
      <c r="G42" s="26"/>
      <c r="H42" s="26"/>
      <c r="I42" s="26"/>
      <c r="J42" s="26"/>
      <c r="K42" s="26"/>
      <c r="L42" s="26"/>
      <c r="M42" s="26"/>
      <c r="N42" s="26"/>
      <c r="O42" s="27"/>
      <c r="P42" s="27"/>
      <c r="Q42" s="27"/>
      <c r="R42" s="27"/>
      <c r="S42" s="27"/>
      <c r="T42" s="27"/>
      <c r="U42" s="27"/>
      <c r="V42" s="27"/>
      <c r="W42" s="27"/>
      <c r="X42" s="27"/>
      <c r="Y42" s="27"/>
      <c r="Z42" s="27"/>
    </row>
    <row r="43" ht="15.75" customHeight="1">
      <c r="A43" s="20"/>
      <c r="B43" s="21">
        <v>39.0</v>
      </c>
      <c r="C43" s="22" t="s">
        <v>58</v>
      </c>
      <c r="D43" s="22" t="s">
        <v>59</v>
      </c>
      <c r="E43" s="33" t="str">
        <f t="shared" si="2"/>
        <v/>
      </c>
      <c r="F43" s="34" t="str">
        <f t="shared" si="3"/>
        <v/>
      </c>
      <c r="G43" s="26"/>
      <c r="H43" s="26"/>
      <c r="I43" s="26"/>
      <c r="J43" s="26"/>
      <c r="K43" s="26"/>
      <c r="L43" s="26"/>
      <c r="M43" s="26"/>
      <c r="N43" s="26"/>
      <c r="O43" s="27"/>
      <c r="P43" s="27"/>
      <c r="Q43" s="27"/>
      <c r="R43" s="27"/>
      <c r="S43" s="27"/>
      <c r="T43" s="27"/>
      <c r="U43" s="27"/>
      <c r="V43" s="27"/>
      <c r="W43" s="27"/>
      <c r="X43" s="27"/>
      <c r="Y43" s="27"/>
      <c r="Z43" s="27"/>
    </row>
    <row r="44" ht="15.75" customHeight="1">
      <c r="A44" s="28"/>
      <c r="B44" s="29">
        <v>40.0</v>
      </c>
      <c r="C44" s="30" t="s">
        <v>60</v>
      </c>
      <c r="D44" s="38" t="s">
        <v>61</v>
      </c>
      <c r="E44" s="35" t="str">
        <f t="shared" si="2"/>
        <v/>
      </c>
      <c r="F44" s="36" t="str">
        <f t="shared" si="3"/>
        <v/>
      </c>
      <c r="G44" s="26"/>
      <c r="H44" s="26"/>
      <c r="I44" s="26"/>
      <c r="J44" s="26"/>
      <c r="K44" s="26"/>
      <c r="L44" s="26"/>
      <c r="M44" s="26"/>
      <c r="N44" s="26"/>
      <c r="O44" s="27"/>
      <c r="P44" s="27"/>
      <c r="Q44" s="27"/>
      <c r="R44" s="27"/>
      <c r="S44" s="27"/>
      <c r="T44" s="27"/>
      <c r="U44" s="27"/>
      <c r="V44" s="27"/>
      <c r="W44" s="27"/>
      <c r="X44" s="27"/>
      <c r="Y44" s="27"/>
      <c r="Z44" s="27"/>
    </row>
    <row r="45" ht="15.75" customHeight="1">
      <c r="A45" s="20"/>
      <c r="B45" s="21">
        <v>41.0</v>
      </c>
      <c r="C45" s="39" t="s">
        <v>62</v>
      </c>
      <c r="D45" s="33"/>
      <c r="E45" s="33" t="str">
        <f t="shared" si="2"/>
        <v/>
      </c>
      <c r="F45" s="34" t="str">
        <f t="shared" si="3"/>
        <v/>
      </c>
      <c r="G45" s="26"/>
      <c r="H45" s="26"/>
      <c r="I45" s="26"/>
      <c r="J45" s="26"/>
      <c r="K45" s="26"/>
      <c r="L45" s="26"/>
      <c r="M45" s="26"/>
      <c r="N45" s="26"/>
      <c r="O45" s="27"/>
      <c r="P45" s="27"/>
      <c r="Q45" s="27"/>
      <c r="R45" s="27"/>
      <c r="S45" s="27"/>
      <c r="T45" s="27"/>
      <c r="U45" s="27"/>
      <c r="V45" s="27"/>
      <c r="W45" s="27"/>
      <c r="X45" s="27"/>
      <c r="Y45" s="27"/>
      <c r="Z45" s="27"/>
    </row>
    <row r="46" ht="15.75" customHeight="1">
      <c r="A46" s="28"/>
      <c r="B46" s="29">
        <v>42.0</v>
      </c>
      <c r="C46" s="30" t="s">
        <v>64</v>
      </c>
      <c r="D46" s="30" t="s">
        <v>65</v>
      </c>
      <c r="E46" s="35" t="str">
        <f t="shared" si="2"/>
        <v/>
      </c>
      <c r="F46" s="36" t="str">
        <f t="shared" si="3"/>
        <v/>
      </c>
      <c r="G46" s="26"/>
      <c r="H46" s="26"/>
      <c r="I46" s="26"/>
      <c r="J46" s="26"/>
      <c r="K46" s="26"/>
      <c r="L46" s="26"/>
      <c r="M46" s="26"/>
      <c r="N46" s="26"/>
      <c r="O46" s="27"/>
      <c r="P46" s="27"/>
      <c r="Q46" s="27"/>
      <c r="R46" s="27"/>
      <c r="S46" s="27"/>
      <c r="T46" s="27"/>
      <c r="U46" s="27"/>
      <c r="V46" s="27"/>
      <c r="W46" s="27"/>
      <c r="X46" s="27"/>
      <c r="Y46" s="27"/>
      <c r="Z46" s="27"/>
    </row>
    <row r="47" ht="15.75" customHeight="1">
      <c r="A47" s="20"/>
      <c r="B47" s="21">
        <v>43.0</v>
      </c>
      <c r="C47" s="22" t="s">
        <v>66</v>
      </c>
      <c r="D47" s="22" t="s">
        <v>67</v>
      </c>
      <c r="E47" s="33" t="str">
        <f t="shared" si="2"/>
        <v/>
      </c>
      <c r="F47" s="34" t="str">
        <f t="shared" si="3"/>
        <v/>
      </c>
      <c r="G47" s="26"/>
      <c r="H47" s="26"/>
      <c r="I47" s="26"/>
      <c r="J47" s="26"/>
      <c r="K47" s="26"/>
      <c r="L47" s="26"/>
      <c r="M47" s="26"/>
      <c r="N47" s="26"/>
      <c r="O47" s="27"/>
      <c r="P47" s="27"/>
      <c r="Q47" s="27"/>
      <c r="R47" s="27"/>
      <c r="S47" s="27"/>
      <c r="T47" s="27"/>
      <c r="U47" s="27"/>
      <c r="V47" s="27"/>
      <c r="W47" s="27"/>
      <c r="X47" s="27"/>
      <c r="Y47" s="27"/>
      <c r="Z47" s="27"/>
    </row>
    <row r="48" ht="15.75" customHeight="1">
      <c r="A48" s="28"/>
      <c r="B48" s="29">
        <v>44.0</v>
      </c>
      <c r="C48" s="41" t="s">
        <v>68</v>
      </c>
      <c r="D48" s="41" t="s">
        <v>69</v>
      </c>
      <c r="E48" s="35" t="str">
        <f t="shared" si="2"/>
        <v/>
      </c>
      <c r="F48" s="36" t="str">
        <f t="shared" si="3"/>
        <v/>
      </c>
      <c r="G48" s="26"/>
      <c r="H48" s="26"/>
      <c r="I48" s="26"/>
      <c r="J48" s="26"/>
      <c r="K48" s="26"/>
      <c r="L48" s="26"/>
      <c r="M48" s="26"/>
      <c r="N48" s="26"/>
      <c r="O48" s="27"/>
      <c r="P48" s="27"/>
      <c r="Q48" s="27"/>
      <c r="R48" s="27"/>
      <c r="S48" s="27"/>
      <c r="T48" s="27"/>
      <c r="U48" s="27"/>
      <c r="V48" s="27"/>
      <c r="W48" s="27"/>
      <c r="X48" s="27"/>
      <c r="Y48" s="27"/>
      <c r="Z48" s="27"/>
    </row>
    <row r="49" ht="15.75" customHeight="1">
      <c r="A49" s="20"/>
      <c r="B49" s="21">
        <v>45.0</v>
      </c>
      <c r="C49" s="22" t="s">
        <v>74</v>
      </c>
      <c r="D49" s="22" t="s">
        <v>75</v>
      </c>
      <c r="E49" s="33" t="str">
        <f t="shared" si="2"/>
        <v/>
      </c>
      <c r="F49" s="34" t="str">
        <f t="shared" si="3"/>
        <v/>
      </c>
      <c r="G49" s="26"/>
      <c r="H49" s="26"/>
      <c r="I49" s="26"/>
      <c r="J49" s="26"/>
      <c r="K49" s="26"/>
      <c r="L49" s="26"/>
      <c r="M49" s="26"/>
      <c r="N49" s="26"/>
      <c r="O49" s="27"/>
      <c r="P49" s="27"/>
      <c r="Q49" s="27"/>
      <c r="R49" s="27"/>
      <c r="S49" s="27"/>
      <c r="T49" s="27"/>
      <c r="U49" s="27"/>
      <c r="V49" s="27"/>
      <c r="W49" s="27"/>
      <c r="X49" s="27"/>
      <c r="Y49" s="27"/>
      <c r="Z49" s="27"/>
    </row>
    <row r="50" ht="15.75" customHeight="1">
      <c r="A50" s="28"/>
      <c r="B50" s="29">
        <v>46.0</v>
      </c>
      <c r="C50" s="30" t="s">
        <v>76</v>
      </c>
      <c r="D50" s="38" t="s">
        <v>77</v>
      </c>
      <c r="E50" s="35" t="str">
        <f t="shared" si="2"/>
        <v/>
      </c>
      <c r="F50" s="36" t="str">
        <f t="shared" si="3"/>
        <v/>
      </c>
      <c r="G50" s="26"/>
      <c r="H50" s="26"/>
      <c r="I50" s="26"/>
      <c r="J50" s="26"/>
      <c r="K50" s="26"/>
      <c r="L50" s="26"/>
      <c r="M50" s="26"/>
      <c r="N50" s="26"/>
      <c r="O50" s="27"/>
      <c r="P50" s="27"/>
      <c r="Q50" s="27"/>
      <c r="R50" s="27"/>
      <c r="S50" s="27"/>
      <c r="T50" s="27"/>
      <c r="U50" s="27"/>
      <c r="V50" s="27"/>
      <c r="W50" s="27"/>
      <c r="X50" s="27"/>
      <c r="Y50" s="27"/>
      <c r="Z50" s="27"/>
    </row>
    <row r="51" ht="15.75" customHeight="1">
      <c r="A51" s="20"/>
      <c r="B51" s="21">
        <v>47.0</v>
      </c>
      <c r="C51" s="22" t="s">
        <v>78</v>
      </c>
      <c r="D51" s="23" t="s">
        <v>79</v>
      </c>
      <c r="E51" s="24" t="str">
        <f t="shared" si="2"/>
        <v>7번 중 2번 참여</v>
      </c>
      <c r="F51" s="25">
        <f t="shared" si="3"/>
        <v>0.2857142857</v>
      </c>
      <c r="G51" s="26"/>
      <c r="H51" s="26"/>
      <c r="I51" s="26" t="s">
        <v>25</v>
      </c>
      <c r="J51" s="26"/>
      <c r="K51" s="26" t="s">
        <v>25</v>
      </c>
      <c r="L51" s="26"/>
      <c r="M51" s="26"/>
      <c r="N51" s="26"/>
      <c r="O51" s="27" t="s">
        <v>80</v>
      </c>
      <c r="P51" s="27"/>
      <c r="Q51" s="27"/>
      <c r="R51" s="27"/>
      <c r="S51" s="27"/>
      <c r="T51" s="27"/>
      <c r="U51" s="27"/>
      <c r="V51" s="27"/>
      <c r="W51" s="27"/>
      <c r="X51" s="27"/>
      <c r="Y51" s="27"/>
      <c r="Z51" s="27"/>
    </row>
    <row r="52" ht="15.75" customHeight="1">
      <c r="A52" s="28"/>
      <c r="B52" s="29">
        <v>48.0</v>
      </c>
      <c r="C52" s="30" t="s">
        <v>81</v>
      </c>
      <c r="D52" s="30" t="s">
        <v>82</v>
      </c>
      <c r="E52" s="31" t="str">
        <f t="shared" si="2"/>
        <v>7번 중 7번 참여</v>
      </c>
      <c r="F52" s="32">
        <f t="shared" si="3"/>
        <v>1</v>
      </c>
      <c r="G52" s="26"/>
      <c r="H52" s="26" t="s">
        <v>25</v>
      </c>
      <c r="I52" s="26" t="s">
        <v>25</v>
      </c>
      <c r="J52" s="26" t="s">
        <v>25</v>
      </c>
      <c r="K52" s="26" t="s">
        <v>25</v>
      </c>
      <c r="L52" s="26" t="s">
        <v>25</v>
      </c>
      <c r="M52" s="26" t="s">
        <v>25</v>
      </c>
      <c r="N52" s="26" t="s">
        <v>25</v>
      </c>
      <c r="O52" s="26"/>
      <c r="P52" s="27"/>
      <c r="Q52" s="27"/>
      <c r="R52" s="27"/>
      <c r="S52" s="27"/>
      <c r="T52" s="27"/>
      <c r="U52" s="27"/>
      <c r="V52" s="27"/>
      <c r="W52" s="27"/>
      <c r="X52" s="27"/>
      <c r="Y52" s="27"/>
      <c r="Z52" s="27"/>
    </row>
    <row r="53" ht="15.75" customHeight="1">
      <c r="A53" s="20"/>
      <c r="B53" s="21">
        <v>49.0</v>
      </c>
      <c r="C53" s="22" t="s">
        <v>83</v>
      </c>
      <c r="D53" s="22" t="s">
        <v>84</v>
      </c>
      <c r="E53" s="33" t="str">
        <f t="shared" si="2"/>
        <v/>
      </c>
      <c r="F53" s="34" t="str">
        <f t="shared" si="3"/>
        <v/>
      </c>
      <c r="G53" s="26"/>
      <c r="H53" s="26"/>
      <c r="I53" s="26"/>
      <c r="J53" s="26"/>
      <c r="K53" s="26"/>
      <c r="L53" s="26"/>
      <c r="M53" s="26"/>
      <c r="N53" s="26"/>
      <c r="O53" s="26"/>
      <c r="P53" s="27"/>
      <c r="Q53" s="27"/>
      <c r="R53" s="27"/>
      <c r="S53" s="27"/>
      <c r="T53" s="27"/>
      <c r="U53" s="27"/>
      <c r="V53" s="27"/>
      <c r="W53" s="27"/>
      <c r="X53" s="27"/>
      <c r="Y53" s="27"/>
      <c r="Z53" s="27"/>
    </row>
    <row r="54" ht="15.75" customHeight="1">
      <c r="A54" s="28"/>
      <c r="B54" s="29">
        <v>50.0</v>
      </c>
      <c r="C54" s="30" t="s">
        <v>85</v>
      </c>
      <c r="D54" s="30" t="s">
        <v>86</v>
      </c>
      <c r="E54" s="35" t="str">
        <f t="shared" si="2"/>
        <v/>
      </c>
      <c r="F54" s="36" t="str">
        <f t="shared" si="3"/>
        <v/>
      </c>
      <c r="G54" s="26"/>
      <c r="H54" s="26"/>
      <c r="I54" s="26"/>
      <c r="J54" s="26"/>
      <c r="K54" s="26"/>
      <c r="L54" s="26"/>
      <c r="M54" s="26"/>
      <c r="N54" s="26"/>
      <c r="O54" s="26"/>
      <c r="P54" s="27"/>
      <c r="Q54" s="27"/>
      <c r="R54" s="27"/>
      <c r="S54" s="27"/>
      <c r="T54" s="27"/>
      <c r="U54" s="27"/>
      <c r="V54" s="27"/>
      <c r="W54" s="27"/>
      <c r="X54" s="27"/>
      <c r="Y54" s="27"/>
      <c r="Z54" s="27"/>
    </row>
    <row r="55" ht="15.75" customHeight="1">
      <c r="A55" s="20"/>
      <c r="B55" s="21">
        <v>51.0</v>
      </c>
      <c r="C55" s="22" t="s">
        <v>87</v>
      </c>
      <c r="D55" s="23" t="s">
        <v>88</v>
      </c>
      <c r="E55" s="33" t="str">
        <f t="shared" si="2"/>
        <v/>
      </c>
      <c r="F55" s="34" t="str">
        <f t="shared" si="3"/>
        <v/>
      </c>
      <c r="G55" s="26"/>
      <c r="H55" s="26"/>
      <c r="I55" s="26"/>
      <c r="J55" s="26"/>
      <c r="K55" s="26"/>
      <c r="L55" s="26"/>
      <c r="M55" s="26"/>
      <c r="N55" s="26"/>
      <c r="O55" s="26"/>
      <c r="P55" s="27"/>
      <c r="Q55" s="27"/>
      <c r="R55" s="27"/>
      <c r="S55" s="27"/>
      <c r="T55" s="27"/>
      <c r="U55" s="27"/>
      <c r="V55" s="27"/>
      <c r="W55" s="27"/>
      <c r="X55" s="27"/>
      <c r="Y55" s="27"/>
      <c r="Z55" s="27"/>
    </row>
    <row r="56" ht="15.75" customHeight="1">
      <c r="A56" s="28"/>
      <c r="B56" s="29">
        <v>52.0</v>
      </c>
      <c r="C56" s="42" t="s">
        <v>89</v>
      </c>
      <c r="D56" s="42" t="s">
        <v>90</v>
      </c>
      <c r="E56" s="35" t="str">
        <f t="shared" si="2"/>
        <v/>
      </c>
      <c r="F56" s="36" t="str">
        <f t="shared" si="3"/>
        <v/>
      </c>
      <c r="G56" s="26"/>
      <c r="H56" s="26"/>
      <c r="I56" s="26"/>
      <c r="J56" s="26"/>
      <c r="K56" s="26"/>
      <c r="L56" s="26"/>
      <c r="M56" s="26"/>
      <c r="N56" s="26"/>
      <c r="O56" s="26"/>
      <c r="P56" s="27"/>
      <c r="Q56" s="27"/>
      <c r="R56" s="27"/>
      <c r="S56" s="27"/>
      <c r="T56" s="27"/>
      <c r="U56" s="27"/>
      <c r="V56" s="27"/>
      <c r="W56" s="27"/>
      <c r="X56" s="27"/>
      <c r="Y56" s="27"/>
      <c r="Z56" s="27"/>
    </row>
    <row r="57" ht="15.75" customHeight="1">
      <c r="A57" s="20"/>
      <c r="B57" s="21">
        <v>53.0</v>
      </c>
      <c r="C57" s="43" t="s">
        <v>91</v>
      </c>
      <c r="D57" s="43" t="s">
        <v>92</v>
      </c>
      <c r="E57" s="24" t="str">
        <f t="shared" si="2"/>
        <v>7번 중 1번 참여</v>
      </c>
      <c r="F57" s="25">
        <f t="shared" si="3"/>
        <v>0.1428571429</v>
      </c>
      <c r="G57" s="26"/>
      <c r="H57" s="26" t="s">
        <v>25</v>
      </c>
      <c r="I57" s="26" t="s">
        <v>80</v>
      </c>
      <c r="J57" s="26"/>
      <c r="K57" s="26"/>
      <c r="L57" s="26"/>
      <c r="M57" s="26"/>
      <c r="N57" s="26"/>
      <c r="O57" s="26"/>
      <c r="P57" s="27"/>
      <c r="Q57" s="27"/>
      <c r="R57" s="27"/>
      <c r="S57" s="27"/>
      <c r="T57" s="27"/>
      <c r="U57" s="27"/>
      <c r="V57" s="27"/>
      <c r="W57" s="27"/>
      <c r="X57" s="27"/>
      <c r="Y57" s="27"/>
      <c r="Z57" s="27"/>
    </row>
    <row r="58" ht="15.75" customHeight="1">
      <c r="A58" s="28"/>
      <c r="B58" s="29">
        <v>54.0</v>
      </c>
      <c r="C58" s="30" t="s">
        <v>93</v>
      </c>
      <c r="D58" s="30" t="s">
        <v>94</v>
      </c>
      <c r="E58" s="35" t="str">
        <f t="shared" si="2"/>
        <v/>
      </c>
      <c r="F58" s="36" t="str">
        <f t="shared" si="3"/>
        <v/>
      </c>
      <c r="G58" s="26"/>
      <c r="H58" s="26"/>
      <c r="I58" s="26"/>
      <c r="J58" s="26"/>
      <c r="K58" s="26"/>
      <c r="L58" s="26"/>
      <c r="M58" s="26"/>
      <c r="N58" s="26"/>
      <c r="O58" s="26"/>
      <c r="P58" s="27"/>
      <c r="Q58" s="27"/>
      <c r="R58" s="27"/>
      <c r="S58" s="27"/>
      <c r="T58" s="27"/>
      <c r="U58" s="27"/>
      <c r="V58" s="27"/>
      <c r="W58" s="27"/>
      <c r="X58" s="27"/>
      <c r="Y58" s="27"/>
      <c r="Z58" s="27"/>
    </row>
    <row r="59" ht="15.75" customHeight="1">
      <c r="A59" s="20"/>
      <c r="B59" s="21">
        <v>55.0</v>
      </c>
      <c r="C59" s="22" t="s">
        <v>95</v>
      </c>
      <c r="D59" s="22" t="s">
        <v>96</v>
      </c>
      <c r="E59" s="24" t="str">
        <f t="shared" si="2"/>
        <v>7번 중 3번 참여</v>
      </c>
      <c r="F59" s="25">
        <f t="shared" si="3"/>
        <v>0.4285714286</v>
      </c>
      <c r="G59" s="26"/>
      <c r="H59" s="26"/>
      <c r="I59" s="26" t="s">
        <v>25</v>
      </c>
      <c r="J59" s="26" t="s">
        <v>25</v>
      </c>
      <c r="K59" s="26" t="s">
        <v>25</v>
      </c>
      <c r="L59" s="26"/>
      <c r="M59" s="26"/>
      <c r="N59" s="26"/>
      <c r="O59" s="26"/>
      <c r="P59" s="27"/>
      <c r="Q59" s="27"/>
      <c r="R59" s="27"/>
      <c r="S59" s="27"/>
      <c r="T59" s="27"/>
      <c r="U59" s="27"/>
      <c r="V59" s="27"/>
      <c r="W59" s="27"/>
      <c r="X59" s="27"/>
      <c r="Y59" s="27"/>
      <c r="Z59" s="27"/>
    </row>
    <row r="60" ht="15.75" customHeight="1">
      <c r="A60" s="28"/>
      <c r="B60" s="29">
        <v>56.0</v>
      </c>
      <c r="C60" s="30" t="s">
        <v>97</v>
      </c>
      <c r="D60" s="30" t="s">
        <v>98</v>
      </c>
      <c r="E60" s="35" t="str">
        <f t="shared" si="2"/>
        <v/>
      </c>
      <c r="F60" s="36" t="str">
        <f t="shared" si="3"/>
        <v/>
      </c>
      <c r="G60" s="26"/>
      <c r="H60" s="26"/>
      <c r="I60" s="26"/>
      <c r="J60" s="26"/>
      <c r="K60" s="26"/>
      <c r="L60" s="26"/>
      <c r="M60" s="26"/>
      <c r="N60" s="26"/>
      <c r="O60" s="26"/>
      <c r="P60" s="27"/>
      <c r="Q60" s="27"/>
      <c r="R60" s="27"/>
      <c r="S60" s="27"/>
      <c r="T60" s="27"/>
      <c r="U60" s="27"/>
      <c r="V60" s="27"/>
      <c r="W60" s="27"/>
      <c r="X60" s="27"/>
      <c r="Y60" s="27"/>
      <c r="Z60" s="27"/>
    </row>
    <row r="61" ht="15.75" customHeight="1">
      <c r="A61" s="20"/>
      <c r="B61" s="21">
        <v>57.0</v>
      </c>
      <c r="C61" s="22" t="s">
        <v>99</v>
      </c>
      <c r="D61" s="22" t="s">
        <v>100</v>
      </c>
      <c r="E61" s="24" t="str">
        <f t="shared" si="2"/>
        <v>7번 중 3번 참여</v>
      </c>
      <c r="F61" s="25">
        <f t="shared" si="3"/>
        <v>0.4285714286</v>
      </c>
      <c r="G61" s="26"/>
      <c r="H61" s="26" t="s">
        <v>25</v>
      </c>
      <c r="I61" s="26" t="s">
        <v>80</v>
      </c>
      <c r="J61" s="26" t="s">
        <v>25</v>
      </c>
      <c r="K61" s="26" t="s">
        <v>25</v>
      </c>
      <c r="L61" s="26"/>
      <c r="M61" s="26"/>
      <c r="N61" s="26"/>
      <c r="O61" s="26"/>
      <c r="P61" s="27"/>
      <c r="Q61" s="27"/>
      <c r="R61" s="27"/>
      <c r="S61" s="27"/>
      <c r="T61" s="27"/>
      <c r="U61" s="27"/>
      <c r="V61" s="27"/>
      <c r="W61" s="27"/>
      <c r="X61" s="27"/>
      <c r="Y61" s="27"/>
      <c r="Z61" s="27"/>
    </row>
    <row r="62" ht="15.75" customHeight="1">
      <c r="A62" s="28"/>
      <c r="B62" s="29">
        <v>58.0</v>
      </c>
      <c r="C62" s="30" t="s">
        <v>101</v>
      </c>
      <c r="D62" s="30" t="s">
        <v>102</v>
      </c>
      <c r="E62" s="31" t="str">
        <f t="shared" si="2"/>
        <v>7번 중 2번 참여</v>
      </c>
      <c r="F62" s="32">
        <f t="shared" si="3"/>
        <v>0.2857142857</v>
      </c>
      <c r="G62" s="26"/>
      <c r="H62" s="26" t="s">
        <v>25</v>
      </c>
      <c r="I62" s="26" t="s">
        <v>25</v>
      </c>
      <c r="J62" s="26"/>
      <c r="K62" s="26"/>
      <c r="L62" s="26"/>
      <c r="M62" s="26"/>
      <c r="N62" s="26"/>
      <c r="O62" s="26"/>
      <c r="P62" s="27"/>
      <c r="Q62" s="27"/>
      <c r="R62" s="27"/>
      <c r="S62" s="27"/>
      <c r="T62" s="27"/>
      <c r="U62" s="27"/>
      <c r="V62" s="27"/>
      <c r="W62" s="27"/>
      <c r="X62" s="27"/>
      <c r="Y62" s="27"/>
      <c r="Z62" s="27"/>
    </row>
    <row r="63" ht="15.75" customHeight="1">
      <c r="A63" s="20"/>
      <c r="B63" s="21">
        <v>59.0</v>
      </c>
      <c r="C63" s="22" t="s">
        <v>103</v>
      </c>
      <c r="D63" s="22" t="s">
        <v>104</v>
      </c>
      <c r="E63" s="24" t="str">
        <f t="shared" si="2"/>
        <v>7번 중 4번 참여</v>
      </c>
      <c r="F63" s="25">
        <f t="shared" si="3"/>
        <v>0.5714285714</v>
      </c>
      <c r="G63" s="26"/>
      <c r="H63" s="26" t="s">
        <v>25</v>
      </c>
      <c r="I63" s="26" t="s">
        <v>25</v>
      </c>
      <c r="J63" s="26" t="s">
        <v>25</v>
      </c>
      <c r="K63" s="26" t="s">
        <v>25</v>
      </c>
      <c r="L63" s="26"/>
      <c r="M63" s="26"/>
      <c r="N63" s="26"/>
      <c r="O63" s="26"/>
      <c r="P63" s="27"/>
      <c r="Q63" s="27"/>
      <c r="R63" s="27"/>
      <c r="S63" s="27"/>
      <c r="T63" s="27"/>
      <c r="U63" s="27"/>
      <c r="V63" s="27"/>
      <c r="W63" s="27"/>
      <c r="X63" s="27"/>
      <c r="Y63" s="27"/>
      <c r="Z63" s="27"/>
    </row>
    <row r="64" ht="15.75" customHeight="1">
      <c r="A64" s="28"/>
      <c r="B64" s="29">
        <v>60.0</v>
      </c>
      <c r="C64" s="44" t="s">
        <v>105</v>
      </c>
      <c r="D64" s="45" t="s">
        <v>106</v>
      </c>
      <c r="E64" s="35" t="str">
        <f t="shared" si="2"/>
        <v/>
      </c>
      <c r="F64" s="36" t="str">
        <f t="shared" si="3"/>
        <v/>
      </c>
      <c r="G64" s="26"/>
      <c r="H64" s="26"/>
      <c r="I64" s="26"/>
      <c r="J64" s="26"/>
      <c r="K64" s="26"/>
      <c r="L64" s="26"/>
      <c r="M64" s="26"/>
      <c r="N64" s="26"/>
      <c r="O64" s="26"/>
      <c r="P64" s="27"/>
      <c r="Q64" s="27"/>
      <c r="R64" s="27"/>
      <c r="S64" s="27"/>
      <c r="T64" s="27"/>
      <c r="U64" s="27"/>
      <c r="V64" s="27"/>
      <c r="W64" s="27"/>
      <c r="X64" s="27"/>
      <c r="Y64" s="27"/>
      <c r="Z64" s="27"/>
    </row>
    <row r="65" ht="15.75" customHeight="1">
      <c r="A65" s="20"/>
      <c r="B65" s="21">
        <v>61.0</v>
      </c>
      <c r="C65" s="43" t="s">
        <v>107</v>
      </c>
      <c r="D65" s="43" t="s">
        <v>108</v>
      </c>
      <c r="E65" s="33" t="str">
        <f t="shared" si="2"/>
        <v/>
      </c>
      <c r="F65" s="34" t="str">
        <f t="shared" si="3"/>
        <v/>
      </c>
      <c r="G65" s="26"/>
      <c r="H65" s="26"/>
      <c r="I65" s="26"/>
      <c r="J65" s="26"/>
      <c r="K65" s="26"/>
      <c r="L65" s="26"/>
      <c r="M65" s="26"/>
      <c r="N65" s="26"/>
      <c r="O65" s="26"/>
      <c r="P65" s="27"/>
      <c r="Q65" s="27"/>
      <c r="R65" s="27"/>
      <c r="S65" s="27"/>
      <c r="T65" s="27"/>
      <c r="U65" s="27"/>
      <c r="V65" s="27"/>
      <c r="W65" s="27"/>
      <c r="X65" s="27"/>
      <c r="Y65" s="27"/>
      <c r="Z65" s="27"/>
    </row>
    <row r="66" ht="15.75" customHeight="1">
      <c r="A66" s="28"/>
      <c r="B66" s="29">
        <v>62.0</v>
      </c>
      <c r="C66" s="30" t="s">
        <v>109</v>
      </c>
      <c r="D66" s="30" t="s">
        <v>110</v>
      </c>
      <c r="E66" s="35" t="str">
        <f t="shared" si="2"/>
        <v/>
      </c>
      <c r="F66" s="36" t="str">
        <f t="shared" si="3"/>
        <v/>
      </c>
      <c r="G66" s="26"/>
      <c r="H66" s="26"/>
      <c r="I66" s="26"/>
      <c r="J66" s="26"/>
      <c r="K66" s="26"/>
      <c r="L66" s="26"/>
      <c r="M66" s="26"/>
      <c r="N66" s="26"/>
      <c r="O66" s="26"/>
      <c r="P66" s="27"/>
      <c r="Q66" s="27"/>
      <c r="R66" s="27"/>
      <c r="S66" s="27"/>
      <c r="T66" s="27"/>
      <c r="U66" s="27"/>
      <c r="V66" s="27"/>
      <c r="W66" s="27"/>
      <c r="X66" s="27"/>
      <c r="Y66" s="27"/>
      <c r="Z66" s="27"/>
    </row>
    <row r="67" ht="15.75" customHeight="1">
      <c r="A67" s="20"/>
      <c r="B67" s="21">
        <v>63.0</v>
      </c>
      <c r="C67" s="22" t="s">
        <v>111</v>
      </c>
      <c r="D67" s="22" t="s">
        <v>112</v>
      </c>
      <c r="E67" s="33" t="str">
        <f t="shared" si="2"/>
        <v/>
      </c>
      <c r="F67" s="34" t="str">
        <f t="shared" si="3"/>
        <v/>
      </c>
      <c r="G67" s="26"/>
      <c r="H67" s="26"/>
      <c r="I67" s="26"/>
      <c r="J67" s="26"/>
      <c r="K67" s="26"/>
      <c r="L67" s="26"/>
      <c r="M67" s="26"/>
      <c r="N67" s="26"/>
      <c r="O67" s="26"/>
      <c r="P67" s="27"/>
      <c r="Q67" s="27"/>
      <c r="R67" s="27"/>
      <c r="S67" s="27"/>
      <c r="T67" s="27"/>
      <c r="U67" s="27"/>
      <c r="V67" s="27"/>
      <c r="W67" s="27"/>
      <c r="X67" s="27"/>
      <c r="Y67" s="27"/>
      <c r="Z67" s="27"/>
    </row>
    <row r="68" ht="15.75" customHeight="1">
      <c r="A68" s="28"/>
      <c r="B68" s="29">
        <v>64.0</v>
      </c>
      <c r="C68" s="30" t="s">
        <v>113</v>
      </c>
      <c r="D68" s="30" t="s">
        <v>114</v>
      </c>
      <c r="E68" s="31" t="str">
        <f t="shared" si="2"/>
        <v>7번 중 6번 참여</v>
      </c>
      <c r="F68" s="32">
        <f t="shared" si="3"/>
        <v>0.8571428571</v>
      </c>
      <c r="G68" s="26"/>
      <c r="H68" s="26" t="s">
        <v>25</v>
      </c>
      <c r="I68" s="26" t="s">
        <v>25</v>
      </c>
      <c r="J68" s="26" t="s">
        <v>25</v>
      </c>
      <c r="K68" s="26" t="s">
        <v>25</v>
      </c>
      <c r="L68" s="26" t="s">
        <v>25</v>
      </c>
      <c r="M68" s="26" t="s">
        <v>25</v>
      </c>
      <c r="N68" s="26"/>
      <c r="O68" s="26"/>
      <c r="P68" s="27"/>
      <c r="Q68" s="27"/>
      <c r="R68" s="27"/>
      <c r="S68" s="27"/>
      <c r="T68" s="27"/>
      <c r="U68" s="27"/>
      <c r="V68" s="27"/>
      <c r="W68" s="27"/>
      <c r="X68" s="27"/>
      <c r="Y68" s="27"/>
      <c r="Z68" s="27"/>
    </row>
    <row r="69" ht="15.75" customHeight="1">
      <c r="A69" s="20"/>
      <c r="B69" s="21">
        <v>65.0</v>
      </c>
      <c r="C69" s="22" t="s">
        <v>115</v>
      </c>
      <c r="D69" s="23" t="s">
        <v>116</v>
      </c>
      <c r="E69" s="33" t="str">
        <f t="shared" si="2"/>
        <v>7번 중 4번 참여</v>
      </c>
      <c r="F69" s="46">
        <f t="shared" si="3"/>
        <v>0.5714285714</v>
      </c>
      <c r="G69" s="26"/>
      <c r="H69" s="26" t="s">
        <v>25</v>
      </c>
      <c r="I69" s="26" t="s">
        <v>25</v>
      </c>
      <c r="J69" s="26" t="s">
        <v>25</v>
      </c>
      <c r="K69" s="26" t="s">
        <v>25</v>
      </c>
      <c r="L69" s="26"/>
      <c r="M69" s="26"/>
      <c r="N69" s="26"/>
      <c r="O69" s="26"/>
      <c r="P69" s="27"/>
      <c r="Q69" s="27"/>
      <c r="R69" s="27"/>
      <c r="S69" s="27"/>
      <c r="T69" s="27"/>
      <c r="U69" s="27"/>
      <c r="V69" s="27"/>
      <c r="W69" s="27"/>
      <c r="X69" s="27"/>
      <c r="Y69" s="27"/>
      <c r="Z69" s="27"/>
    </row>
    <row r="70" ht="15.75" customHeight="1">
      <c r="A70" s="47" t="s">
        <v>117</v>
      </c>
      <c r="B70" s="48">
        <v>66.0</v>
      </c>
      <c r="C70" s="49" t="s">
        <v>118</v>
      </c>
      <c r="D70" s="50" t="s">
        <v>119</v>
      </c>
      <c r="E70" s="31" t="str">
        <f t="shared" si="2"/>
        <v>7번 중 5번 참여</v>
      </c>
      <c r="F70" s="32">
        <f t="shared" si="3"/>
        <v>0.7142857143</v>
      </c>
      <c r="G70" s="26"/>
      <c r="H70" s="26" t="s">
        <v>25</v>
      </c>
      <c r="I70" s="26" t="s">
        <v>25</v>
      </c>
      <c r="J70" s="26" t="s">
        <v>25</v>
      </c>
      <c r="K70" s="26" t="s">
        <v>25</v>
      </c>
      <c r="L70" s="26" t="s">
        <v>25</v>
      </c>
      <c r="M70" s="26"/>
      <c r="N70" s="26"/>
      <c r="O70" s="26"/>
      <c r="P70" s="27"/>
      <c r="Q70" s="27"/>
      <c r="R70" s="27"/>
      <c r="S70" s="27"/>
      <c r="T70" s="27"/>
      <c r="U70" s="27"/>
      <c r="V70" s="27"/>
      <c r="W70" s="27"/>
      <c r="X70" s="27"/>
      <c r="Y70" s="27"/>
      <c r="Z70" s="27"/>
    </row>
    <row r="71" ht="15.75" customHeight="1">
      <c r="A71" s="20"/>
      <c r="B71" s="21">
        <v>67.0</v>
      </c>
      <c r="C71" s="22" t="s">
        <v>120</v>
      </c>
      <c r="D71" s="22" t="s">
        <v>121</v>
      </c>
      <c r="E71" s="24" t="str">
        <f t="shared" si="2"/>
        <v>7번 중 3번 참여</v>
      </c>
      <c r="F71" s="25">
        <f t="shared" si="3"/>
        <v>0.4285714286</v>
      </c>
      <c r="G71" s="26"/>
      <c r="H71" s="26" t="s">
        <v>25</v>
      </c>
      <c r="I71" s="26" t="s">
        <v>25</v>
      </c>
      <c r="J71" s="26" t="s">
        <v>25</v>
      </c>
      <c r="K71" s="26"/>
      <c r="L71" s="26"/>
      <c r="M71" s="26"/>
      <c r="N71" s="26"/>
      <c r="O71" s="26"/>
      <c r="P71" s="27"/>
      <c r="Q71" s="27"/>
      <c r="R71" s="27"/>
      <c r="S71" s="27"/>
      <c r="T71" s="27"/>
      <c r="U71" s="27"/>
      <c r="V71" s="27"/>
      <c r="W71" s="27"/>
      <c r="X71" s="27"/>
      <c r="Y71" s="27"/>
      <c r="Z71" s="27"/>
    </row>
    <row r="72" ht="15.75" customHeight="1">
      <c r="A72" s="28"/>
      <c r="B72" s="29">
        <v>68.0</v>
      </c>
      <c r="C72" s="30" t="s">
        <v>122</v>
      </c>
      <c r="D72" s="51" t="s">
        <v>123</v>
      </c>
      <c r="E72" s="35" t="str">
        <f t="shared" si="2"/>
        <v/>
      </c>
      <c r="F72" s="36" t="str">
        <f t="shared" si="3"/>
        <v/>
      </c>
      <c r="G72" s="26"/>
      <c r="H72" s="26"/>
      <c r="I72" s="26"/>
      <c r="J72" s="26"/>
      <c r="K72" s="26"/>
      <c r="L72" s="26"/>
      <c r="M72" s="26"/>
      <c r="N72" s="26"/>
      <c r="O72" s="26"/>
      <c r="P72" s="27"/>
      <c r="Q72" s="27"/>
      <c r="R72" s="27"/>
      <c r="S72" s="27"/>
      <c r="T72" s="27"/>
      <c r="U72" s="27"/>
      <c r="V72" s="27"/>
      <c r="W72" s="27"/>
      <c r="X72" s="27"/>
      <c r="Y72" s="27"/>
      <c r="Z72" s="27"/>
    </row>
    <row r="73" ht="15.75" customHeight="1">
      <c r="A73" s="20"/>
      <c r="B73" s="21">
        <v>69.0</v>
      </c>
      <c r="C73" s="22" t="s">
        <v>124</v>
      </c>
      <c r="D73" s="22" t="s">
        <v>125</v>
      </c>
      <c r="E73" s="24" t="str">
        <f t="shared" si="2"/>
        <v>7번 중 2번 참여</v>
      </c>
      <c r="F73" s="25">
        <f t="shared" si="3"/>
        <v>0.2857142857</v>
      </c>
      <c r="G73" s="26"/>
      <c r="H73" s="26" t="s">
        <v>25</v>
      </c>
      <c r="I73" s="26" t="s">
        <v>25</v>
      </c>
      <c r="J73" s="26"/>
      <c r="K73" s="26"/>
      <c r="L73" s="26"/>
      <c r="M73" s="26"/>
      <c r="N73" s="26"/>
      <c r="O73" s="26"/>
      <c r="P73" s="27"/>
      <c r="Q73" s="27"/>
      <c r="R73" s="27"/>
      <c r="S73" s="27"/>
      <c r="T73" s="27"/>
      <c r="U73" s="27"/>
      <c r="V73" s="27"/>
      <c r="W73" s="27"/>
      <c r="X73" s="27"/>
      <c r="Y73" s="27"/>
      <c r="Z73" s="27"/>
    </row>
    <row r="74" ht="15.75" customHeight="1">
      <c r="A74" s="28"/>
      <c r="B74" s="29">
        <v>70.0</v>
      </c>
      <c r="C74" s="44" t="s">
        <v>126</v>
      </c>
      <c r="D74" s="44" t="s">
        <v>127</v>
      </c>
      <c r="E74" s="35" t="str">
        <f t="shared" si="2"/>
        <v/>
      </c>
      <c r="F74" s="36" t="str">
        <f t="shared" si="3"/>
        <v/>
      </c>
      <c r="G74" s="26"/>
      <c r="H74" s="26" t="s">
        <v>80</v>
      </c>
      <c r="I74" s="26" t="s">
        <v>80</v>
      </c>
      <c r="J74" s="26"/>
      <c r="K74" s="26"/>
      <c r="L74" s="26"/>
      <c r="M74" s="26"/>
      <c r="N74" s="26"/>
      <c r="O74" s="26"/>
      <c r="P74" s="27"/>
      <c r="Q74" s="27"/>
      <c r="R74" s="27"/>
      <c r="S74" s="27"/>
      <c r="T74" s="27"/>
      <c r="U74" s="27"/>
      <c r="V74" s="27"/>
      <c r="W74" s="27"/>
      <c r="X74" s="27"/>
      <c r="Y74" s="27"/>
      <c r="Z74" s="27"/>
    </row>
    <row r="75" ht="15.75" customHeight="1">
      <c r="A75" s="20"/>
      <c r="B75" s="21">
        <v>71.0</v>
      </c>
      <c r="C75" s="22" t="s">
        <v>128</v>
      </c>
      <c r="D75" s="22" t="s">
        <v>129</v>
      </c>
      <c r="E75" s="33" t="str">
        <f t="shared" si="2"/>
        <v/>
      </c>
      <c r="F75" s="34" t="str">
        <f t="shared" si="3"/>
        <v/>
      </c>
      <c r="G75" s="26"/>
      <c r="H75" s="26"/>
      <c r="I75" s="26"/>
      <c r="J75" s="26"/>
      <c r="K75" s="26"/>
      <c r="L75" s="26"/>
      <c r="M75" s="26"/>
      <c r="N75" s="26"/>
      <c r="O75" s="26"/>
      <c r="P75" s="27"/>
      <c r="Q75" s="27"/>
      <c r="R75" s="27"/>
      <c r="S75" s="27"/>
      <c r="T75" s="27"/>
      <c r="U75" s="27"/>
      <c r="V75" s="27"/>
      <c r="W75" s="27"/>
      <c r="X75" s="27"/>
      <c r="Y75" s="27"/>
      <c r="Z75" s="27"/>
    </row>
    <row r="76" ht="15.75" customHeight="1">
      <c r="A76" s="52"/>
      <c r="B76" s="30">
        <v>72.0</v>
      </c>
      <c r="C76" s="30" t="s">
        <v>130</v>
      </c>
      <c r="D76" s="30" t="s">
        <v>131</v>
      </c>
      <c r="E76" s="35" t="str">
        <f t="shared" si="2"/>
        <v/>
      </c>
      <c r="F76" s="36" t="str">
        <f t="shared" si="3"/>
        <v/>
      </c>
      <c r="G76" s="26"/>
      <c r="H76" s="26"/>
      <c r="I76" s="26"/>
      <c r="J76" s="26"/>
      <c r="K76" s="26"/>
      <c r="L76" s="26"/>
      <c r="M76" s="26"/>
      <c r="N76" s="26"/>
      <c r="O76" s="26"/>
      <c r="P76" s="27"/>
      <c r="Q76" s="27"/>
      <c r="R76" s="27"/>
      <c r="S76" s="27"/>
      <c r="T76" s="27"/>
      <c r="U76" s="27"/>
      <c r="V76" s="27"/>
      <c r="W76" s="27"/>
      <c r="X76" s="27"/>
      <c r="Y76" s="27"/>
      <c r="Z76" s="27"/>
    </row>
    <row r="77" ht="15.75" customHeight="1">
      <c r="A77" s="53"/>
      <c r="B77" s="22">
        <v>73.0</v>
      </c>
      <c r="C77" s="22" t="s">
        <v>132</v>
      </c>
      <c r="D77" s="22" t="s">
        <v>133</v>
      </c>
      <c r="E77" s="33" t="str">
        <f t="shared" si="2"/>
        <v/>
      </c>
      <c r="F77" s="34" t="str">
        <f t="shared" si="3"/>
        <v/>
      </c>
      <c r="G77" s="26"/>
      <c r="H77" s="26"/>
      <c r="I77" s="26"/>
      <c r="J77" s="26"/>
      <c r="K77" s="26"/>
      <c r="L77" s="26"/>
      <c r="M77" s="26"/>
      <c r="N77" s="26"/>
      <c r="O77" s="26"/>
      <c r="P77" s="27"/>
      <c r="Q77" s="27"/>
      <c r="R77" s="27"/>
      <c r="S77" s="27"/>
      <c r="T77" s="27"/>
      <c r="U77" s="27"/>
      <c r="V77" s="27"/>
      <c r="W77" s="27"/>
      <c r="X77" s="27"/>
      <c r="Y77" s="27"/>
      <c r="Z77" s="27"/>
    </row>
    <row r="78" ht="15.75" customHeight="1">
      <c r="A78" s="28"/>
      <c r="B78" s="29">
        <v>74.0</v>
      </c>
      <c r="C78" s="42" t="s">
        <v>134</v>
      </c>
      <c r="D78" s="42" t="s">
        <v>135</v>
      </c>
      <c r="E78" s="31" t="str">
        <f t="shared" si="2"/>
        <v>7번 중 5번 참여</v>
      </c>
      <c r="F78" s="32">
        <f t="shared" si="3"/>
        <v>0.7142857143</v>
      </c>
      <c r="G78" s="26"/>
      <c r="H78" s="26" t="s">
        <v>25</v>
      </c>
      <c r="I78" s="26" t="s">
        <v>25</v>
      </c>
      <c r="J78" s="26" t="s">
        <v>25</v>
      </c>
      <c r="K78" s="26" t="s">
        <v>25</v>
      </c>
      <c r="L78" s="26" t="s">
        <v>25</v>
      </c>
      <c r="M78" s="26"/>
      <c r="N78" s="26"/>
      <c r="O78" s="26"/>
      <c r="P78" s="27"/>
      <c r="Q78" s="27"/>
      <c r="R78" s="27"/>
      <c r="S78" s="27"/>
      <c r="T78" s="27"/>
      <c r="U78" s="27"/>
      <c r="V78" s="27"/>
      <c r="W78" s="27"/>
      <c r="X78" s="27"/>
      <c r="Y78" s="27"/>
      <c r="Z78" s="27"/>
    </row>
    <row r="79" ht="15.75" customHeight="1">
      <c r="A79" s="20"/>
      <c r="B79" s="21">
        <v>75.0</v>
      </c>
      <c r="C79" s="22" t="s">
        <v>136</v>
      </c>
      <c r="D79" s="22" t="s">
        <v>137</v>
      </c>
      <c r="E79" s="33" t="str">
        <f t="shared" si="2"/>
        <v/>
      </c>
      <c r="F79" s="34" t="str">
        <f t="shared" si="3"/>
        <v/>
      </c>
      <c r="G79" s="26"/>
      <c r="H79" s="26"/>
      <c r="I79" s="26"/>
      <c r="J79" s="26"/>
      <c r="K79" s="26"/>
      <c r="L79" s="26"/>
      <c r="M79" s="26"/>
      <c r="N79" s="26"/>
      <c r="O79" s="26"/>
      <c r="P79" s="27"/>
      <c r="Q79" s="27"/>
      <c r="R79" s="27"/>
      <c r="S79" s="27"/>
      <c r="T79" s="27"/>
      <c r="U79" s="27"/>
      <c r="V79" s="27"/>
      <c r="W79" s="27"/>
      <c r="X79" s="27"/>
      <c r="Y79" s="27"/>
      <c r="Z79" s="27"/>
    </row>
    <row r="80" ht="15.75" customHeight="1">
      <c r="A80" s="28"/>
      <c r="B80" s="29">
        <v>76.0</v>
      </c>
      <c r="C80" s="30" t="s">
        <v>138</v>
      </c>
      <c r="D80" s="30" t="s">
        <v>139</v>
      </c>
      <c r="E80" s="35" t="str">
        <f t="shared" si="2"/>
        <v/>
      </c>
      <c r="F80" s="36" t="str">
        <f t="shared" si="3"/>
        <v/>
      </c>
      <c r="G80" s="26"/>
      <c r="H80" s="26"/>
      <c r="I80" s="26"/>
      <c r="J80" s="26"/>
      <c r="K80" s="26"/>
      <c r="L80" s="26"/>
      <c r="M80" s="26"/>
      <c r="N80" s="26"/>
      <c r="O80" s="26"/>
      <c r="P80" s="27"/>
      <c r="Q80" s="27"/>
      <c r="R80" s="27"/>
      <c r="S80" s="27"/>
      <c r="T80" s="27"/>
      <c r="U80" s="27"/>
      <c r="V80" s="27"/>
      <c r="W80" s="27"/>
      <c r="X80" s="27"/>
      <c r="Y80" s="27"/>
      <c r="Z80" s="27"/>
    </row>
    <row r="81" ht="15.75" customHeight="1">
      <c r="A81" s="20"/>
      <c r="B81" s="21">
        <v>77.0</v>
      </c>
      <c r="C81" s="22" t="s">
        <v>140</v>
      </c>
      <c r="D81" s="22" t="s">
        <v>141</v>
      </c>
      <c r="E81" s="33" t="str">
        <f t="shared" si="2"/>
        <v/>
      </c>
      <c r="F81" s="34" t="str">
        <f t="shared" si="3"/>
        <v/>
      </c>
      <c r="G81" s="26"/>
      <c r="H81" s="26"/>
      <c r="I81" s="26"/>
      <c r="J81" s="26"/>
      <c r="K81" s="26"/>
      <c r="L81" s="26"/>
      <c r="M81" s="26"/>
      <c r="N81" s="26"/>
      <c r="O81" s="26"/>
      <c r="P81" s="27"/>
      <c r="Q81" s="27"/>
      <c r="R81" s="27"/>
      <c r="S81" s="27"/>
      <c r="T81" s="27"/>
      <c r="U81" s="27"/>
      <c r="V81" s="27"/>
      <c r="W81" s="27"/>
      <c r="X81" s="27"/>
      <c r="Y81" s="27"/>
      <c r="Z81" s="27"/>
    </row>
    <row r="82" ht="15.75" customHeight="1">
      <c r="A82" s="28"/>
      <c r="B82" s="29">
        <v>78.0</v>
      </c>
      <c r="C82" s="30" t="s">
        <v>142</v>
      </c>
      <c r="D82" s="30" t="s">
        <v>143</v>
      </c>
      <c r="E82" s="35" t="str">
        <f t="shared" si="2"/>
        <v/>
      </c>
      <c r="F82" s="36" t="str">
        <f t="shared" si="3"/>
        <v/>
      </c>
      <c r="G82" s="26"/>
      <c r="H82" s="26"/>
      <c r="I82" s="26"/>
      <c r="J82" s="26"/>
      <c r="K82" s="26"/>
      <c r="L82" s="26"/>
      <c r="M82" s="26"/>
      <c r="N82" s="26"/>
      <c r="O82" s="26"/>
      <c r="P82" s="27"/>
      <c r="Q82" s="27"/>
      <c r="R82" s="27"/>
      <c r="S82" s="27"/>
      <c r="T82" s="27"/>
      <c r="U82" s="27"/>
      <c r="V82" s="27"/>
      <c r="W82" s="27"/>
      <c r="X82" s="27"/>
      <c r="Y82" s="27"/>
      <c r="Z82" s="27"/>
    </row>
    <row r="83" ht="15.75" customHeight="1">
      <c r="A83" s="20"/>
      <c r="B83" s="21">
        <v>79.0</v>
      </c>
      <c r="C83" s="22" t="s">
        <v>144</v>
      </c>
      <c r="D83" s="22" t="s">
        <v>145</v>
      </c>
      <c r="E83" s="33" t="str">
        <f t="shared" si="2"/>
        <v/>
      </c>
      <c r="F83" s="34" t="str">
        <f t="shared" si="3"/>
        <v/>
      </c>
      <c r="G83" s="26"/>
      <c r="H83" s="26"/>
      <c r="I83" s="26"/>
      <c r="J83" s="26"/>
      <c r="K83" s="26"/>
      <c r="L83" s="26"/>
      <c r="M83" s="26"/>
      <c r="N83" s="26"/>
      <c r="O83" s="26"/>
      <c r="P83" s="27"/>
      <c r="Q83" s="27"/>
      <c r="R83" s="27"/>
      <c r="S83" s="27"/>
      <c r="T83" s="27"/>
      <c r="U83" s="27"/>
      <c r="V83" s="27"/>
      <c r="W83" s="27"/>
      <c r="X83" s="27"/>
      <c r="Y83" s="27"/>
      <c r="Z83" s="27"/>
    </row>
    <row r="84" ht="15.75" customHeight="1">
      <c r="A84" s="28"/>
      <c r="B84" s="29">
        <v>80.0</v>
      </c>
      <c r="C84" s="30" t="s">
        <v>146</v>
      </c>
      <c r="D84" s="30" t="s">
        <v>147</v>
      </c>
      <c r="E84" s="31" t="str">
        <f t="shared" si="2"/>
        <v>7번 중 6번 참여</v>
      </c>
      <c r="F84" s="32">
        <f t="shared" si="3"/>
        <v>0.8571428571</v>
      </c>
      <c r="G84" s="26"/>
      <c r="H84" s="26" t="s">
        <v>25</v>
      </c>
      <c r="I84" s="26" t="s">
        <v>25</v>
      </c>
      <c r="J84" s="26" t="s">
        <v>25</v>
      </c>
      <c r="K84" s="26" t="s">
        <v>25</v>
      </c>
      <c r="L84" s="26" t="s">
        <v>25</v>
      </c>
      <c r="M84" s="26" t="s">
        <v>25</v>
      </c>
      <c r="N84" s="26"/>
      <c r="O84" s="26"/>
      <c r="P84" s="27"/>
      <c r="Q84" s="27"/>
      <c r="R84" s="27"/>
      <c r="S84" s="27"/>
      <c r="T84" s="27"/>
      <c r="U84" s="27"/>
      <c r="V84" s="27"/>
      <c r="W84" s="27"/>
      <c r="X84" s="27"/>
      <c r="Y84" s="27"/>
      <c r="Z84" s="27"/>
    </row>
    <row r="85" ht="15.75" customHeight="1">
      <c r="A85" s="20"/>
      <c r="B85" s="21">
        <v>81.0</v>
      </c>
      <c r="C85" s="22" t="s">
        <v>148</v>
      </c>
      <c r="D85" s="22" t="s">
        <v>149</v>
      </c>
      <c r="E85" s="24" t="str">
        <f t="shared" si="2"/>
        <v>7번 중 4번 참여</v>
      </c>
      <c r="F85" s="25">
        <f t="shared" si="3"/>
        <v>0.5714285714</v>
      </c>
      <c r="G85" s="26"/>
      <c r="H85" s="26" t="s">
        <v>25</v>
      </c>
      <c r="I85" s="26" t="s">
        <v>25</v>
      </c>
      <c r="J85" s="26" t="s">
        <v>80</v>
      </c>
      <c r="K85" s="26" t="s">
        <v>25</v>
      </c>
      <c r="L85" s="26" t="s">
        <v>25</v>
      </c>
      <c r="M85" s="26" t="s">
        <v>80</v>
      </c>
      <c r="N85" s="26" t="s">
        <v>80</v>
      </c>
      <c r="O85" s="26" t="s">
        <v>80</v>
      </c>
      <c r="P85" s="27"/>
      <c r="Q85" s="27"/>
      <c r="R85" s="27"/>
      <c r="S85" s="27"/>
      <c r="T85" s="27"/>
      <c r="U85" s="27"/>
      <c r="V85" s="27"/>
      <c r="W85" s="27"/>
      <c r="X85" s="27"/>
      <c r="Y85" s="27"/>
      <c r="Z85" s="27"/>
    </row>
    <row r="86" ht="15.75" customHeight="1">
      <c r="A86" s="28"/>
      <c r="B86" s="29">
        <v>82.0</v>
      </c>
      <c r="C86" s="30" t="s">
        <v>150</v>
      </c>
      <c r="D86" s="38" t="s">
        <v>151</v>
      </c>
      <c r="E86" s="35" t="str">
        <f t="shared" si="2"/>
        <v/>
      </c>
      <c r="F86" s="36" t="str">
        <f t="shared" si="3"/>
        <v/>
      </c>
      <c r="G86" s="26"/>
      <c r="H86" s="26"/>
      <c r="I86" s="26"/>
      <c r="J86" s="26"/>
      <c r="K86" s="26"/>
      <c r="L86" s="26"/>
      <c r="M86" s="26"/>
      <c r="N86" s="26"/>
      <c r="O86" s="26"/>
      <c r="P86" s="27"/>
      <c r="Q86" s="27"/>
      <c r="R86" s="27"/>
      <c r="S86" s="27"/>
      <c r="T86" s="27"/>
      <c r="U86" s="27"/>
      <c r="V86" s="27"/>
      <c r="W86" s="27"/>
      <c r="X86" s="27"/>
      <c r="Y86" s="27"/>
      <c r="Z86" s="27"/>
    </row>
    <row r="87" ht="15.75" customHeight="1">
      <c r="A87" s="20"/>
      <c r="B87" s="21">
        <v>83.0</v>
      </c>
      <c r="C87" s="22" t="s">
        <v>152</v>
      </c>
      <c r="D87" s="22" t="s">
        <v>153</v>
      </c>
      <c r="E87" s="33" t="str">
        <f t="shared" si="2"/>
        <v/>
      </c>
      <c r="F87" s="34" t="str">
        <f t="shared" si="3"/>
        <v/>
      </c>
      <c r="G87" s="26"/>
      <c r="H87" s="26"/>
      <c r="I87" s="26"/>
      <c r="J87" s="26"/>
      <c r="K87" s="26"/>
      <c r="L87" s="26"/>
      <c r="M87" s="26"/>
      <c r="N87" s="26"/>
      <c r="O87" s="26"/>
      <c r="P87" s="27"/>
      <c r="Q87" s="27"/>
      <c r="R87" s="27"/>
      <c r="S87" s="27"/>
      <c r="T87" s="27"/>
      <c r="U87" s="27"/>
      <c r="V87" s="27"/>
      <c r="W87" s="27"/>
      <c r="X87" s="27"/>
      <c r="Y87" s="27"/>
      <c r="Z87" s="27"/>
    </row>
    <row r="88" ht="15.75" customHeight="1">
      <c r="A88" s="28"/>
      <c r="B88" s="29">
        <v>84.0</v>
      </c>
      <c r="C88" s="30" t="s">
        <v>154</v>
      </c>
      <c r="D88" s="30" t="s">
        <v>155</v>
      </c>
      <c r="E88" s="31" t="str">
        <f t="shared" si="2"/>
        <v>7번 중 5번 참여</v>
      </c>
      <c r="F88" s="32">
        <f t="shared" si="3"/>
        <v>0.7142857143</v>
      </c>
      <c r="G88" s="26"/>
      <c r="H88" s="26" t="s">
        <v>25</v>
      </c>
      <c r="I88" s="26" t="s">
        <v>25</v>
      </c>
      <c r="J88" s="26" t="s">
        <v>25</v>
      </c>
      <c r="K88" s="26" t="s">
        <v>25</v>
      </c>
      <c r="L88" s="26" t="s">
        <v>25</v>
      </c>
      <c r="M88" s="26"/>
      <c r="N88" s="26"/>
      <c r="O88" s="26"/>
      <c r="P88" s="27"/>
      <c r="Q88" s="27"/>
      <c r="R88" s="27"/>
      <c r="S88" s="27"/>
      <c r="T88" s="27"/>
      <c r="U88" s="27"/>
      <c r="V88" s="27"/>
      <c r="W88" s="27"/>
      <c r="X88" s="27"/>
      <c r="Y88" s="27"/>
      <c r="Z88" s="27"/>
    </row>
    <row r="89" ht="15.75" customHeight="1">
      <c r="A89" s="20"/>
      <c r="B89" s="21">
        <v>85.0</v>
      </c>
      <c r="C89" s="22" t="s">
        <v>156</v>
      </c>
      <c r="D89" s="22" t="s">
        <v>157</v>
      </c>
      <c r="E89" s="24" t="str">
        <f t="shared" si="2"/>
        <v>7번 중 4번 참여</v>
      </c>
      <c r="F89" s="25">
        <f t="shared" si="3"/>
        <v>0.5714285714</v>
      </c>
      <c r="G89" s="26"/>
      <c r="H89" s="26" t="s">
        <v>25</v>
      </c>
      <c r="I89" s="26" t="s">
        <v>25</v>
      </c>
      <c r="J89" s="26" t="s">
        <v>25</v>
      </c>
      <c r="K89" s="26"/>
      <c r="L89" s="26" t="s">
        <v>25</v>
      </c>
      <c r="M89" s="26"/>
      <c r="N89" s="26"/>
      <c r="O89" s="26"/>
      <c r="P89" s="27"/>
      <c r="Q89" s="27"/>
      <c r="R89" s="27"/>
      <c r="S89" s="27"/>
      <c r="T89" s="27"/>
      <c r="U89" s="27"/>
      <c r="V89" s="27"/>
      <c r="W89" s="27"/>
      <c r="X89" s="27"/>
      <c r="Y89" s="27"/>
      <c r="Z89" s="27"/>
    </row>
    <row r="90" ht="15.75" customHeight="1">
      <c r="A90" s="28"/>
      <c r="B90" s="29">
        <v>86.0</v>
      </c>
      <c r="C90" s="42" t="s">
        <v>158</v>
      </c>
      <c r="D90" s="42" t="s">
        <v>159</v>
      </c>
      <c r="E90" s="31" t="str">
        <f t="shared" si="2"/>
        <v>7번 중 5번 참여</v>
      </c>
      <c r="F90" s="32">
        <f t="shared" si="3"/>
        <v>0.7142857143</v>
      </c>
      <c r="G90" s="26"/>
      <c r="H90" s="26" t="s">
        <v>25</v>
      </c>
      <c r="I90" s="26" t="s">
        <v>25</v>
      </c>
      <c r="J90" s="26" t="s">
        <v>25</v>
      </c>
      <c r="K90" s="26" t="s">
        <v>25</v>
      </c>
      <c r="L90" s="26" t="s">
        <v>25</v>
      </c>
      <c r="M90" s="26"/>
      <c r="N90" s="26"/>
      <c r="O90" s="26"/>
      <c r="P90" s="27"/>
      <c r="Q90" s="27"/>
      <c r="R90" s="27"/>
      <c r="S90" s="27"/>
      <c r="T90" s="27"/>
      <c r="U90" s="27"/>
      <c r="V90" s="27"/>
      <c r="W90" s="27"/>
      <c r="X90" s="27"/>
      <c r="Y90" s="27"/>
      <c r="Z90" s="27"/>
    </row>
    <row r="91" ht="15.75" customHeight="1">
      <c r="A91" s="20"/>
      <c r="B91" s="21">
        <v>87.0</v>
      </c>
      <c r="C91" s="39" t="s">
        <v>160</v>
      </c>
      <c r="D91" s="39" t="s">
        <v>161</v>
      </c>
      <c r="E91" s="24" t="str">
        <f t="shared" si="2"/>
        <v>7번 중 7번 참여</v>
      </c>
      <c r="F91" s="25">
        <f t="shared" si="3"/>
        <v>1</v>
      </c>
      <c r="G91" s="26"/>
      <c r="H91" s="26" t="s">
        <v>25</v>
      </c>
      <c r="I91" s="26" t="s">
        <v>25</v>
      </c>
      <c r="J91" s="26" t="s">
        <v>25</v>
      </c>
      <c r="K91" s="26" t="s">
        <v>25</v>
      </c>
      <c r="L91" s="26" t="s">
        <v>25</v>
      </c>
      <c r="M91" s="26" t="s">
        <v>25</v>
      </c>
      <c r="N91" s="26" t="s">
        <v>25</v>
      </c>
      <c r="O91" s="26"/>
      <c r="P91" s="27"/>
      <c r="Q91" s="27"/>
      <c r="R91" s="27"/>
      <c r="S91" s="27"/>
      <c r="T91" s="27"/>
      <c r="U91" s="27"/>
      <c r="V91" s="27"/>
      <c r="W91" s="27"/>
      <c r="X91" s="27"/>
      <c r="Y91" s="27"/>
      <c r="Z91" s="27"/>
    </row>
    <row r="92" ht="15.75" customHeight="1">
      <c r="A92" s="28"/>
      <c r="B92" s="29">
        <v>88.0</v>
      </c>
      <c r="C92" s="30" t="s">
        <v>162</v>
      </c>
      <c r="D92" s="30" t="s">
        <v>163</v>
      </c>
      <c r="E92" s="31" t="str">
        <f t="shared" si="2"/>
        <v>7번 중 5번 참여</v>
      </c>
      <c r="F92" s="32">
        <f t="shared" si="3"/>
        <v>0.7142857143</v>
      </c>
      <c r="G92" s="26"/>
      <c r="H92" s="26" t="s">
        <v>25</v>
      </c>
      <c r="I92" s="26" t="s">
        <v>25</v>
      </c>
      <c r="J92" s="26" t="s">
        <v>25</v>
      </c>
      <c r="K92" s="26" t="s">
        <v>25</v>
      </c>
      <c r="L92" s="26" t="s">
        <v>25</v>
      </c>
      <c r="M92" s="26"/>
      <c r="N92" s="26"/>
      <c r="O92" s="26"/>
      <c r="P92" s="27"/>
      <c r="Q92" s="27"/>
      <c r="R92" s="27"/>
      <c r="S92" s="27"/>
      <c r="T92" s="27"/>
      <c r="U92" s="27"/>
      <c r="V92" s="27"/>
      <c r="W92" s="27"/>
      <c r="X92" s="27"/>
      <c r="Y92" s="27"/>
      <c r="Z92" s="27"/>
    </row>
    <row r="93" ht="15.75" customHeight="1">
      <c r="A93" s="20"/>
      <c r="B93" s="21">
        <v>89.0</v>
      </c>
      <c r="C93" s="22" t="s">
        <v>164</v>
      </c>
      <c r="D93" s="22" t="s">
        <v>165</v>
      </c>
      <c r="E93" s="33" t="str">
        <f t="shared" si="2"/>
        <v/>
      </c>
      <c r="F93" s="34" t="str">
        <f t="shared" si="3"/>
        <v/>
      </c>
      <c r="G93" s="26"/>
      <c r="H93" s="26"/>
      <c r="I93" s="26"/>
      <c r="J93" s="26"/>
      <c r="K93" s="26"/>
      <c r="L93" s="26"/>
      <c r="M93" s="26"/>
      <c r="N93" s="26"/>
      <c r="O93" s="26"/>
      <c r="P93" s="27"/>
      <c r="Q93" s="27"/>
      <c r="R93" s="27"/>
      <c r="S93" s="27"/>
      <c r="T93" s="27"/>
      <c r="U93" s="27"/>
      <c r="V93" s="27"/>
      <c r="W93" s="27"/>
      <c r="X93" s="27"/>
      <c r="Y93" s="27"/>
      <c r="Z93" s="27"/>
    </row>
    <row r="94" ht="15.75" customHeight="1">
      <c r="A94" s="28"/>
      <c r="B94" s="29">
        <v>90.0</v>
      </c>
      <c r="C94" s="42" t="s">
        <v>166</v>
      </c>
      <c r="D94" s="42" t="s">
        <v>167</v>
      </c>
      <c r="E94" s="31" t="str">
        <f t="shared" si="2"/>
        <v>7번 중 1번 참여</v>
      </c>
      <c r="F94" s="32">
        <f t="shared" si="3"/>
        <v>0.1428571429</v>
      </c>
      <c r="G94" s="26"/>
      <c r="H94" s="26" t="s">
        <v>25</v>
      </c>
      <c r="I94" s="26"/>
      <c r="J94" s="26"/>
      <c r="K94" s="26"/>
      <c r="L94" s="26"/>
      <c r="M94" s="26"/>
      <c r="N94" s="26"/>
      <c r="O94" s="26"/>
      <c r="P94" s="27"/>
      <c r="Q94" s="27"/>
      <c r="R94" s="27"/>
      <c r="S94" s="27"/>
      <c r="T94" s="27"/>
      <c r="U94" s="27"/>
      <c r="V94" s="27"/>
      <c r="W94" s="27"/>
      <c r="X94" s="27"/>
      <c r="Y94" s="27"/>
      <c r="Z94" s="27"/>
    </row>
    <row r="95" ht="15.75" customHeight="1">
      <c r="A95" s="20"/>
      <c r="B95" s="21">
        <v>91.0</v>
      </c>
      <c r="C95" s="22" t="s">
        <v>168</v>
      </c>
      <c r="D95" s="22" t="s">
        <v>169</v>
      </c>
      <c r="E95" s="33" t="str">
        <f t="shared" si="2"/>
        <v/>
      </c>
      <c r="F95" s="34" t="str">
        <f t="shared" si="3"/>
        <v/>
      </c>
      <c r="G95" s="26"/>
      <c r="H95" s="26"/>
      <c r="I95" s="26"/>
      <c r="J95" s="26"/>
      <c r="K95" s="26"/>
      <c r="L95" s="26"/>
      <c r="M95" s="26"/>
      <c r="N95" s="26"/>
      <c r="O95" s="26"/>
      <c r="P95" s="27"/>
      <c r="Q95" s="27"/>
      <c r="R95" s="27"/>
      <c r="S95" s="27"/>
      <c r="T95" s="27"/>
      <c r="U95" s="27"/>
      <c r="V95" s="27"/>
      <c r="W95" s="27"/>
      <c r="X95" s="27"/>
      <c r="Y95" s="27"/>
      <c r="Z95" s="27"/>
    </row>
    <row r="96" ht="15.75" customHeight="1">
      <c r="A96" s="28"/>
      <c r="B96" s="29">
        <v>92.0</v>
      </c>
      <c r="C96" s="30" t="s">
        <v>170</v>
      </c>
      <c r="D96" s="30" t="s">
        <v>171</v>
      </c>
      <c r="E96" s="35" t="str">
        <f t="shared" si="2"/>
        <v/>
      </c>
      <c r="F96" s="36" t="str">
        <f t="shared" si="3"/>
        <v/>
      </c>
      <c r="G96" s="26"/>
      <c r="H96" s="26"/>
      <c r="I96" s="26"/>
      <c r="J96" s="26"/>
      <c r="K96" s="26"/>
      <c r="L96" s="26"/>
      <c r="M96" s="26"/>
      <c r="N96" s="26"/>
      <c r="O96" s="26"/>
      <c r="P96" s="27"/>
      <c r="Q96" s="27"/>
      <c r="R96" s="27"/>
      <c r="S96" s="27"/>
      <c r="T96" s="27"/>
      <c r="U96" s="27"/>
      <c r="V96" s="27"/>
      <c r="W96" s="27"/>
      <c r="X96" s="27"/>
      <c r="Y96" s="27"/>
      <c r="Z96" s="27"/>
    </row>
    <row r="97" ht="15.75" customHeight="1">
      <c r="A97" s="20"/>
      <c r="B97" s="21">
        <v>93.0</v>
      </c>
      <c r="C97" s="22" t="s">
        <v>172</v>
      </c>
      <c r="D97" s="22" t="s">
        <v>173</v>
      </c>
      <c r="E97" s="33" t="str">
        <f t="shared" si="2"/>
        <v/>
      </c>
      <c r="F97" s="34" t="str">
        <f t="shared" si="3"/>
        <v/>
      </c>
      <c r="G97" s="26"/>
      <c r="H97" s="26"/>
      <c r="I97" s="26"/>
      <c r="J97" s="26"/>
      <c r="K97" s="26"/>
      <c r="L97" s="26"/>
      <c r="M97" s="26"/>
      <c r="N97" s="26"/>
      <c r="O97" s="26"/>
      <c r="P97" s="27"/>
      <c r="Q97" s="27"/>
      <c r="R97" s="27"/>
      <c r="S97" s="27"/>
      <c r="T97" s="27"/>
      <c r="U97" s="27"/>
      <c r="V97" s="27"/>
      <c r="W97" s="27"/>
      <c r="X97" s="27"/>
      <c r="Y97" s="27"/>
      <c r="Z97" s="27"/>
    </row>
    <row r="98" ht="15.75" customHeight="1">
      <c r="A98" s="28"/>
      <c r="B98" s="29">
        <v>94.0</v>
      </c>
      <c r="C98" s="30" t="s">
        <v>174</v>
      </c>
      <c r="D98" s="38" t="s">
        <v>175</v>
      </c>
      <c r="E98" s="31" t="str">
        <f t="shared" si="2"/>
        <v>7번 중 1번 참여</v>
      </c>
      <c r="F98" s="32">
        <f t="shared" si="3"/>
        <v>0.1428571429</v>
      </c>
      <c r="G98" s="26"/>
      <c r="H98" s="26"/>
      <c r="I98" s="26"/>
      <c r="J98" s="26"/>
      <c r="K98" s="26" t="s">
        <v>25</v>
      </c>
      <c r="L98" s="26"/>
      <c r="M98" s="26"/>
      <c r="N98" s="26"/>
      <c r="O98" s="26"/>
      <c r="P98" s="27"/>
      <c r="Q98" s="27"/>
      <c r="R98" s="27"/>
      <c r="S98" s="27"/>
      <c r="T98" s="27"/>
      <c r="U98" s="27"/>
      <c r="V98" s="27"/>
      <c r="W98" s="27"/>
      <c r="X98" s="27"/>
      <c r="Y98" s="27"/>
      <c r="Z98" s="27"/>
    </row>
    <row r="99" ht="15.75" customHeight="1">
      <c r="A99" s="20"/>
      <c r="B99" s="21">
        <v>95.0</v>
      </c>
      <c r="C99" s="39" t="s">
        <v>176</v>
      </c>
      <c r="D99" s="39" t="s">
        <v>177</v>
      </c>
      <c r="E99" s="24" t="str">
        <f t="shared" si="2"/>
        <v>7번 중 3번 참여</v>
      </c>
      <c r="F99" s="25">
        <f t="shared" si="3"/>
        <v>0.4285714286</v>
      </c>
      <c r="G99" s="26"/>
      <c r="H99" s="26" t="s">
        <v>25</v>
      </c>
      <c r="I99" s="26" t="s">
        <v>25</v>
      </c>
      <c r="J99" s="26"/>
      <c r="K99" s="26"/>
      <c r="L99" s="26" t="s">
        <v>25</v>
      </c>
      <c r="M99" s="26"/>
      <c r="N99" s="26"/>
      <c r="O99" s="26"/>
      <c r="P99" s="27"/>
      <c r="Q99" s="27"/>
      <c r="R99" s="27"/>
      <c r="S99" s="27"/>
      <c r="T99" s="27"/>
      <c r="U99" s="27"/>
      <c r="V99" s="27"/>
      <c r="W99" s="27"/>
      <c r="X99" s="27"/>
      <c r="Y99" s="27"/>
      <c r="Z99" s="27"/>
    </row>
    <row r="100" ht="15.75" customHeight="1">
      <c r="A100" s="28"/>
      <c r="B100" s="29">
        <v>96.0</v>
      </c>
      <c r="C100" s="30" t="s">
        <v>178</v>
      </c>
      <c r="D100" s="30" t="s">
        <v>179</v>
      </c>
      <c r="E100" s="35" t="str">
        <f t="shared" si="2"/>
        <v/>
      </c>
      <c r="F100" s="36" t="str">
        <f t="shared" si="3"/>
        <v/>
      </c>
      <c r="G100" s="26"/>
      <c r="H100" s="26"/>
      <c r="I100" s="26"/>
      <c r="J100" s="26"/>
      <c r="K100" s="26"/>
      <c r="L100" s="26"/>
      <c r="M100" s="26"/>
      <c r="N100" s="26"/>
      <c r="O100" s="26"/>
      <c r="P100" s="27"/>
      <c r="Q100" s="27"/>
      <c r="R100" s="27"/>
      <c r="S100" s="27"/>
      <c r="T100" s="27"/>
      <c r="U100" s="27"/>
      <c r="V100" s="27"/>
      <c r="W100" s="27"/>
      <c r="X100" s="27"/>
      <c r="Y100" s="27"/>
      <c r="Z100" s="27"/>
    </row>
    <row r="101" ht="15.75" customHeight="1">
      <c r="A101" s="20"/>
      <c r="B101" s="21">
        <v>97.0</v>
      </c>
      <c r="C101" s="22" t="s">
        <v>180</v>
      </c>
      <c r="D101" s="22" t="s">
        <v>181</v>
      </c>
      <c r="E101" s="24" t="str">
        <f t="shared" si="2"/>
        <v>7번 중 5번 참여</v>
      </c>
      <c r="F101" s="25">
        <f t="shared" si="3"/>
        <v>0.7142857143</v>
      </c>
      <c r="G101" s="26"/>
      <c r="H101" s="26" t="s">
        <v>25</v>
      </c>
      <c r="I101" s="26" t="s">
        <v>25</v>
      </c>
      <c r="J101" s="26" t="s">
        <v>25</v>
      </c>
      <c r="K101" s="26" t="s">
        <v>25</v>
      </c>
      <c r="L101" s="26" t="s">
        <v>25</v>
      </c>
      <c r="M101" s="26"/>
      <c r="N101" s="26"/>
      <c r="O101" s="26"/>
      <c r="P101" s="27"/>
      <c r="Q101" s="27"/>
      <c r="R101" s="27"/>
      <c r="S101" s="27"/>
      <c r="T101" s="27"/>
      <c r="U101" s="27"/>
      <c r="V101" s="27"/>
      <c r="W101" s="27"/>
      <c r="X101" s="27"/>
      <c r="Y101" s="27"/>
      <c r="Z101" s="27"/>
    </row>
    <row r="102" ht="15.75" customHeight="1">
      <c r="A102" s="28"/>
      <c r="B102" s="29">
        <v>98.0</v>
      </c>
      <c r="C102" s="44" t="s">
        <v>182</v>
      </c>
      <c r="D102" s="44" t="s">
        <v>183</v>
      </c>
      <c r="E102" s="31" t="str">
        <f t="shared" si="2"/>
        <v>7번 중 5번 참여</v>
      </c>
      <c r="F102" s="32">
        <f t="shared" si="3"/>
        <v>0.7142857143</v>
      </c>
      <c r="G102" s="26"/>
      <c r="H102" s="26" t="s">
        <v>25</v>
      </c>
      <c r="I102" s="26"/>
      <c r="J102" s="26" t="s">
        <v>25</v>
      </c>
      <c r="K102" s="26" t="s">
        <v>25</v>
      </c>
      <c r="L102" s="26" t="s">
        <v>25</v>
      </c>
      <c r="M102" s="26" t="s">
        <v>25</v>
      </c>
      <c r="N102" s="26"/>
      <c r="O102" s="26"/>
      <c r="P102" s="27"/>
      <c r="Q102" s="27"/>
      <c r="R102" s="27"/>
      <c r="S102" s="27"/>
      <c r="T102" s="27"/>
      <c r="U102" s="27"/>
      <c r="V102" s="27"/>
      <c r="W102" s="27"/>
      <c r="X102" s="27"/>
      <c r="Y102" s="27"/>
      <c r="Z102" s="27"/>
    </row>
    <row r="103" ht="15.75" customHeight="1">
      <c r="A103" s="20"/>
      <c r="B103" s="21">
        <v>99.0</v>
      </c>
      <c r="C103" s="22" t="s">
        <v>184</v>
      </c>
      <c r="D103" s="22" t="s">
        <v>185</v>
      </c>
      <c r="E103" s="33" t="str">
        <f t="shared" si="2"/>
        <v/>
      </c>
      <c r="F103" s="34" t="str">
        <f t="shared" si="3"/>
        <v/>
      </c>
      <c r="G103" s="26"/>
      <c r="H103" s="26"/>
      <c r="I103" s="26"/>
      <c r="J103" s="26"/>
      <c r="K103" s="26"/>
      <c r="L103" s="26"/>
      <c r="M103" s="26"/>
      <c r="N103" s="26"/>
      <c r="O103" s="26"/>
      <c r="P103" s="27"/>
      <c r="Q103" s="27"/>
      <c r="R103" s="27"/>
      <c r="S103" s="27"/>
      <c r="T103" s="27"/>
      <c r="U103" s="27"/>
      <c r="V103" s="27"/>
      <c r="W103" s="27"/>
      <c r="X103" s="27"/>
      <c r="Y103" s="27"/>
      <c r="Z103" s="27"/>
    </row>
    <row r="104" ht="15.75" customHeight="1">
      <c r="A104" s="28"/>
      <c r="B104" s="29">
        <v>100.0</v>
      </c>
      <c r="C104" s="52" t="s">
        <v>186</v>
      </c>
      <c r="D104" s="52" t="s">
        <v>187</v>
      </c>
      <c r="E104" s="35" t="str">
        <f t="shared" si="2"/>
        <v>7번 중 1번 참여</v>
      </c>
      <c r="F104" s="37">
        <f t="shared" si="3"/>
        <v>0.1428571429</v>
      </c>
      <c r="G104" s="26"/>
      <c r="H104" s="26" t="s">
        <v>25</v>
      </c>
      <c r="I104" s="26"/>
      <c r="J104" s="26"/>
      <c r="K104" s="26"/>
      <c r="L104" s="26"/>
      <c r="M104" s="26"/>
      <c r="N104" s="26"/>
      <c r="O104" s="26"/>
      <c r="P104" s="27"/>
      <c r="Q104" s="27"/>
      <c r="R104" s="27"/>
      <c r="S104" s="27"/>
      <c r="T104" s="27"/>
      <c r="U104" s="27"/>
      <c r="V104" s="27"/>
      <c r="W104" s="27"/>
      <c r="X104" s="27"/>
      <c r="Y104" s="27"/>
      <c r="Z104" s="27"/>
    </row>
    <row r="105" ht="15.75" customHeight="1">
      <c r="A105" s="20"/>
      <c r="B105" s="21">
        <v>101.0</v>
      </c>
      <c r="C105" s="54" t="s">
        <v>188</v>
      </c>
      <c r="D105" s="54" t="s">
        <v>189</v>
      </c>
      <c r="E105" s="33" t="str">
        <f t="shared" si="2"/>
        <v/>
      </c>
      <c r="F105" s="34" t="str">
        <f t="shared" si="3"/>
        <v/>
      </c>
      <c r="G105" s="26"/>
      <c r="H105" s="26"/>
      <c r="I105" s="26"/>
      <c r="J105" s="26"/>
      <c r="K105" s="26"/>
      <c r="L105" s="26"/>
      <c r="M105" s="26"/>
      <c r="N105" s="26"/>
      <c r="O105" s="26"/>
      <c r="P105" s="27"/>
      <c r="Q105" s="27"/>
      <c r="R105" s="27"/>
      <c r="S105" s="27"/>
      <c r="T105" s="27"/>
      <c r="U105" s="27"/>
      <c r="V105" s="27"/>
      <c r="W105" s="27"/>
      <c r="X105" s="27"/>
      <c r="Y105" s="27"/>
      <c r="Z105" s="27"/>
    </row>
    <row r="106" ht="15.75" customHeight="1">
      <c r="A106" s="28"/>
      <c r="B106" s="29">
        <v>102.0</v>
      </c>
      <c r="C106" s="52"/>
      <c r="D106" s="52"/>
      <c r="E106" s="35" t="str">
        <f t="shared" si="2"/>
        <v/>
      </c>
      <c r="F106" s="36" t="str">
        <f t="shared" si="3"/>
        <v/>
      </c>
      <c r="G106" s="26"/>
      <c r="H106" s="26"/>
      <c r="I106" s="26"/>
      <c r="J106" s="26"/>
      <c r="K106" s="26"/>
      <c r="L106" s="26"/>
      <c r="M106" s="26"/>
      <c r="N106" s="26"/>
      <c r="O106" s="26"/>
      <c r="P106" s="27"/>
      <c r="Q106" s="27"/>
      <c r="R106" s="27"/>
      <c r="S106" s="27"/>
      <c r="T106" s="27"/>
      <c r="U106" s="27"/>
      <c r="V106" s="27"/>
      <c r="W106" s="27"/>
      <c r="X106" s="27"/>
      <c r="Y106" s="27"/>
      <c r="Z106" s="27"/>
    </row>
    <row r="107" ht="15.75" customHeight="1">
      <c r="A107" s="20"/>
      <c r="B107" s="21">
        <v>103.0</v>
      </c>
      <c r="C107" s="53"/>
      <c r="D107" s="53"/>
      <c r="E107" s="33" t="str">
        <f t="shared" si="2"/>
        <v/>
      </c>
      <c r="F107" s="34" t="str">
        <f t="shared" si="3"/>
        <v/>
      </c>
      <c r="G107" s="26"/>
      <c r="H107" s="26"/>
      <c r="I107" s="26"/>
      <c r="J107" s="26"/>
      <c r="K107" s="26"/>
      <c r="L107" s="26"/>
      <c r="M107" s="26"/>
      <c r="N107" s="26"/>
      <c r="O107" s="26"/>
      <c r="P107" s="27"/>
      <c r="Q107" s="27"/>
      <c r="R107" s="27"/>
      <c r="S107" s="27"/>
      <c r="T107" s="27"/>
      <c r="U107" s="27"/>
      <c r="V107" s="27"/>
      <c r="W107" s="27"/>
      <c r="X107" s="27"/>
      <c r="Y107" s="27"/>
      <c r="Z107" s="27"/>
    </row>
    <row r="108" ht="15.75" customHeight="1">
      <c r="A108" s="28"/>
      <c r="B108" s="29">
        <v>104.0</v>
      </c>
      <c r="C108" s="35"/>
      <c r="D108" s="35"/>
      <c r="E108" s="35" t="str">
        <f t="shared" si="2"/>
        <v/>
      </c>
      <c r="F108" s="36" t="str">
        <f t="shared" si="3"/>
        <v/>
      </c>
      <c r="G108" s="26"/>
      <c r="H108" s="26"/>
      <c r="I108" s="26"/>
      <c r="J108" s="26"/>
      <c r="K108" s="26"/>
      <c r="L108" s="26"/>
      <c r="M108" s="26"/>
      <c r="N108" s="26"/>
      <c r="O108" s="26"/>
      <c r="P108" s="27"/>
      <c r="Q108" s="27"/>
      <c r="R108" s="27"/>
      <c r="S108" s="27"/>
      <c r="T108" s="27"/>
      <c r="U108" s="27"/>
      <c r="V108" s="27"/>
      <c r="W108" s="27"/>
      <c r="X108" s="27"/>
      <c r="Y108" s="27"/>
      <c r="Z108" s="27"/>
    </row>
    <row r="109" ht="15.75" customHeight="1">
      <c r="A109" s="20"/>
      <c r="B109" s="21">
        <v>105.0</v>
      </c>
      <c r="C109" s="33"/>
      <c r="D109" s="33"/>
      <c r="E109" s="33" t="str">
        <f t="shared" si="2"/>
        <v/>
      </c>
      <c r="F109" s="34" t="str">
        <f t="shared" si="3"/>
        <v/>
      </c>
      <c r="G109" s="26"/>
      <c r="H109" s="26"/>
      <c r="I109" s="26"/>
      <c r="J109" s="26"/>
      <c r="K109" s="26"/>
      <c r="L109" s="26"/>
      <c r="M109" s="26"/>
      <c r="N109" s="26"/>
      <c r="O109" s="26"/>
      <c r="P109" s="27"/>
      <c r="Q109" s="27"/>
      <c r="R109" s="27"/>
      <c r="S109" s="27"/>
      <c r="T109" s="27"/>
      <c r="U109" s="27"/>
      <c r="V109" s="27"/>
      <c r="W109" s="27"/>
      <c r="X109" s="27"/>
      <c r="Y109" s="27"/>
      <c r="Z109" s="27"/>
    </row>
    <row r="110" ht="15.75" customHeight="1">
      <c r="A110" s="28"/>
      <c r="B110" s="29">
        <v>106.0</v>
      </c>
      <c r="C110" s="35"/>
      <c r="D110" s="35"/>
      <c r="E110" s="35" t="str">
        <f t="shared" si="2"/>
        <v/>
      </c>
      <c r="F110" s="36" t="str">
        <f t="shared" si="3"/>
        <v/>
      </c>
      <c r="G110" s="26"/>
      <c r="H110" s="26"/>
      <c r="I110" s="26"/>
      <c r="J110" s="26"/>
      <c r="K110" s="26"/>
      <c r="L110" s="26"/>
      <c r="M110" s="26"/>
      <c r="N110" s="26"/>
      <c r="O110" s="26"/>
      <c r="P110" s="27"/>
      <c r="Q110" s="27"/>
      <c r="R110" s="27"/>
      <c r="S110" s="27"/>
      <c r="T110" s="27"/>
      <c r="U110" s="27"/>
      <c r="V110" s="27"/>
      <c r="W110" s="27"/>
      <c r="X110" s="27"/>
      <c r="Y110" s="27"/>
      <c r="Z110" s="27"/>
    </row>
    <row r="111" ht="15.75" customHeight="1">
      <c r="A111" s="20"/>
      <c r="B111" s="21">
        <v>107.0</v>
      </c>
      <c r="C111" s="33"/>
      <c r="D111" s="33"/>
      <c r="E111" s="33" t="str">
        <f t="shared" si="2"/>
        <v/>
      </c>
      <c r="F111" s="34" t="str">
        <f t="shared" si="3"/>
        <v/>
      </c>
      <c r="G111" s="26"/>
      <c r="H111" s="26"/>
      <c r="I111" s="26"/>
      <c r="J111" s="26"/>
      <c r="K111" s="26"/>
      <c r="L111" s="26"/>
      <c r="M111" s="26"/>
      <c r="N111" s="26"/>
      <c r="O111" s="26"/>
      <c r="P111" s="27"/>
      <c r="Q111" s="27"/>
      <c r="R111" s="27"/>
      <c r="S111" s="27"/>
      <c r="T111" s="27"/>
      <c r="U111" s="27"/>
      <c r="V111" s="27"/>
      <c r="W111" s="27"/>
      <c r="X111" s="27"/>
      <c r="Y111" s="27"/>
      <c r="Z111" s="27"/>
    </row>
    <row r="112" ht="15.75" customHeight="1">
      <c r="A112" s="28"/>
      <c r="B112" s="29">
        <v>108.0</v>
      </c>
      <c r="C112" s="35"/>
      <c r="D112" s="35"/>
      <c r="E112" s="35" t="str">
        <f t="shared" si="2"/>
        <v/>
      </c>
      <c r="F112" s="36" t="str">
        <f t="shared" si="3"/>
        <v/>
      </c>
      <c r="G112" s="26"/>
      <c r="H112" s="26"/>
      <c r="I112" s="26"/>
      <c r="J112" s="26"/>
      <c r="K112" s="26"/>
      <c r="L112" s="26"/>
      <c r="M112" s="26"/>
      <c r="N112" s="26"/>
      <c r="O112" s="26"/>
      <c r="P112" s="27"/>
      <c r="Q112" s="27"/>
      <c r="R112" s="27"/>
      <c r="S112" s="27"/>
      <c r="T112" s="27"/>
      <c r="U112" s="27"/>
      <c r="V112" s="27"/>
      <c r="W112" s="27"/>
      <c r="X112" s="27"/>
      <c r="Y112" s="27"/>
      <c r="Z112" s="27"/>
    </row>
    <row r="113" ht="15.75" customHeight="1">
      <c r="A113" s="20"/>
      <c r="B113" s="21">
        <v>109.0</v>
      </c>
      <c r="C113" s="33"/>
      <c r="D113" s="33"/>
      <c r="E113" s="33" t="str">
        <f t="shared" si="2"/>
        <v/>
      </c>
      <c r="F113" s="34" t="str">
        <f t="shared" si="3"/>
        <v/>
      </c>
      <c r="G113" s="26"/>
      <c r="H113" s="26"/>
      <c r="I113" s="26"/>
      <c r="J113" s="26"/>
      <c r="K113" s="26"/>
      <c r="L113" s="26"/>
      <c r="M113" s="26"/>
      <c r="N113" s="26"/>
      <c r="O113" s="26"/>
      <c r="P113" s="27"/>
      <c r="Q113" s="27"/>
      <c r="R113" s="27"/>
      <c r="S113" s="27"/>
      <c r="T113" s="27"/>
      <c r="U113" s="27"/>
      <c r="V113" s="27"/>
      <c r="W113" s="27"/>
      <c r="X113" s="27"/>
      <c r="Y113" s="27"/>
      <c r="Z113" s="27"/>
    </row>
    <row r="114" ht="15.75" customHeight="1">
      <c r="A114" s="28"/>
      <c r="B114" s="29">
        <v>110.0</v>
      </c>
      <c r="C114" s="35"/>
      <c r="D114" s="35"/>
      <c r="E114" s="35" t="str">
        <f t="shared" si="2"/>
        <v/>
      </c>
      <c r="F114" s="36" t="str">
        <f t="shared" si="3"/>
        <v/>
      </c>
      <c r="G114" s="26"/>
      <c r="H114" s="26"/>
      <c r="I114" s="26"/>
      <c r="J114" s="26"/>
      <c r="K114" s="26"/>
      <c r="L114" s="26"/>
      <c r="M114" s="26"/>
      <c r="N114" s="26"/>
      <c r="O114" s="26"/>
      <c r="P114" s="27"/>
      <c r="Q114" s="27"/>
      <c r="R114" s="27"/>
      <c r="S114" s="27"/>
      <c r="T114" s="27"/>
      <c r="U114" s="27"/>
      <c r="V114" s="27"/>
      <c r="W114" s="27"/>
      <c r="X114" s="27"/>
      <c r="Y114" s="27"/>
      <c r="Z114" s="27"/>
    </row>
    <row r="115" ht="15.75" customHeight="1">
      <c r="A115" s="20"/>
      <c r="B115" s="21">
        <v>111.0</v>
      </c>
      <c r="C115" s="33"/>
      <c r="D115" s="33"/>
      <c r="E115" s="33" t="str">
        <f t="shared" si="2"/>
        <v/>
      </c>
      <c r="F115" s="34" t="str">
        <f t="shared" si="3"/>
        <v/>
      </c>
      <c r="G115" s="26"/>
      <c r="H115" s="26"/>
      <c r="I115" s="26"/>
      <c r="J115" s="26"/>
      <c r="K115" s="26"/>
      <c r="L115" s="26"/>
      <c r="M115" s="26"/>
      <c r="N115" s="26"/>
      <c r="O115" s="26"/>
      <c r="P115" s="27"/>
      <c r="Q115" s="27"/>
      <c r="R115" s="27"/>
      <c r="S115" s="27"/>
      <c r="T115" s="27"/>
      <c r="U115" s="27"/>
      <c r="V115" s="27"/>
      <c r="W115" s="27"/>
      <c r="X115" s="27"/>
      <c r="Y115" s="27"/>
      <c r="Z115" s="27"/>
    </row>
    <row r="116" ht="15.75" customHeight="1">
      <c r="A116" s="28"/>
      <c r="B116" s="29">
        <v>112.0</v>
      </c>
      <c r="C116" s="35"/>
      <c r="D116" s="35"/>
      <c r="E116" s="35" t="str">
        <f t="shared" si="2"/>
        <v/>
      </c>
      <c r="F116" s="36" t="str">
        <f t="shared" si="3"/>
        <v/>
      </c>
      <c r="G116" s="26"/>
      <c r="H116" s="26"/>
      <c r="I116" s="26"/>
      <c r="J116" s="26"/>
      <c r="K116" s="26"/>
      <c r="L116" s="26"/>
      <c r="M116" s="26"/>
      <c r="N116" s="26"/>
      <c r="O116" s="26"/>
      <c r="P116" s="27"/>
      <c r="Q116" s="27"/>
      <c r="R116" s="27"/>
      <c r="S116" s="27"/>
      <c r="T116" s="27"/>
      <c r="U116" s="27"/>
      <c r="V116" s="27"/>
      <c r="W116" s="27"/>
      <c r="X116" s="27"/>
      <c r="Y116" s="27"/>
      <c r="Z116" s="27"/>
    </row>
    <row r="117" ht="15.75" customHeight="1">
      <c r="A117" s="20"/>
      <c r="B117" s="21">
        <v>113.0</v>
      </c>
      <c r="C117" s="33"/>
      <c r="D117" s="33"/>
      <c r="E117" s="33" t="str">
        <f t="shared" si="2"/>
        <v/>
      </c>
      <c r="F117" s="34" t="str">
        <f t="shared" si="3"/>
        <v/>
      </c>
      <c r="G117" s="26"/>
      <c r="H117" s="26"/>
      <c r="I117" s="26"/>
      <c r="J117" s="26"/>
      <c r="K117" s="26"/>
      <c r="L117" s="26"/>
      <c r="M117" s="26"/>
      <c r="N117" s="26"/>
      <c r="O117" s="26"/>
      <c r="P117" s="27"/>
      <c r="Q117" s="27"/>
      <c r="R117" s="27"/>
      <c r="S117" s="27"/>
      <c r="T117" s="27"/>
      <c r="U117" s="27"/>
      <c r="V117" s="27"/>
      <c r="W117" s="27"/>
      <c r="X117" s="27"/>
      <c r="Y117" s="27"/>
      <c r="Z117" s="27"/>
    </row>
    <row r="118" ht="15.75" customHeight="1">
      <c r="A118" s="28"/>
      <c r="B118" s="29">
        <v>114.0</v>
      </c>
      <c r="C118" s="35"/>
      <c r="D118" s="35"/>
      <c r="E118" s="35" t="str">
        <f t="shared" si="2"/>
        <v/>
      </c>
      <c r="F118" s="36" t="str">
        <f t="shared" si="3"/>
        <v/>
      </c>
      <c r="G118" s="26"/>
      <c r="H118" s="26"/>
      <c r="I118" s="26"/>
      <c r="J118" s="26"/>
      <c r="K118" s="26"/>
      <c r="L118" s="26"/>
      <c r="M118" s="26"/>
      <c r="N118" s="26"/>
      <c r="O118" s="26"/>
      <c r="P118" s="27"/>
      <c r="Q118" s="27"/>
      <c r="R118" s="27"/>
      <c r="S118" s="27"/>
      <c r="T118" s="27"/>
      <c r="U118" s="27"/>
      <c r="V118" s="27"/>
      <c r="W118" s="27"/>
      <c r="X118" s="27"/>
      <c r="Y118" s="27"/>
      <c r="Z118" s="27"/>
    </row>
    <row r="119" ht="15.75" customHeight="1">
      <c r="A119" s="20"/>
      <c r="B119" s="21">
        <v>115.0</v>
      </c>
      <c r="C119" s="33"/>
      <c r="D119" s="33"/>
      <c r="E119" s="33" t="str">
        <f t="shared" si="2"/>
        <v/>
      </c>
      <c r="F119" s="34" t="str">
        <f t="shared" si="3"/>
        <v/>
      </c>
      <c r="G119" s="26"/>
      <c r="H119" s="26"/>
      <c r="I119" s="26"/>
      <c r="J119" s="26"/>
      <c r="K119" s="26"/>
      <c r="L119" s="26"/>
      <c r="M119" s="26"/>
      <c r="N119" s="26"/>
      <c r="O119" s="26"/>
      <c r="P119" s="27"/>
      <c r="Q119" s="27"/>
      <c r="R119" s="27"/>
      <c r="S119" s="27"/>
      <c r="T119" s="27"/>
      <c r="U119" s="27"/>
      <c r="V119" s="27"/>
      <c r="W119" s="27"/>
      <c r="X119" s="27"/>
      <c r="Y119" s="27"/>
      <c r="Z119" s="27"/>
    </row>
    <row r="120" ht="15.75" customHeight="1">
      <c r="A120" s="28"/>
      <c r="B120" s="29">
        <v>116.0</v>
      </c>
      <c r="C120" s="35"/>
      <c r="D120" s="35"/>
      <c r="E120" s="35" t="str">
        <f t="shared" si="2"/>
        <v/>
      </c>
      <c r="F120" s="36" t="str">
        <f t="shared" si="3"/>
        <v/>
      </c>
      <c r="G120" s="26"/>
      <c r="H120" s="26"/>
      <c r="I120" s="26"/>
      <c r="J120" s="26"/>
      <c r="K120" s="26"/>
      <c r="L120" s="26"/>
      <c r="M120" s="26"/>
      <c r="N120" s="26"/>
      <c r="O120" s="26"/>
      <c r="P120" s="27"/>
      <c r="Q120" s="27"/>
      <c r="R120" s="27"/>
      <c r="S120" s="27"/>
      <c r="T120" s="27"/>
      <c r="U120" s="27"/>
      <c r="V120" s="27"/>
      <c r="W120" s="27"/>
      <c r="X120" s="27"/>
      <c r="Y120" s="27"/>
      <c r="Z120" s="27"/>
    </row>
    <row r="121" ht="15.75" customHeight="1">
      <c r="A121" s="13"/>
      <c r="B121" s="55">
        <v>117.0</v>
      </c>
      <c r="C121" s="56"/>
      <c r="D121" s="56"/>
      <c r="E121" s="57" t="str">
        <f t="shared" si="2"/>
        <v/>
      </c>
      <c r="F121" s="58" t="str">
        <f t="shared" si="3"/>
        <v/>
      </c>
      <c r="G121" s="17"/>
      <c r="H121" s="17"/>
      <c r="I121" s="17"/>
      <c r="J121" s="17"/>
      <c r="K121" s="17"/>
      <c r="L121" s="17"/>
      <c r="M121" s="17"/>
      <c r="N121" s="17"/>
      <c r="O121" s="17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5.75" customHeight="1">
      <c r="A122" s="13"/>
      <c r="B122" s="55">
        <v>118.0</v>
      </c>
      <c r="C122" s="56"/>
      <c r="D122" s="56"/>
      <c r="E122" s="57" t="str">
        <f t="shared" si="2"/>
        <v/>
      </c>
      <c r="F122" s="58" t="str">
        <f t="shared" si="3"/>
        <v/>
      </c>
      <c r="G122" s="17"/>
      <c r="H122" s="17"/>
      <c r="I122" s="17"/>
      <c r="J122" s="17"/>
      <c r="K122" s="17"/>
      <c r="L122" s="17"/>
      <c r="M122" s="17"/>
      <c r="N122" s="17"/>
      <c r="O122" s="17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5.75" customHeight="1">
      <c r="A123" s="13"/>
      <c r="B123" s="55">
        <v>119.0</v>
      </c>
      <c r="C123" s="56"/>
      <c r="D123" s="56"/>
      <c r="E123" s="57" t="str">
        <f t="shared" si="2"/>
        <v/>
      </c>
      <c r="F123" s="58" t="str">
        <f t="shared" si="3"/>
        <v/>
      </c>
      <c r="G123" s="17"/>
      <c r="H123" s="17"/>
      <c r="I123" s="17"/>
      <c r="J123" s="17"/>
      <c r="K123" s="17"/>
      <c r="L123" s="17"/>
      <c r="M123" s="17"/>
      <c r="N123" s="17"/>
      <c r="O123" s="17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5.75" customHeight="1">
      <c r="A124" s="13"/>
      <c r="B124" s="13"/>
      <c r="C124" s="13"/>
      <c r="D124" s="13"/>
      <c r="E124" s="13"/>
      <c r="F124" s="13"/>
      <c r="G124" s="13"/>
      <c r="H124" s="13"/>
      <c r="I124" s="13"/>
      <c r="J124" s="13"/>
      <c r="K124" s="13"/>
      <c r="L124" s="13"/>
      <c r="M124" s="13"/>
      <c r="N124" s="13"/>
      <c r="O124" s="13"/>
      <c r="P124" s="13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5.75" customHeight="1">
      <c r="A125" s="13"/>
      <c r="B125" s="13"/>
      <c r="C125" s="13"/>
      <c r="D125" s="13"/>
      <c r="E125" s="13"/>
      <c r="F125" s="13"/>
      <c r="G125" s="13"/>
      <c r="H125" s="13"/>
      <c r="I125" s="13"/>
      <c r="J125" s="13"/>
      <c r="K125" s="13"/>
      <c r="L125" s="13"/>
      <c r="M125" s="13"/>
      <c r="N125" s="13"/>
      <c r="O125" s="13"/>
      <c r="P125" s="13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5.75" customHeight="1">
      <c r="A126" s="13"/>
      <c r="B126" s="13"/>
      <c r="C126" s="13"/>
      <c r="D126" s="13"/>
      <c r="E126" s="13"/>
      <c r="F126" s="13"/>
      <c r="G126" s="13"/>
      <c r="H126" s="13"/>
      <c r="I126" s="13"/>
      <c r="J126" s="13"/>
      <c r="K126" s="13"/>
      <c r="L126" s="13"/>
      <c r="M126" s="13"/>
      <c r="N126" s="13"/>
      <c r="O126" s="13"/>
      <c r="P126" s="13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5.75" customHeight="1">
      <c r="A127" s="13"/>
      <c r="B127" s="13"/>
      <c r="C127" s="13"/>
      <c r="D127" s="13"/>
      <c r="E127" s="13"/>
      <c r="F127" s="13"/>
      <c r="G127" s="13"/>
      <c r="H127" s="13"/>
      <c r="I127" s="13"/>
      <c r="J127" s="13"/>
      <c r="K127" s="13"/>
      <c r="L127" s="13"/>
      <c r="M127" s="13"/>
      <c r="N127" s="13"/>
      <c r="O127" s="13"/>
      <c r="P127" s="13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5.75" customHeight="1">
      <c r="A128" s="13"/>
      <c r="B128" s="13"/>
      <c r="C128" s="13"/>
      <c r="D128" s="13"/>
      <c r="E128" s="13"/>
      <c r="F128" s="13"/>
      <c r="G128" s="13"/>
      <c r="H128" s="13"/>
      <c r="I128" s="13"/>
      <c r="J128" s="13"/>
      <c r="K128" s="13"/>
      <c r="L128" s="13"/>
      <c r="M128" s="13"/>
      <c r="N128" s="13"/>
      <c r="O128" s="13"/>
      <c r="P128" s="13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5.75" customHeight="1">
      <c r="A129" s="13"/>
      <c r="B129" s="13"/>
      <c r="C129" s="13"/>
      <c r="D129" s="13"/>
      <c r="E129" s="13"/>
      <c r="F129" s="13"/>
      <c r="G129" s="13"/>
      <c r="H129" s="13"/>
      <c r="I129" s="13"/>
      <c r="J129" s="13"/>
      <c r="K129" s="13"/>
      <c r="L129" s="13"/>
      <c r="M129" s="13"/>
      <c r="N129" s="13"/>
      <c r="O129" s="13"/>
      <c r="P129" s="13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5.75" customHeight="1">
      <c r="A130" s="13"/>
      <c r="B130" s="13"/>
      <c r="C130" s="13"/>
      <c r="D130" s="13"/>
      <c r="E130" s="13"/>
      <c r="F130" s="13"/>
      <c r="G130" s="13"/>
      <c r="H130" s="13"/>
      <c r="I130" s="13"/>
      <c r="J130" s="13"/>
      <c r="K130" s="13"/>
      <c r="L130" s="13"/>
      <c r="M130" s="13"/>
      <c r="N130" s="13"/>
      <c r="O130" s="13"/>
      <c r="P130" s="13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5.75" customHeight="1">
      <c r="A131" s="13"/>
      <c r="B131" s="13"/>
      <c r="C131" s="13"/>
      <c r="D131" s="13"/>
      <c r="E131" s="13"/>
      <c r="F131" s="13"/>
      <c r="G131" s="13"/>
      <c r="H131" s="13"/>
      <c r="I131" s="13"/>
      <c r="J131" s="13"/>
      <c r="K131" s="13"/>
      <c r="L131" s="13"/>
      <c r="M131" s="13"/>
      <c r="N131" s="13"/>
      <c r="O131" s="13"/>
      <c r="P131" s="13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5.75" customHeight="1">
      <c r="A132" s="13"/>
      <c r="B132" s="13"/>
      <c r="C132" s="13"/>
      <c r="D132" s="13"/>
      <c r="E132" s="13"/>
      <c r="F132" s="13"/>
      <c r="G132" s="13"/>
      <c r="H132" s="13"/>
      <c r="I132" s="13"/>
      <c r="J132" s="13"/>
      <c r="K132" s="13"/>
      <c r="L132" s="13"/>
      <c r="M132" s="13"/>
      <c r="N132" s="13"/>
      <c r="O132" s="13"/>
      <c r="P132" s="13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5.75" customHeight="1">
      <c r="A133" s="13"/>
      <c r="B133" s="13"/>
      <c r="C133" s="13"/>
      <c r="D133" s="13"/>
      <c r="E133" s="13"/>
      <c r="F133" s="13"/>
      <c r="G133" s="13"/>
      <c r="H133" s="13"/>
      <c r="I133" s="13"/>
      <c r="J133" s="13"/>
      <c r="K133" s="13"/>
      <c r="L133" s="13"/>
      <c r="M133" s="13"/>
      <c r="N133" s="13"/>
      <c r="O133" s="13"/>
      <c r="P133" s="13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5.75" customHeight="1">
      <c r="A134" s="13"/>
      <c r="B134" s="13"/>
      <c r="C134" s="13"/>
      <c r="D134" s="13"/>
      <c r="E134" s="13"/>
      <c r="F134" s="13"/>
      <c r="G134" s="13"/>
      <c r="H134" s="13"/>
      <c r="I134" s="13"/>
      <c r="J134" s="13"/>
      <c r="K134" s="13"/>
      <c r="L134" s="13"/>
      <c r="M134" s="13"/>
      <c r="N134" s="13"/>
      <c r="O134" s="13"/>
      <c r="P134" s="13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5.75" customHeight="1">
      <c r="A135" s="13"/>
      <c r="B135" s="13"/>
      <c r="C135" s="13"/>
      <c r="D135" s="13"/>
      <c r="E135" s="13"/>
      <c r="F135" s="13"/>
      <c r="G135" s="13"/>
      <c r="H135" s="13"/>
      <c r="I135" s="13"/>
      <c r="J135" s="13"/>
      <c r="K135" s="13"/>
      <c r="L135" s="13"/>
      <c r="M135" s="13"/>
      <c r="N135" s="13"/>
      <c r="O135" s="13"/>
      <c r="P135" s="13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5.75" customHeight="1">
      <c r="A136" s="13"/>
      <c r="B136" s="13"/>
      <c r="C136" s="13"/>
      <c r="D136" s="13"/>
      <c r="E136" s="13"/>
      <c r="F136" s="13"/>
      <c r="G136" s="13"/>
      <c r="H136" s="13"/>
      <c r="I136" s="13"/>
      <c r="J136" s="13"/>
      <c r="K136" s="13"/>
      <c r="L136" s="13"/>
      <c r="M136" s="13"/>
      <c r="N136" s="13"/>
      <c r="O136" s="13"/>
      <c r="P136" s="13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5.75" customHeight="1">
      <c r="A137" s="13"/>
      <c r="B137" s="13"/>
      <c r="C137" s="13"/>
      <c r="D137" s="13"/>
      <c r="E137" s="13"/>
      <c r="F137" s="13"/>
      <c r="G137" s="13"/>
      <c r="H137" s="13"/>
      <c r="I137" s="13"/>
      <c r="J137" s="13"/>
      <c r="K137" s="13"/>
      <c r="L137" s="13"/>
      <c r="M137" s="13"/>
      <c r="N137" s="13"/>
      <c r="O137" s="13"/>
      <c r="P137" s="13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5.75" customHeight="1">
      <c r="A138" s="13"/>
      <c r="B138" s="13"/>
      <c r="C138" s="13"/>
      <c r="D138" s="13"/>
      <c r="E138" s="13"/>
      <c r="F138" s="13"/>
      <c r="G138" s="13"/>
      <c r="H138" s="13"/>
      <c r="I138" s="13"/>
      <c r="J138" s="13"/>
      <c r="K138" s="13"/>
      <c r="L138" s="13"/>
      <c r="M138" s="13"/>
      <c r="N138" s="13"/>
      <c r="O138" s="13"/>
      <c r="P138" s="13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5.75" customHeight="1">
      <c r="A139" s="13"/>
      <c r="B139" s="13"/>
      <c r="C139" s="13"/>
      <c r="D139" s="13"/>
      <c r="E139" s="13"/>
      <c r="F139" s="13"/>
      <c r="G139" s="13"/>
      <c r="H139" s="13"/>
      <c r="I139" s="13"/>
      <c r="J139" s="13"/>
      <c r="K139" s="13"/>
      <c r="L139" s="13"/>
      <c r="M139" s="13"/>
      <c r="N139" s="13"/>
      <c r="O139" s="13"/>
      <c r="P139" s="13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5.75" customHeight="1">
      <c r="A140" s="13"/>
      <c r="B140" s="13"/>
      <c r="C140" s="13"/>
      <c r="D140" s="13"/>
      <c r="E140" s="13"/>
      <c r="F140" s="13"/>
      <c r="G140" s="13"/>
      <c r="H140" s="13"/>
      <c r="I140" s="13"/>
      <c r="J140" s="13"/>
      <c r="K140" s="13"/>
      <c r="L140" s="13"/>
      <c r="M140" s="13"/>
      <c r="N140" s="13"/>
      <c r="O140" s="13"/>
      <c r="P140" s="13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5.75" customHeight="1">
      <c r="A141" s="13"/>
      <c r="B141" s="13"/>
      <c r="C141" s="13"/>
      <c r="D141" s="13"/>
      <c r="E141" s="13"/>
      <c r="F141" s="13"/>
      <c r="G141" s="13"/>
      <c r="H141" s="13"/>
      <c r="I141" s="13"/>
      <c r="J141" s="13"/>
      <c r="K141" s="13"/>
      <c r="L141" s="13"/>
      <c r="M141" s="13"/>
      <c r="N141" s="13"/>
      <c r="O141" s="13"/>
      <c r="P141" s="13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5.75" customHeight="1">
      <c r="A142" s="13"/>
      <c r="B142" s="13"/>
      <c r="C142" s="13"/>
      <c r="D142" s="13"/>
      <c r="E142" s="13"/>
      <c r="F142" s="13"/>
      <c r="G142" s="13"/>
      <c r="H142" s="13"/>
      <c r="I142" s="13"/>
      <c r="J142" s="13"/>
      <c r="K142" s="13"/>
      <c r="L142" s="13"/>
      <c r="M142" s="13"/>
      <c r="N142" s="13"/>
      <c r="O142" s="13"/>
      <c r="P142" s="13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5.75" customHeight="1">
      <c r="A143" s="13"/>
      <c r="B143" s="13"/>
      <c r="C143" s="13"/>
      <c r="D143" s="13"/>
      <c r="E143" s="13"/>
      <c r="F143" s="13"/>
      <c r="G143" s="13"/>
      <c r="H143" s="13"/>
      <c r="I143" s="13"/>
      <c r="J143" s="13"/>
      <c r="K143" s="13"/>
      <c r="L143" s="13"/>
      <c r="M143" s="13"/>
      <c r="N143" s="13"/>
      <c r="O143" s="13"/>
      <c r="P143" s="13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5.75" customHeight="1">
      <c r="A144" s="13"/>
      <c r="B144" s="13"/>
      <c r="C144" s="13"/>
      <c r="D144" s="13"/>
      <c r="E144" s="13"/>
      <c r="F144" s="13"/>
      <c r="G144" s="13"/>
      <c r="H144" s="13"/>
      <c r="I144" s="13"/>
      <c r="J144" s="13"/>
      <c r="K144" s="13"/>
      <c r="L144" s="13"/>
      <c r="M144" s="13"/>
      <c r="N144" s="13"/>
      <c r="O144" s="13"/>
      <c r="P144" s="13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5.75" customHeight="1">
      <c r="A145" s="13"/>
      <c r="B145" s="13"/>
      <c r="C145" s="13"/>
      <c r="D145" s="13"/>
      <c r="E145" s="13"/>
      <c r="F145" s="13"/>
      <c r="G145" s="13"/>
      <c r="H145" s="13"/>
      <c r="I145" s="13"/>
      <c r="J145" s="13"/>
      <c r="K145" s="13"/>
      <c r="L145" s="13"/>
      <c r="M145" s="13"/>
      <c r="N145" s="13"/>
      <c r="O145" s="13"/>
      <c r="P145" s="13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5.75" customHeight="1">
      <c r="A146" s="13"/>
      <c r="B146" s="13"/>
      <c r="C146" s="13"/>
      <c r="D146" s="13"/>
      <c r="E146" s="13"/>
      <c r="F146" s="13"/>
      <c r="G146" s="13"/>
      <c r="H146" s="13"/>
      <c r="I146" s="13"/>
      <c r="J146" s="13"/>
      <c r="K146" s="13"/>
      <c r="L146" s="13"/>
      <c r="M146" s="13"/>
      <c r="N146" s="13"/>
      <c r="O146" s="13"/>
      <c r="P146" s="13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5.75" customHeight="1">
      <c r="A147" s="13"/>
      <c r="B147" s="13"/>
      <c r="C147" s="13"/>
      <c r="D147" s="13"/>
      <c r="E147" s="13"/>
      <c r="F147" s="13"/>
      <c r="G147" s="13"/>
      <c r="H147" s="13"/>
      <c r="I147" s="13"/>
      <c r="J147" s="13"/>
      <c r="K147" s="13"/>
      <c r="L147" s="13"/>
      <c r="M147" s="13"/>
      <c r="N147" s="13"/>
      <c r="O147" s="13"/>
      <c r="P147" s="13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5.75" customHeight="1">
      <c r="A148" s="13"/>
      <c r="B148" s="13"/>
      <c r="C148" s="13"/>
      <c r="D148" s="13"/>
      <c r="E148" s="13"/>
      <c r="F148" s="13"/>
      <c r="G148" s="13"/>
      <c r="H148" s="13"/>
      <c r="I148" s="13"/>
      <c r="J148" s="13"/>
      <c r="K148" s="13"/>
      <c r="L148" s="13"/>
      <c r="M148" s="13"/>
      <c r="N148" s="13"/>
      <c r="O148" s="13"/>
      <c r="P148" s="13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5.75" customHeight="1">
      <c r="A149" s="13"/>
      <c r="B149" s="13"/>
      <c r="C149" s="13"/>
      <c r="D149" s="13"/>
      <c r="E149" s="13"/>
      <c r="F149" s="13"/>
      <c r="G149" s="13"/>
      <c r="H149" s="13"/>
      <c r="I149" s="13"/>
      <c r="J149" s="13"/>
      <c r="K149" s="13"/>
      <c r="L149" s="13"/>
      <c r="M149" s="13"/>
      <c r="N149" s="13"/>
      <c r="O149" s="13"/>
      <c r="P149" s="13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5.75" customHeight="1">
      <c r="A150" s="13"/>
      <c r="B150" s="13"/>
      <c r="C150" s="13"/>
      <c r="D150" s="13"/>
      <c r="E150" s="13"/>
      <c r="F150" s="13"/>
      <c r="G150" s="13"/>
      <c r="H150" s="13"/>
      <c r="I150" s="13"/>
      <c r="J150" s="13"/>
      <c r="K150" s="13"/>
      <c r="L150" s="13"/>
      <c r="M150" s="13"/>
      <c r="N150" s="13"/>
      <c r="O150" s="13"/>
      <c r="P150" s="13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5.75" customHeight="1">
      <c r="A151" s="13"/>
      <c r="B151" s="13"/>
      <c r="C151" s="13"/>
      <c r="D151" s="13"/>
      <c r="E151" s="13"/>
      <c r="F151" s="13"/>
      <c r="G151" s="13"/>
      <c r="H151" s="13"/>
      <c r="I151" s="13"/>
      <c r="J151" s="13"/>
      <c r="K151" s="13"/>
      <c r="L151" s="13"/>
      <c r="M151" s="13"/>
      <c r="N151" s="13"/>
      <c r="O151" s="13"/>
      <c r="P151" s="13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5.75" customHeight="1">
      <c r="A152" s="13"/>
      <c r="B152" s="13"/>
      <c r="C152" s="13"/>
      <c r="D152" s="13"/>
      <c r="E152" s="13"/>
      <c r="F152" s="13"/>
      <c r="G152" s="13"/>
      <c r="H152" s="13"/>
      <c r="I152" s="13"/>
      <c r="J152" s="13"/>
      <c r="K152" s="13"/>
      <c r="L152" s="13"/>
      <c r="M152" s="13"/>
      <c r="N152" s="13"/>
      <c r="O152" s="13"/>
      <c r="P152" s="13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5.75" customHeight="1">
      <c r="A153" s="13"/>
      <c r="B153" s="13"/>
      <c r="C153" s="13"/>
      <c r="D153" s="13"/>
      <c r="E153" s="13"/>
      <c r="F153" s="13"/>
      <c r="G153" s="13"/>
      <c r="H153" s="13"/>
      <c r="I153" s="13"/>
      <c r="J153" s="13"/>
      <c r="K153" s="13"/>
      <c r="L153" s="13"/>
      <c r="M153" s="13"/>
      <c r="N153" s="13"/>
      <c r="O153" s="13"/>
      <c r="P153" s="13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5.75" customHeight="1">
      <c r="A154" s="13"/>
      <c r="B154" s="13"/>
      <c r="C154" s="13"/>
      <c r="D154" s="13"/>
      <c r="E154" s="13"/>
      <c r="F154" s="13"/>
      <c r="G154" s="13"/>
      <c r="H154" s="13"/>
      <c r="I154" s="13"/>
      <c r="J154" s="13"/>
      <c r="K154" s="13"/>
      <c r="L154" s="13"/>
      <c r="M154" s="13"/>
      <c r="N154" s="13"/>
      <c r="O154" s="13"/>
      <c r="P154" s="13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5.75" customHeight="1">
      <c r="A155" s="13"/>
      <c r="B155" s="13"/>
      <c r="C155" s="13"/>
      <c r="D155" s="13"/>
      <c r="E155" s="13"/>
      <c r="F155" s="13"/>
      <c r="G155" s="13"/>
      <c r="H155" s="13"/>
      <c r="I155" s="13"/>
      <c r="J155" s="13"/>
      <c r="K155" s="13"/>
      <c r="L155" s="13"/>
      <c r="M155" s="13"/>
      <c r="N155" s="13"/>
      <c r="O155" s="13"/>
      <c r="P155" s="13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5.75" customHeight="1">
      <c r="A156" s="13"/>
      <c r="B156" s="13"/>
      <c r="C156" s="13"/>
      <c r="D156" s="13"/>
      <c r="E156" s="13"/>
      <c r="F156" s="13"/>
      <c r="G156" s="13"/>
      <c r="H156" s="13"/>
      <c r="I156" s="13"/>
      <c r="J156" s="13"/>
      <c r="K156" s="13"/>
      <c r="L156" s="13"/>
      <c r="M156" s="13"/>
      <c r="N156" s="13"/>
      <c r="O156" s="13"/>
      <c r="P156" s="13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5.75" customHeight="1">
      <c r="A157" s="13"/>
      <c r="B157" s="13"/>
      <c r="C157" s="13"/>
      <c r="D157" s="13"/>
      <c r="E157" s="13"/>
      <c r="F157" s="13"/>
      <c r="G157" s="13"/>
      <c r="H157" s="13"/>
      <c r="I157" s="13"/>
      <c r="J157" s="13"/>
      <c r="K157" s="13"/>
      <c r="L157" s="13"/>
      <c r="M157" s="13"/>
      <c r="N157" s="13"/>
      <c r="O157" s="13"/>
      <c r="P157" s="13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5.75" customHeight="1">
      <c r="A158" s="13"/>
      <c r="B158" s="13"/>
      <c r="C158" s="13"/>
      <c r="D158" s="13"/>
      <c r="E158" s="13"/>
      <c r="F158" s="13"/>
      <c r="G158" s="13"/>
      <c r="H158" s="13"/>
      <c r="I158" s="13"/>
      <c r="J158" s="13"/>
      <c r="K158" s="13"/>
      <c r="L158" s="13"/>
      <c r="M158" s="13"/>
      <c r="N158" s="13"/>
      <c r="O158" s="13"/>
      <c r="P158" s="13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5.75" customHeight="1">
      <c r="A159" s="13"/>
      <c r="B159" s="13"/>
      <c r="C159" s="13"/>
      <c r="D159" s="13"/>
      <c r="E159" s="13"/>
      <c r="F159" s="13"/>
      <c r="G159" s="13"/>
      <c r="H159" s="13"/>
      <c r="I159" s="13"/>
      <c r="J159" s="13"/>
      <c r="K159" s="13"/>
      <c r="L159" s="13"/>
      <c r="M159" s="13"/>
      <c r="N159" s="13"/>
      <c r="O159" s="13"/>
      <c r="P159" s="13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5.75" customHeight="1">
      <c r="A160" s="13"/>
      <c r="B160" s="13"/>
      <c r="C160" s="13"/>
      <c r="D160" s="13"/>
      <c r="E160" s="13"/>
      <c r="F160" s="13"/>
      <c r="G160" s="13"/>
      <c r="H160" s="13"/>
      <c r="I160" s="13"/>
      <c r="J160" s="13"/>
      <c r="K160" s="13"/>
      <c r="L160" s="13"/>
      <c r="M160" s="13"/>
      <c r="N160" s="13"/>
      <c r="O160" s="13"/>
      <c r="P160" s="13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5.75" customHeight="1">
      <c r="A161" s="13"/>
      <c r="B161" s="13"/>
      <c r="C161" s="13"/>
      <c r="D161" s="13"/>
      <c r="E161" s="13"/>
      <c r="F161" s="13"/>
      <c r="G161" s="13"/>
      <c r="H161" s="13"/>
      <c r="I161" s="13"/>
      <c r="J161" s="13"/>
      <c r="K161" s="13"/>
      <c r="L161" s="13"/>
      <c r="M161" s="13"/>
      <c r="N161" s="13"/>
      <c r="O161" s="13"/>
      <c r="P161" s="13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5.75" customHeight="1">
      <c r="A162" s="13"/>
      <c r="B162" s="13"/>
      <c r="C162" s="13"/>
      <c r="D162" s="13"/>
      <c r="E162" s="13"/>
      <c r="F162" s="13"/>
      <c r="G162" s="13"/>
      <c r="H162" s="13"/>
      <c r="I162" s="13"/>
      <c r="J162" s="13"/>
      <c r="K162" s="13"/>
      <c r="L162" s="13"/>
      <c r="M162" s="13"/>
      <c r="N162" s="13"/>
      <c r="O162" s="13"/>
      <c r="P162" s="13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5.75" customHeight="1">
      <c r="A163" s="13"/>
      <c r="B163" s="13"/>
      <c r="C163" s="13"/>
      <c r="D163" s="13"/>
      <c r="E163" s="13"/>
      <c r="F163" s="13"/>
      <c r="G163" s="13"/>
      <c r="H163" s="13"/>
      <c r="I163" s="13"/>
      <c r="J163" s="13"/>
      <c r="K163" s="13"/>
      <c r="L163" s="13"/>
      <c r="M163" s="13"/>
      <c r="N163" s="13"/>
      <c r="O163" s="13"/>
      <c r="P163" s="13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5.75" customHeight="1">
      <c r="A164" s="13"/>
      <c r="B164" s="13"/>
      <c r="C164" s="13"/>
      <c r="D164" s="13"/>
      <c r="E164" s="13"/>
      <c r="F164" s="13"/>
      <c r="G164" s="13"/>
      <c r="H164" s="13"/>
      <c r="I164" s="13"/>
      <c r="J164" s="13"/>
      <c r="K164" s="13"/>
      <c r="L164" s="13"/>
      <c r="M164" s="13"/>
      <c r="N164" s="13"/>
      <c r="O164" s="13"/>
      <c r="P164" s="13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5.75" customHeight="1">
      <c r="A165" s="13"/>
      <c r="B165" s="13"/>
      <c r="C165" s="13"/>
      <c r="D165" s="13"/>
      <c r="E165" s="13"/>
      <c r="F165" s="13"/>
      <c r="G165" s="13"/>
      <c r="H165" s="13"/>
      <c r="I165" s="13"/>
      <c r="J165" s="13"/>
      <c r="K165" s="13"/>
      <c r="L165" s="13"/>
      <c r="M165" s="13"/>
      <c r="N165" s="13"/>
      <c r="O165" s="13"/>
      <c r="P165" s="13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5.75" customHeight="1">
      <c r="A166" s="13"/>
      <c r="B166" s="13"/>
      <c r="C166" s="13"/>
      <c r="D166" s="13"/>
      <c r="E166" s="13"/>
      <c r="F166" s="13"/>
      <c r="G166" s="13"/>
      <c r="H166" s="13"/>
      <c r="I166" s="13"/>
      <c r="J166" s="13"/>
      <c r="K166" s="13"/>
      <c r="L166" s="13"/>
      <c r="M166" s="13"/>
      <c r="N166" s="13"/>
      <c r="O166" s="13"/>
      <c r="P166" s="13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5.75" customHeight="1">
      <c r="A167" s="13"/>
      <c r="B167" s="13"/>
      <c r="C167" s="13"/>
      <c r="D167" s="13"/>
      <c r="E167" s="13"/>
      <c r="F167" s="13"/>
      <c r="G167" s="13"/>
      <c r="H167" s="13"/>
      <c r="I167" s="13"/>
      <c r="J167" s="13"/>
      <c r="K167" s="13"/>
      <c r="L167" s="13"/>
      <c r="M167" s="13"/>
      <c r="N167" s="13"/>
      <c r="O167" s="13"/>
      <c r="P167" s="13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5.75" customHeight="1">
      <c r="A168" s="13"/>
      <c r="B168" s="13"/>
      <c r="C168" s="13"/>
      <c r="D168" s="13"/>
      <c r="E168" s="13"/>
      <c r="F168" s="13"/>
      <c r="G168" s="13"/>
      <c r="H168" s="13"/>
      <c r="I168" s="13"/>
      <c r="J168" s="13"/>
      <c r="K168" s="13"/>
      <c r="L168" s="13"/>
      <c r="M168" s="13"/>
      <c r="N168" s="13"/>
      <c r="O168" s="13"/>
      <c r="P168" s="13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5.75" customHeight="1">
      <c r="A169" s="13"/>
      <c r="B169" s="13"/>
      <c r="C169" s="13"/>
      <c r="D169" s="13"/>
      <c r="E169" s="13"/>
      <c r="F169" s="13"/>
      <c r="G169" s="13"/>
      <c r="H169" s="13"/>
      <c r="I169" s="13"/>
      <c r="J169" s="13"/>
      <c r="K169" s="13"/>
      <c r="L169" s="13"/>
      <c r="M169" s="13"/>
      <c r="N169" s="13"/>
      <c r="O169" s="13"/>
      <c r="P169" s="13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5.75" customHeight="1">
      <c r="A170" s="13"/>
      <c r="B170" s="13"/>
      <c r="C170" s="13"/>
      <c r="D170" s="13"/>
      <c r="E170" s="13"/>
      <c r="F170" s="13"/>
      <c r="G170" s="13"/>
      <c r="H170" s="13"/>
      <c r="I170" s="13"/>
      <c r="J170" s="13"/>
      <c r="K170" s="13"/>
      <c r="L170" s="13"/>
      <c r="M170" s="13"/>
      <c r="N170" s="13"/>
      <c r="O170" s="13"/>
      <c r="P170" s="13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5.75" customHeight="1">
      <c r="A171" s="13"/>
      <c r="B171" s="13"/>
      <c r="C171" s="13"/>
      <c r="D171" s="13"/>
      <c r="E171" s="13"/>
      <c r="F171" s="13"/>
      <c r="G171" s="13"/>
      <c r="H171" s="13"/>
      <c r="I171" s="13"/>
      <c r="J171" s="13"/>
      <c r="K171" s="13"/>
      <c r="L171" s="13"/>
      <c r="M171" s="13"/>
      <c r="N171" s="13"/>
      <c r="O171" s="13"/>
      <c r="P171" s="13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5.75" customHeight="1">
      <c r="A172" s="13"/>
      <c r="B172" s="13"/>
      <c r="C172" s="13"/>
      <c r="D172" s="13"/>
      <c r="E172" s="13"/>
      <c r="F172" s="13"/>
      <c r="G172" s="13"/>
      <c r="H172" s="13"/>
      <c r="I172" s="13"/>
      <c r="J172" s="13"/>
      <c r="K172" s="13"/>
      <c r="L172" s="13"/>
      <c r="M172" s="13"/>
      <c r="N172" s="13"/>
      <c r="O172" s="13"/>
      <c r="P172" s="13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5.75" customHeight="1">
      <c r="A173" s="13"/>
      <c r="B173" s="13"/>
      <c r="C173" s="13"/>
      <c r="D173" s="13"/>
      <c r="E173" s="13"/>
      <c r="F173" s="13"/>
      <c r="G173" s="13"/>
      <c r="H173" s="13"/>
      <c r="I173" s="13"/>
      <c r="J173" s="13"/>
      <c r="K173" s="13"/>
      <c r="L173" s="13"/>
      <c r="M173" s="13"/>
      <c r="N173" s="13"/>
      <c r="O173" s="13"/>
      <c r="P173" s="13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5.75" customHeight="1">
      <c r="A174" s="13"/>
      <c r="B174" s="13"/>
      <c r="C174" s="13"/>
      <c r="D174" s="13"/>
      <c r="E174" s="13"/>
      <c r="F174" s="13"/>
      <c r="G174" s="13"/>
      <c r="H174" s="13"/>
      <c r="I174" s="13"/>
      <c r="J174" s="13"/>
      <c r="K174" s="13"/>
      <c r="L174" s="13"/>
      <c r="M174" s="13"/>
      <c r="N174" s="13"/>
      <c r="O174" s="13"/>
      <c r="P174" s="13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5.75" customHeight="1">
      <c r="A175" s="13"/>
      <c r="B175" s="13"/>
      <c r="C175" s="13"/>
      <c r="D175" s="13"/>
      <c r="E175" s="13"/>
      <c r="F175" s="13"/>
      <c r="G175" s="13"/>
      <c r="H175" s="13"/>
      <c r="I175" s="13"/>
      <c r="J175" s="13"/>
      <c r="K175" s="13"/>
      <c r="L175" s="13"/>
      <c r="M175" s="13"/>
      <c r="N175" s="13"/>
      <c r="O175" s="13"/>
      <c r="P175" s="13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5.75" customHeight="1">
      <c r="A176" s="13"/>
      <c r="B176" s="13"/>
      <c r="C176" s="13"/>
      <c r="D176" s="13"/>
      <c r="E176" s="13"/>
      <c r="F176" s="13"/>
      <c r="G176" s="13"/>
      <c r="H176" s="13"/>
      <c r="I176" s="13"/>
      <c r="J176" s="13"/>
      <c r="K176" s="13"/>
      <c r="L176" s="13"/>
      <c r="M176" s="13"/>
      <c r="N176" s="13"/>
      <c r="O176" s="13"/>
      <c r="P176" s="13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5.75" customHeight="1">
      <c r="A177" s="13"/>
      <c r="B177" s="13"/>
      <c r="C177" s="13"/>
      <c r="D177" s="13"/>
      <c r="E177" s="13"/>
      <c r="F177" s="13"/>
      <c r="G177" s="13"/>
      <c r="H177" s="13"/>
      <c r="I177" s="13"/>
      <c r="J177" s="13"/>
      <c r="K177" s="13"/>
      <c r="L177" s="13"/>
      <c r="M177" s="13"/>
      <c r="N177" s="13"/>
      <c r="O177" s="13"/>
      <c r="P177" s="13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5.75" customHeight="1">
      <c r="A178" s="13"/>
      <c r="B178" s="13"/>
      <c r="C178" s="13"/>
      <c r="D178" s="13"/>
      <c r="E178" s="13"/>
      <c r="F178" s="13"/>
      <c r="G178" s="13"/>
      <c r="H178" s="13"/>
      <c r="I178" s="13"/>
      <c r="J178" s="13"/>
      <c r="K178" s="13"/>
      <c r="L178" s="13"/>
      <c r="M178" s="13"/>
      <c r="N178" s="13"/>
      <c r="O178" s="13"/>
      <c r="P178" s="13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5.75" customHeight="1">
      <c r="A179" s="13"/>
      <c r="B179" s="13"/>
      <c r="C179" s="13"/>
      <c r="D179" s="13"/>
      <c r="E179" s="13"/>
      <c r="F179" s="13"/>
      <c r="G179" s="13"/>
      <c r="H179" s="13"/>
      <c r="I179" s="13"/>
      <c r="J179" s="13"/>
      <c r="K179" s="13"/>
      <c r="L179" s="13"/>
      <c r="M179" s="13"/>
      <c r="N179" s="13"/>
      <c r="O179" s="13"/>
      <c r="P179" s="13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5.75" customHeight="1">
      <c r="A180" s="13"/>
      <c r="B180" s="13"/>
      <c r="C180" s="13"/>
      <c r="D180" s="13"/>
      <c r="E180" s="13"/>
      <c r="F180" s="13"/>
      <c r="G180" s="13"/>
      <c r="H180" s="13"/>
      <c r="I180" s="13"/>
      <c r="J180" s="13"/>
      <c r="K180" s="13"/>
      <c r="L180" s="13"/>
      <c r="M180" s="13"/>
      <c r="N180" s="13"/>
      <c r="O180" s="13"/>
      <c r="P180" s="13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5.75" customHeight="1">
      <c r="A181" s="13"/>
      <c r="B181" s="13"/>
      <c r="C181" s="13"/>
      <c r="D181" s="13"/>
      <c r="E181" s="13"/>
      <c r="F181" s="13"/>
      <c r="G181" s="13"/>
      <c r="H181" s="13"/>
      <c r="I181" s="13"/>
      <c r="J181" s="13"/>
      <c r="K181" s="13"/>
      <c r="L181" s="13"/>
      <c r="M181" s="13"/>
      <c r="N181" s="13"/>
      <c r="O181" s="13"/>
      <c r="P181" s="13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5.75" customHeight="1">
      <c r="A182" s="13"/>
      <c r="B182" s="13"/>
      <c r="C182" s="13"/>
      <c r="D182" s="13"/>
      <c r="E182" s="13"/>
      <c r="F182" s="13"/>
      <c r="G182" s="13"/>
      <c r="H182" s="13"/>
      <c r="I182" s="13"/>
      <c r="J182" s="13"/>
      <c r="K182" s="13"/>
      <c r="L182" s="13"/>
      <c r="M182" s="13"/>
      <c r="N182" s="13"/>
      <c r="O182" s="13"/>
      <c r="P182" s="13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5.75" customHeight="1">
      <c r="A183" s="13"/>
      <c r="B183" s="13"/>
      <c r="C183" s="13"/>
      <c r="D183" s="13"/>
      <c r="E183" s="13"/>
      <c r="F183" s="13"/>
      <c r="G183" s="13"/>
      <c r="H183" s="13"/>
      <c r="I183" s="13"/>
      <c r="J183" s="13"/>
      <c r="K183" s="13"/>
      <c r="L183" s="13"/>
      <c r="M183" s="13"/>
      <c r="N183" s="13"/>
      <c r="O183" s="13"/>
      <c r="P183" s="13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5.75" customHeight="1">
      <c r="A184" s="13"/>
      <c r="B184" s="13"/>
      <c r="C184" s="13"/>
      <c r="D184" s="13"/>
      <c r="E184" s="13"/>
      <c r="F184" s="13"/>
      <c r="G184" s="13"/>
      <c r="H184" s="13"/>
      <c r="I184" s="13"/>
      <c r="J184" s="13"/>
      <c r="K184" s="13"/>
      <c r="L184" s="13"/>
      <c r="M184" s="13"/>
      <c r="N184" s="13"/>
      <c r="O184" s="13"/>
      <c r="P184" s="13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5.75" customHeight="1">
      <c r="A185" s="13"/>
      <c r="B185" s="13"/>
      <c r="C185" s="13"/>
      <c r="D185" s="13"/>
      <c r="E185" s="13"/>
      <c r="F185" s="13"/>
      <c r="G185" s="13"/>
      <c r="H185" s="13"/>
      <c r="I185" s="13"/>
      <c r="J185" s="13"/>
      <c r="K185" s="13"/>
      <c r="L185" s="13"/>
      <c r="M185" s="13"/>
      <c r="N185" s="13"/>
      <c r="O185" s="13"/>
      <c r="P185" s="13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5.75" customHeight="1">
      <c r="A186" s="13"/>
      <c r="B186" s="13"/>
      <c r="C186" s="13"/>
      <c r="D186" s="13"/>
      <c r="E186" s="13"/>
      <c r="F186" s="13"/>
      <c r="G186" s="13"/>
      <c r="H186" s="13"/>
      <c r="I186" s="13"/>
      <c r="J186" s="13"/>
      <c r="K186" s="13"/>
      <c r="L186" s="13"/>
      <c r="M186" s="13"/>
      <c r="N186" s="13"/>
      <c r="O186" s="13"/>
      <c r="P186" s="13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5.75" customHeight="1">
      <c r="A187" s="13"/>
      <c r="B187" s="13"/>
      <c r="C187" s="13"/>
      <c r="D187" s="13"/>
      <c r="E187" s="13"/>
      <c r="F187" s="13"/>
      <c r="G187" s="13"/>
      <c r="H187" s="13"/>
      <c r="I187" s="13"/>
      <c r="J187" s="13"/>
      <c r="K187" s="13"/>
      <c r="L187" s="13"/>
      <c r="M187" s="13"/>
      <c r="N187" s="13"/>
      <c r="O187" s="13"/>
      <c r="P187" s="13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5.75" customHeight="1">
      <c r="A188" s="13"/>
      <c r="B188" s="13"/>
      <c r="C188" s="13"/>
      <c r="D188" s="13"/>
      <c r="E188" s="13"/>
      <c r="F188" s="13"/>
      <c r="G188" s="13"/>
      <c r="H188" s="13"/>
      <c r="I188" s="13"/>
      <c r="J188" s="13"/>
      <c r="K188" s="13"/>
      <c r="L188" s="13"/>
      <c r="M188" s="13"/>
      <c r="N188" s="13"/>
      <c r="O188" s="13"/>
      <c r="P188" s="13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5.75" customHeight="1">
      <c r="A189" s="13"/>
      <c r="B189" s="13"/>
      <c r="C189" s="13"/>
      <c r="D189" s="13"/>
      <c r="E189" s="13"/>
      <c r="F189" s="13"/>
      <c r="G189" s="13"/>
      <c r="H189" s="13"/>
      <c r="I189" s="13"/>
      <c r="J189" s="13"/>
      <c r="K189" s="13"/>
      <c r="L189" s="13"/>
      <c r="M189" s="13"/>
      <c r="N189" s="13"/>
      <c r="O189" s="13"/>
      <c r="P189" s="13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5.75" customHeight="1">
      <c r="A190" s="13"/>
      <c r="B190" s="13"/>
      <c r="C190" s="13"/>
      <c r="D190" s="13"/>
      <c r="E190" s="13"/>
      <c r="F190" s="13"/>
      <c r="G190" s="13"/>
      <c r="H190" s="13"/>
      <c r="I190" s="13"/>
      <c r="J190" s="13"/>
      <c r="K190" s="13"/>
      <c r="L190" s="13"/>
      <c r="M190" s="13"/>
      <c r="N190" s="13"/>
      <c r="O190" s="13"/>
      <c r="P190" s="13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5.75" customHeight="1">
      <c r="A191" s="13"/>
      <c r="B191" s="13"/>
      <c r="C191" s="13"/>
      <c r="D191" s="13"/>
      <c r="E191" s="13"/>
      <c r="F191" s="13"/>
      <c r="G191" s="13"/>
      <c r="H191" s="13"/>
      <c r="I191" s="13"/>
      <c r="J191" s="13"/>
      <c r="K191" s="13"/>
      <c r="L191" s="13"/>
      <c r="M191" s="13"/>
      <c r="N191" s="13"/>
      <c r="O191" s="13"/>
      <c r="P191" s="13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5.75" customHeight="1">
      <c r="A192" s="13"/>
      <c r="B192" s="13"/>
      <c r="C192" s="13"/>
      <c r="D192" s="13"/>
      <c r="E192" s="13"/>
      <c r="F192" s="13"/>
      <c r="G192" s="13"/>
      <c r="H192" s="13"/>
      <c r="I192" s="13"/>
      <c r="J192" s="13"/>
      <c r="K192" s="13"/>
      <c r="L192" s="13"/>
      <c r="M192" s="13"/>
      <c r="N192" s="13"/>
      <c r="O192" s="13"/>
      <c r="P192" s="13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5.75" customHeight="1">
      <c r="A193" s="13"/>
      <c r="B193" s="13"/>
      <c r="C193" s="13"/>
      <c r="D193" s="13"/>
      <c r="E193" s="13"/>
      <c r="F193" s="13"/>
      <c r="G193" s="13"/>
      <c r="H193" s="13"/>
      <c r="I193" s="13"/>
      <c r="J193" s="13"/>
      <c r="K193" s="13"/>
      <c r="L193" s="13"/>
      <c r="M193" s="13"/>
      <c r="N193" s="13"/>
      <c r="O193" s="13"/>
      <c r="P193" s="13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5.75" customHeight="1">
      <c r="A194" s="13"/>
      <c r="B194" s="13"/>
      <c r="C194" s="13"/>
      <c r="D194" s="13"/>
      <c r="E194" s="13"/>
      <c r="F194" s="13"/>
      <c r="G194" s="13"/>
      <c r="H194" s="13"/>
      <c r="I194" s="13"/>
      <c r="J194" s="13"/>
      <c r="K194" s="13"/>
      <c r="L194" s="13"/>
      <c r="M194" s="13"/>
      <c r="N194" s="13"/>
      <c r="O194" s="13"/>
      <c r="P194" s="13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5.75" customHeight="1">
      <c r="A195" s="13"/>
      <c r="B195" s="13"/>
      <c r="C195" s="13"/>
      <c r="D195" s="13"/>
      <c r="E195" s="13"/>
      <c r="F195" s="13"/>
      <c r="G195" s="13"/>
      <c r="H195" s="13"/>
      <c r="I195" s="13"/>
      <c r="J195" s="13"/>
      <c r="K195" s="13"/>
      <c r="L195" s="13"/>
      <c r="M195" s="13"/>
      <c r="N195" s="13"/>
      <c r="O195" s="13"/>
      <c r="P195" s="13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5.75" customHeight="1">
      <c r="A196" s="13"/>
      <c r="B196" s="13"/>
      <c r="C196" s="13"/>
      <c r="D196" s="13"/>
      <c r="E196" s="13"/>
      <c r="F196" s="13"/>
      <c r="G196" s="13"/>
      <c r="H196" s="13"/>
      <c r="I196" s="13"/>
      <c r="J196" s="13"/>
      <c r="K196" s="13"/>
      <c r="L196" s="13"/>
      <c r="M196" s="13"/>
      <c r="N196" s="13"/>
      <c r="O196" s="13"/>
      <c r="P196" s="13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5.75" customHeight="1">
      <c r="A197" s="13"/>
      <c r="B197" s="13"/>
      <c r="C197" s="13"/>
      <c r="D197" s="13"/>
      <c r="E197" s="13"/>
      <c r="F197" s="13"/>
      <c r="G197" s="13"/>
      <c r="H197" s="13"/>
      <c r="I197" s="13"/>
      <c r="J197" s="13"/>
      <c r="K197" s="13"/>
      <c r="L197" s="13"/>
      <c r="M197" s="13"/>
      <c r="N197" s="13"/>
      <c r="O197" s="13"/>
      <c r="P197" s="13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5.75" customHeight="1">
      <c r="A198" s="13"/>
      <c r="B198" s="13"/>
      <c r="C198" s="13"/>
      <c r="D198" s="13"/>
      <c r="E198" s="13"/>
      <c r="F198" s="13"/>
      <c r="G198" s="13"/>
      <c r="H198" s="13"/>
      <c r="I198" s="13"/>
      <c r="J198" s="13"/>
      <c r="K198" s="13"/>
      <c r="L198" s="13"/>
      <c r="M198" s="13"/>
      <c r="N198" s="13"/>
      <c r="O198" s="13"/>
      <c r="P198" s="13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5.75" customHeight="1">
      <c r="A199" s="13"/>
      <c r="B199" s="13"/>
      <c r="C199" s="13"/>
      <c r="D199" s="13"/>
      <c r="E199" s="13"/>
      <c r="F199" s="13"/>
      <c r="G199" s="13"/>
      <c r="H199" s="13"/>
      <c r="I199" s="13"/>
      <c r="J199" s="13"/>
      <c r="K199" s="13"/>
      <c r="L199" s="13"/>
      <c r="M199" s="13"/>
      <c r="N199" s="13"/>
      <c r="O199" s="13"/>
      <c r="P199" s="13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5.75" customHeight="1">
      <c r="A200" s="13"/>
      <c r="B200" s="13"/>
      <c r="C200" s="13"/>
      <c r="D200" s="13"/>
      <c r="E200" s="13"/>
      <c r="F200" s="13"/>
      <c r="G200" s="13"/>
      <c r="H200" s="13"/>
      <c r="I200" s="13"/>
      <c r="J200" s="13"/>
      <c r="K200" s="13"/>
      <c r="L200" s="13"/>
      <c r="M200" s="13"/>
      <c r="N200" s="13"/>
      <c r="O200" s="13"/>
      <c r="P200" s="13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5.75" customHeight="1">
      <c r="A201" s="13"/>
      <c r="B201" s="13"/>
      <c r="C201" s="13"/>
      <c r="D201" s="13"/>
      <c r="E201" s="13"/>
      <c r="F201" s="13"/>
      <c r="G201" s="13"/>
      <c r="H201" s="13"/>
      <c r="I201" s="13"/>
      <c r="J201" s="13"/>
      <c r="K201" s="13"/>
      <c r="L201" s="13"/>
      <c r="M201" s="13"/>
      <c r="N201" s="13"/>
      <c r="O201" s="13"/>
      <c r="P201" s="13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5.75" customHeight="1">
      <c r="A202" s="13"/>
      <c r="B202" s="13"/>
      <c r="C202" s="13"/>
      <c r="D202" s="13"/>
      <c r="E202" s="13"/>
      <c r="F202" s="13"/>
      <c r="G202" s="13"/>
      <c r="H202" s="13"/>
      <c r="I202" s="13"/>
      <c r="J202" s="13"/>
      <c r="K202" s="13"/>
      <c r="L202" s="13"/>
      <c r="M202" s="13"/>
      <c r="N202" s="13"/>
      <c r="O202" s="13"/>
      <c r="P202" s="13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5.75" customHeight="1">
      <c r="A203" s="13"/>
      <c r="B203" s="13"/>
      <c r="C203" s="13"/>
      <c r="D203" s="13"/>
      <c r="E203" s="13"/>
      <c r="F203" s="13"/>
      <c r="G203" s="13"/>
      <c r="H203" s="13"/>
      <c r="I203" s="13"/>
      <c r="J203" s="13"/>
      <c r="K203" s="13"/>
      <c r="L203" s="13"/>
      <c r="M203" s="13"/>
      <c r="N203" s="13"/>
      <c r="O203" s="13"/>
      <c r="P203" s="13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5.75" customHeight="1">
      <c r="A204" s="13"/>
      <c r="B204" s="13"/>
      <c r="C204" s="13"/>
      <c r="D204" s="13"/>
      <c r="E204" s="13"/>
      <c r="F204" s="13"/>
      <c r="G204" s="13"/>
      <c r="H204" s="13"/>
      <c r="I204" s="13"/>
      <c r="J204" s="13"/>
      <c r="K204" s="13"/>
      <c r="L204" s="13"/>
      <c r="M204" s="13"/>
      <c r="N204" s="13"/>
      <c r="O204" s="13"/>
      <c r="P204" s="13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5.75" customHeight="1">
      <c r="A205" s="13"/>
      <c r="B205" s="13"/>
      <c r="C205" s="13"/>
      <c r="D205" s="13"/>
      <c r="E205" s="13"/>
      <c r="F205" s="13"/>
      <c r="G205" s="13"/>
      <c r="H205" s="13"/>
      <c r="I205" s="13"/>
      <c r="J205" s="13"/>
      <c r="K205" s="13"/>
      <c r="L205" s="13"/>
      <c r="M205" s="13"/>
      <c r="N205" s="13"/>
      <c r="O205" s="13"/>
      <c r="P205" s="13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5.75" customHeight="1">
      <c r="A206" s="13"/>
      <c r="B206" s="13"/>
      <c r="C206" s="13"/>
      <c r="D206" s="13"/>
      <c r="E206" s="13"/>
      <c r="F206" s="13"/>
      <c r="G206" s="13"/>
      <c r="H206" s="13"/>
      <c r="I206" s="13"/>
      <c r="J206" s="13"/>
      <c r="K206" s="13"/>
      <c r="L206" s="13"/>
      <c r="M206" s="13"/>
      <c r="N206" s="13"/>
      <c r="O206" s="13"/>
      <c r="P206" s="13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5.75" customHeight="1">
      <c r="A207" s="13"/>
      <c r="B207" s="13"/>
      <c r="C207" s="13"/>
      <c r="D207" s="13"/>
      <c r="E207" s="13"/>
      <c r="F207" s="13"/>
      <c r="G207" s="13"/>
      <c r="H207" s="13"/>
      <c r="I207" s="13"/>
      <c r="J207" s="13"/>
      <c r="K207" s="13"/>
      <c r="L207" s="13"/>
      <c r="M207" s="13"/>
      <c r="N207" s="13"/>
      <c r="O207" s="13"/>
      <c r="P207" s="13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5.75" customHeight="1">
      <c r="A208" s="13"/>
      <c r="B208" s="13"/>
      <c r="C208" s="13"/>
      <c r="D208" s="13"/>
      <c r="E208" s="13"/>
      <c r="F208" s="13"/>
      <c r="G208" s="13"/>
      <c r="H208" s="13"/>
      <c r="I208" s="13"/>
      <c r="J208" s="13"/>
      <c r="K208" s="13"/>
      <c r="L208" s="13"/>
      <c r="M208" s="13"/>
      <c r="N208" s="13"/>
      <c r="O208" s="13"/>
      <c r="P208" s="13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5.75" customHeight="1">
      <c r="A209" s="13"/>
      <c r="B209" s="13"/>
      <c r="C209" s="13"/>
      <c r="D209" s="13"/>
      <c r="E209" s="13"/>
      <c r="F209" s="13"/>
      <c r="G209" s="13"/>
      <c r="H209" s="13"/>
      <c r="I209" s="13"/>
      <c r="J209" s="13"/>
      <c r="K209" s="13"/>
      <c r="L209" s="13"/>
      <c r="M209" s="13"/>
      <c r="N209" s="13"/>
      <c r="O209" s="13"/>
      <c r="P209" s="13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5.75" customHeight="1">
      <c r="A210" s="13"/>
      <c r="B210" s="13"/>
      <c r="C210" s="13"/>
      <c r="D210" s="13"/>
      <c r="E210" s="13"/>
      <c r="F210" s="13"/>
      <c r="G210" s="13"/>
      <c r="H210" s="13"/>
      <c r="I210" s="13"/>
      <c r="J210" s="13"/>
      <c r="K210" s="13"/>
      <c r="L210" s="13"/>
      <c r="M210" s="13"/>
      <c r="N210" s="13"/>
      <c r="O210" s="13"/>
      <c r="P210" s="13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5.75" customHeight="1">
      <c r="A211" s="13"/>
      <c r="B211" s="13"/>
      <c r="C211" s="13"/>
      <c r="D211" s="13"/>
      <c r="E211" s="13"/>
      <c r="F211" s="13"/>
      <c r="G211" s="13"/>
      <c r="H211" s="13"/>
      <c r="I211" s="13"/>
      <c r="J211" s="13"/>
      <c r="K211" s="13"/>
      <c r="L211" s="13"/>
      <c r="M211" s="13"/>
      <c r="N211" s="13"/>
      <c r="O211" s="13"/>
      <c r="P211" s="13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5.75" customHeight="1">
      <c r="A212" s="13"/>
      <c r="B212" s="13"/>
      <c r="C212" s="13"/>
      <c r="D212" s="13"/>
      <c r="E212" s="13"/>
      <c r="F212" s="13"/>
      <c r="G212" s="13"/>
      <c r="H212" s="13"/>
      <c r="I212" s="13"/>
      <c r="J212" s="13"/>
      <c r="K212" s="13"/>
      <c r="L212" s="13"/>
      <c r="M212" s="13"/>
      <c r="N212" s="13"/>
      <c r="O212" s="13"/>
      <c r="P212" s="13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5.75" customHeight="1">
      <c r="A213" s="13"/>
      <c r="B213" s="13"/>
      <c r="C213" s="13"/>
      <c r="D213" s="13"/>
      <c r="E213" s="13"/>
      <c r="F213" s="13"/>
      <c r="G213" s="13"/>
      <c r="H213" s="13"/>
      <c r="I213" s="13"/>
      <c r="J213" s="13"/>
      <c r="K213" s="13"/>
      <c r="L213" s="13"/>
      <c r="M213" s="13"/>
      <c r="N213" s="13"/>
      <c r="O213" s="13"/>
      <c r="P213" s="13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5.75" customHeight="1">
      <c r="A214" s="13"/>
      <c r="B214" s="13"/>
      <c r="C214" s="13"/>
      <c r="D214" s="13"/>
      <c r="E214" s="13"/>
      <c r="F214" s="13"/>
      <c r="G214" s="13"/>
      <c r="H214" s="13"/>
      <c r="I214" s="13"/>
      <c r="J214" s="13"/>
      <c r="K214" s="13"/>
      <c r="L214" s="13"/>
      <c r="M214" s="13"/>
      <c r="N214" s="13"/>
      <c r="O214" s="13"/>
      <c r="P214" s="13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5.75" customHeight="1">
      <c r="A215" s="13"/>
      <c r="B215" s="13"/>
      <c r="C215" s="13"/>
      <c r="D215" s="13"/>
      <c r="E215" s="13"/>
      <c r="F215" s="13"/>
      <c r="G215" s="13"/>
      <c r="H215" s="13"/>
      <c r="I215" s="13"/>
      <c r="J215" s="13"/>
      <c r="K215" s="13"/>
      <c r="L215" s="13"/>
      <c r="M215" s="13"/>
      <c r="N215" s="13"/>
      <c r="O215" s="13"/>
      <c r="P215" s="13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5.75" customHeight="1">
      <c r="A216" s="13"/>
      <c r="B216" s="13"/>
      <c r="C216" s="13"/>
      <c r="D216" s="13"/>
      <c r="E216" s="13"/>
      <c r="F216" s="13"/>
      <c r="G216" s="13"/>
      <c r="H216" s="13"/>
      <c r="I216" s="13"/>
      <c r="J216" s="13"/>
      <c r="K216" s="13"/>
      <c r="L216" s="13"/>
      <c r="M216" s="13"/>
      <c r="N216" s="13"/>
      <c r="O216" s="13"/>
      <c r="P216" s="13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5.75" customHeight="1">
      <c r="A217" s="13"/>
      <c r="B217" s="13"/>
      <c r="C217" s="13"/>
      <c r="D217" s="13"/>
      <c r="E217" s="13"/>
      <c r="F217" s="13"/>
      <c r="G217" s="13"/>
      <c r="H217" s="13"/>
      <c r="I217" s="13"/>
      <c r="J217" s="13"/>
      <c r="K217" s="13"/>
      <c r="L217" s="13"/>
      <c r="M217" s="13"/>
      <c r="N217" s="13"/>
      <c r="O217" s="13"/>
      <c r="P217" s="13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5.75" customHeight="1">
      <c r="A218" s="13"/>
      <c r="B218" s="13"/>
      <c r="C218" s="13"/>
      <c r="D218" s="13"/>
      <c r="E218" s="13"/>
      <c r="F218" s="13"/>
      <c r="G218" s="13"/>
      <c r="H218" s="13"/>
      <c r="I218" s="13"/>
      <c r="J218" s="13"/>
      <c r="K218" s="13"/>
      <c r="L218" s="13"/>
      <c r="M218" s="13"/>
      <c r="N218" s="13"/>
      <c r="O218" s="13"/>
      <c r="P218" s="13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5.75" customHeight="1">
      <c r="A219" s="13"/>
      <c r="B219" s="13"/>
      <c r="C219" s="13"/>
      <c r="D219" s="13"/>
      <c r="E219" s="13"/>
      <c r="F219" s="13"/>
      <c r="G219" s="13"/>
      <c r="H219" s="13"/>
      <c r="I219" s="13"/>
      <c r="J219" s="13"/>
      <c r="K219" s="13"/>
      <c r="L219" s="13"/>
      <c r="M219" s="13"/>
      <c r="N219" s="13"/>
      <c r="O219" s="13"/>
      <c r="P219" s="13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5.75" customHeight="1">
      <c r="A220" s="13"/>
      <c r="B220" s="13"/>
      <c r="C220" s="13"/>
      <c r="D220" s="13"/>
      <c r="E220" s="13"/>
      <c r="F220" s="13"/>
      <c r="G220" s="13"/>
      <c r="H220" s="13"/>
      <c r="I220" s="13"/>
      <c r="J220" s="13"/>
      <c r="K220" s="13"/>
      <c r="L220" s="13"/>
      <c r="M220" s="13"/>
      <c r="N220" s="13"/>
      <c r="O220" s="13"/>
      <c r="P220" s="13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5.75" customHeight="1">
      <c r="A221" s="13"/>
      <c r="B221" s="13"/>
      <c r="C221" s="13"/>
      <c r="D221" s="13"/>
      <c r="E221" s="13"/>
      <c r="F221" s="13"/>
      <c r="G221" s="13"/>
      <c r="H221" s="13"/>
      <c r="I221" s="13"/>
      <c r="J221" s="13"/>
      <c r="K221" s="13"/>
      <c r="L221" s="13"/>
      <c r="M221" s="13"/>
      <c r="N221" s="13"/>
      <c r="O221" s="13"/>
      <c r="P221" s="13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5.75" customHeight="1">
      <c r="A222" s="13"/>
      <c r="B222" s="13"/>
      <c r="C222" s="13"/>
      <c r="D222" s="13"/>
      <c r="E222" s="13"/>
      <c r="F222" s="13"/>
      <c r="G222" s="13"/>
      <c r="H222" s="13"/>
      <c r="I222" s="13"/>
      <c r="J222" s="13"/>
      <c r="K222" s="13"/>
      <c r="L222" s="13"/>
      <c r="M222" s="13"/>
      <c r="N222" s="13"/>
      <c r="O222" s="13"/>
      <c r="P222" s="13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5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5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5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5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5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5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5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5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5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5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5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5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5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5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5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5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5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5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5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5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5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5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5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5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5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5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5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5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5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5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5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5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5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5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5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5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5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5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5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5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5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5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5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5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5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15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15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15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15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15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15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15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15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15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15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15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15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15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15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15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15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15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15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15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15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15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15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15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15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15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15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15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15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15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15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15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15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15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15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15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15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15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15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15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15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15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15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15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15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15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15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15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15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15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15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15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15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15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15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15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15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B1:D2"/>
    <mergeCell ref="E1:F2"/>
  </mergeCells>
  <dataValidations>
    <dataValidation type="list" allowBlank="1" showErrorMessage="1" sqref="G4:P123">
      <formula1>"선택,완료"</formula1>
    </dataValidation>
  </dataValidations>
  <hyperlinks>
    <hyperlink r:id="rId1" ref="D5"/>
    <hyperlink r:id="rId2" ref="D22"/>
    <hyperlink r:id="rId3" ref="D23"/>
    <hyperlink r:id="rId4" ref="D27"/>
    <hyperlink r:id="rId5" ref="D44"/>
    <hyperlink r:id="rId6" ref="D50"/>
    <hyperlink r:id="rId7" ref="D51"/>
    <hyperlink r:id="rId8" ref="D55"/>
    <hyperlink r:id="rId9" ref="D64"/>
    <hyperlink r:id="rId10" ref="D69"/>
    <hyperlink r:id="rId11" ref="D86"/>
    <hyperlink r:id="rId12" ref="D98"/>
  </hyperlinks>
  <drawing r:id="rId13"/>
  <tableParts count="1">
    <tablePart r:id="rId15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0"/>
  <cols>
    <col customWidth="1" min="1" max="1" width="6.13"/>
    <col customWidth="1" min="2" max="2" width="4.88"/>
    <col customWidth="1" min="3" max="3" width="18.63"/>
    <col customWidth="1" min="4" max="4" width="21.13"/>
    <col customWidth="1" min="5" max="6" width="12.63"/>
    <col customWidth="1" hidden="1" min="7" max="7" width="12.63"/>
  </cols>
  <sheetData>
    <row r="1" ht="15.75" customHeight="1">
      <c r="A1" s="59"/>
      <c r="B1" s="60" t="s">
        <v>0</v>
      </c>
      <c r="E1" s="3" t="s">
        <v>1</v>
      </c>
      <c r="G1" s="5"/>
      <c r="H1" s="5" t="s">
        <v>190</v>
      </c>
      <c r="I1" s="5" t="s">
        <v>191</v>
      </c>
      <c r="J1" s="5" t="s">
        <v>192</v>
      </c>
      <c r="K1" s="5" t="s">
        <v>193</v>
      </c>
      <c r="L1" s="5" t="s">
        <v>194</v>
      </c>
      <c r="M1" s="5" t="s">
        <v>195</v>
      </c>
      <c r="N1" s="5" t="s">
        <v>196</v>
      </c>
      <c r="O1" s="5" t="s">
        <v>197</v>
      </c>
    </row>
    <row r="2" ht="15.75" customHeight="1">
      <c r="A2" s="61"/>
      <c r="G2" s="7"/>
      <c r="H2" s="7" t="s">
        <v>198</v>
      </c>
      <c r="I2" s="7" t="s">
        <v>199</v>
      </c>
      <c r="J2" s="7" t="s">
        <v>200</v>
      </c>
      <c r="K2" s="7" t="s">
        <v>201</v>
      </c>
      <c r="L2" s="7" t="s">
        <v>202</v>
      </c>
      <c r="M2" s="7" t="s">
        <v>203</v>
      </c>
      <c r="N2" s="7" t="s">
        <v>204</v>
      </c>
      <c r="O2" s="5" t="s">
        <v>205</v>
      </c>
    </row>
    <row r="3" ht="15.75" customHeight="1">
      <c r="A3" s="1"/>
      <c r="B3" s="1"/>
      <c r="C3" s="1"/>
      <c r="D3" s="1"/>
      <c r="E3" s="8"/>
      <c r="F3" s="8"/>
      <c r="G3" s="10"/>
      <c r="H3" s="10" t="str">
        <f t="shared" ref="H3:N3" si="1">COUNTIF(H35:H200, "완료") &amp; "명 완료"
</f>
        <v>19명 완료</v>
      </c>
      <c r="I3" s="10" t="str">
        <f t="shared" si="1"/>
        <v>18명 완료</v>
      </c>
      <c r="J3" s="10" t="str">
        <f t="shared" si="1"/>
        <v>18명 완료</v>
      </c>
      <c r="K3" s="10" t="str">
        <f t="shared" si="1"/>
        <v>19명 완료</v>
      </c>
      <c r="L3" s="10" t="str">
        <f t="shared" si="1"/>
        <v>19명 완료</v>
      </c>
      <c r="M3" s="10" t="str">
        <f t="shared" si="1"/>
        <v>17명 완료</v>
      </c>
      <c r="N3" s="10" t="str">
        <f t="shared" si="1"/>
        <v>19명 완료</v>
      </c>
      <c r="O3" s="11" t="str">
        <f>COUNTIF(N35:N200, "완료") &amp; "명 완료"
</f>
        <v>19명 완료</v>
      </c>
    </row>
    <row r="4" ht="15.75" customHeight="1">
      <c r="A4" s="62"/>
      <c r="B4" s="63" t="s">
        <v>20</v>
      </c>
      <c r="C4" s="64" t="s">
        <v>21</v>
      </c>
      <c r="D4" s="64" t="s">
        <v>22</v>
      </c>
      <c r="E4" s="65" t="s">
        <v>23</v>
      </c>
      <c r="F4" s="65" t="s">
        <v>24</v>
      </c>
      <c r="G4" s="66"/>
      <c r="H4" s="66" t="s">
        <v>25</v>
      </c>
      <c r="I4" s="66" t="s">
        <v>25</v>
      </c>
      <c r="J4" s="66" t="s">
        <v>25</v>
      </c>
      <c r="K4" s="66" t="s">
        <v>25</v>
      </c>
      <c r="L4" s="66" t="s">
        <v>25</v>
      </c>
      <c r="M4" s="66" t="s">
        <v>25</v>
      </c>
      <c r="N4" s="66" t="s">
        <v>25</v>
      </c>
      <c r="O4" s="67" t="s">
        <v>25</v>
      </c>
    </row>
    <row r="5" ht="15.75" customHeight="1">
      <c r="A5" s="68"/>
      <c r="B5" s="21">
        <v>1.0</v>
      </c>
      <c r="C5" s="22" t="s">
        <v>26</v>
      </c>
      <c r="D5" s="69" t="s">
        <v>27</v>
      </c>
      <c r="E5" s="70" t="str">
        <f t="shared" ref="E5:E64" si="2">IF(COUNTIF(G5:N5, "완료")=0, "", COUNTIF($G$4:$N$4, "완료") &amp; "번 중 " &amp; COUNTIF(G5:N5, "완료") &amp; "번 참여")
</f>
        <v>7번 중 7번 참여</v>
      </c>
      <c r="F5" s="71">
        <f t="shared" ref="F5:F64" si="3">IF(COUNTIF($G$4:$N$4, "완료")=0, "", IF(COUNTIF(G5:N5, "완료")=0, "", COUNTIF(G5:N5, "완료") / COUNTIF($G$4:$N$4, "완료")))
</f>
        <v>1</v>
      </c>
      <c r="G5" s="26"/>
      <c r="H5" s="26" t="s">
        <v>25</v>
      </c>
      <c r="I5" s="26" t="s">
        <v>25</v>
      </c>
      <c r="J5" s="26" t="s">
        <v>25</v>
      </c>
      <c r="K5" s="26" t="s">
        <v>25</v>
      </c>
      <c r="L5" s="26" t="s">
        <v>25</v>
      </c>
      <c r="M5" s="26" t="s">
        <v>25</v>
      </c>
      <c r="N5" s="26" t="s">
        <v>25</v>
      </c>
      <c r="O5" s="27" t="s">
        <v>25</v>
      </c>
    </row>
    <row r="6" ht="15.75" customHeight="1">
      <c r="A6" s="47"/>
      <c r="B6" s="29">
        <v>2.0</v>
      </c>
      <c r="C6" s="30" t="s">
        <v>28</v>
      </c>
      <c r="D6" s="30" t="s">
        <v>29</v>
      </c>
      <c r="E6" s="70" t="str">
        <f t="shared" si="2"/>
        <v>7번 중 7번 참여</v>
      </c>
      <c r="F6" s="71">
        <f t="shared" si="3"/>
        <v>1</v>
      </c>
      <c r="G6" s="26"/>
      <c r="H6" s="26" t="s">
        <v>25</v>
      </c>
      <c r="I6" s="26" t="s">
        <v>25</v>
      </c>
      <c r="J6" s="26" t="s">
        <v>25</v>
      </c>
      <c r="K6" s="26" t="s">
        <v>25</v>
      </c>
      <c r="L6" s="26" t="s">
        <v>25</v>
      </c>
      <c r="M6" s="26" t="s">
        <v>25</v>
      </c>
      <c r="N6" s="26" t="s">
        <v>25</v>
      </c>
      <c r="O6" s="27" t="s">
        <v>25</v>
      </c>
    </row>
    <row r="7" ht="15.75" customHeight="1">
      <c r="A7" s="68"/>
      <c r="B7" s="21">
        <v>3.0</v>
      </c>
      <c r="C7" s="30" t="s">
        <v>30</v>
      </c>
      <c r="D7" s="30" t="s">
        <v>31</v>
      </c>
      <c r="E7" s="70" t="str">
        <f t="shared" si="2"/>
        <v/>
      </c>
      <c r="F7" s="71" t="str">
        <f t="shared" si="3"/>
        <v/>
      </c>
      <c r="G7" s="26"/>
      <c r="H7" s="26"/>
      <c r="I7" s="26"/>
      <c r="J7" s="26"/>
      <c r="K7" s="26"/>
      <c r="L7" s="26"/>
      <c r="M7" s="26"/>
      <c r="N7" s="26"/>
      <c r="O7" s="27"/>
    </row>
    <row r="8" ht="15.75" customHeight="1">
      <c r="A8" s="47"/>
      <c r="B8" s="29">
        <v>4.0</v>
      </c>
      <c r="C8" s="22" t="s">
        <v>32</v>
      </c>
      <c r="D8" s="22" t="s">
        <v>33</v>
      </c>
      <c r="E8" s="70" t="str">
        <f t="shared" si="2"/>
        <v/>
      </c>
      <c r="F8" s="71" t="str">
        <f t="shared" si="3"/>
        <v/>
      </c>
      <c r="G8" s="26"/>
      <c r="H8" s="26"/>
      <c r="I8" s="26"/>
      <c r="J8" s="26"/>
      <c r="K8" s="26"/>
      <c r="L8" s="26"/>
      <c r="M8" s="26"/>
      <c r="N8" s="26"/>
      <c r="O8" s="27"/>
    </row>
    <row r="9" ht="15.75" customHeight="1">
      <c r="A9" s="68"/>
      <c r="B9" s="21">
        <v>5.0</v>
      </c>
      <c r="C9" s="30" t="s">
        <v>34</v>
      </c>
      <c r="D9" s="30" t="s">
        <v>35</v>
      </c>
      <c r="E9" s="70" t="str">
        <f t="shared" si="2"/>
        <v>7번 중 4번 참여</v>
      </c>
      <c r="F9" s="71">
        <f t="shared" si="3"/>
        <v>0.5714285714</v>
      </c>
      <c r="G9" s="26"/>
      <c r="H9" s="26"/>
      <c r="I9" s="26" t="s">
        <v>25</v>
      </c>
      <c r="J9" s="26" t="s">
        <v>25</v>
      </c>
      <c r="K9" s="26" t="s">
        <v>25</v>
      </c>
      <c r="L9" s="26"/>
      <c r="M9" s="26"/>
      <c r="N9" s="26" t="s">
        <v>25</v>
      </c>
      <c r="O9" s="27"/>
    </row>
    <row r="10" ht="15.75" customHeight="1">
      <c r="A10" s="47"/>
      <c r="B10" s="29">
        <v>6.0</v>
      </c>
      <c r="C10" s="22" t="s">
        <v>36</v>
      </c>
      <c r="D10" s="22" t="s">
        <v>37</v>
      </c>
      <c r="E10" s="70" t="str">
        <f t="shared" si="2"/>
        <v>7번 중 5번 참여</v>
      </c>
      <c r="F10" s="71">
        <f t="shared" si="3"/>
        <v>0.7142857143</v>
      </c>
      <c r="G10" s="26"/>
      <c r="H10" s="26" t="s">
        <v>25</v>
      </c>
      <c r="I10" s="26" t="s">
        <v>25</v>
      </c>
      <c r="J10" s="26" t="s">
        <v>25</v>
      </c>
      <c r="K10" s="26" t="s">
        <v>25</v>
      </c>
      <c r="L10" s="26" t="s">
        <v>25</v>
      </c>
      <c r="M10" s="26"/>
      <c r="N10" s="26"/>
      <c r="O10" s="27"/>
    </row>
    <row r="11" ht="15.75" customHeight="1">
      <c r="A11" s="68"/>
      <c r="B11" s="21">
        <v>7.0</v>
      </c>
      <c r="C11" s="30" t="s">
        <v>38</v>
      </c>
      <c r="D11" s="30" t="s">
        <v>39</v>
      </c>
      <c r="E11" s="70" t="str">
        <f t="shared" si="2"/>
        <v>7번 중 6번 참여</v>
      </c>
      <c r="F11" s="71">
        <f t="shared" si="3"/>
        <v>0.8571428571</v>
      </c>
      <c r="G11" s="26"/>
      <c r="H11" s="26" t="s">
        <v>25</v>
      </c>
      <c r="I11" s="26" t="s">
        <v>25</v>
      </c>
      <c r="J11" s="26"/>
      <c r="K11" s="26" t="s">
        <v>25</v>
      </c>
      <c r="L11" s="26" t="s">
        <v>25</v>
      </c>
      <c r="M11" s="26" t="s">
        <v>25</v>
      </c>
      <c r="N11" s="26" t="s">
        <v>25</v>
      </c>
      <c r="O11" s="27" t="s">
        <v>25</v>
      </c>
    </row>
    <row r="12" ht="15.75" customHeight="1">
      <c r="A12" s="47"/>
      <c r="B12" s="29">
        <v>8.0</v>
      </c>
      <c r="C12" s="22" t="s">
        <v>40</v>
      </c>
      <c r="D12" s="22" t="s">
        <v>41</v>
      </c>
      <c r="E12" s="70" t="str">
        <f t="shared" si="2"/>
        <v>7번 중 7번 참여</v>
      </c>
      <c r="F12" s="71">
        <f t="shared" si="3"/>
        <v>1</v>
      </c>
      <c r="G12" s="26"/>
      <c r="H12" s="26" t="s">
        <v>25</v>
      </c>
      <c r="I12" s="26" t="s">
        <v>25</v>
      </c>
      <c r="J12" s="26" t="s">
        <v>25</v>
      </c>
      <c r="K12" s="26" t="s">
        <v>25</v>
      </c>
      <c r="L12" s="26" t="s">
        <v>25</v>
      </c>
      <c r="M12" s="26" t="s">
        <v>25</v>
      </c>
      <c r="N12" s="26" t="s">
        <v>25</v>
      </c>
      <c r="O12" s="27" t="s">
        <v>25</v>
      </c>
    </row>
    <row r="13" ht="15.75" customHeight="1">
      <c r="A13" s="68"/>
      <c r="B13" s="21">
        <v>9.0</v>
      </c>
      <c r="C13" s="30" t="s">
        <v>42</v>
      </c>
      <c r="D13" s="30" t="s">
        <v>43</v>
      </c>
      <c r="E13" s="70" t="str">
        <f t="shared" si="2"/>
        <v>7번 중 3번 참여</v>
      </c>
      <c r="F13" s="71">
        <f t="shared" si="3"/>
        <v>0.4285714286</v>
      </c>
      <c r="G13" s="26"/>
      <c r="H13" s="26" t="s">
        <v>25</v>
      </c>
      <c r="I13" s="26"/>
      <c r="J13" s="26"/>
      <c r="K13" s="26" t="s">
        <v>25</v>
      </c>
      <c r="L13" s="26"/>
      <c r="M13" s="26"/>
      <c r="N13" s="26" t="s">
        <v>25</v>
      </c>
      <c r="O13" s="27"/>
    </row>
    <row r="14" ht="15.75" customHeight="1">
      <c r="A14" s="47"/>
      <c r="B14" s="29">
        <v>10.0</v>
      </c>
      <c r="C14" s="22" t="s">
        <v>44</v>
      </c>
      <c r="D14" s="22" t="s">
        <v>45</v>
      </c>
      <c r="E14" s="70" t="str">
        <f t="shared" si="2"/>
        <v>7번 중 7번 참여</v>
      </c>
      <c r="F14" s="71">
        <f t="shared" si="3"/>
        <v>1</v>
      </c>
      <c r="G14" s="26"/>
      <c r="H14" s="26" t="s">
        <v>25</v>
      </c>
      <c r="I14" s="26" t="s">
        <v>25</v>
      </c>
      <c r="J14" s="26" t="s">
        <v>25</v>
      </c>
      <c r="K14" s="26" t="s">
        <v>25</v>
      </c>
      <c r="L14" s="26" t="s">
        <v>25</v>
      </c>
      <c r="M14" s="26" t="s">
        <v>25</v>
      </c>
      <c r="N14" s="26" t="s">
        <v>25</v>
      </c>
      <c r="O14" s="27" t="s">
        <v>25</v>
      </c>
    </row>
    <row r="15" ht="15.75" customHeight="1">
      <c r="A15" s="68"/>
      <c r="B15" s="21">
        <v>11.0</v>
      </c>
      <c r="C15" s="30" t="s">
        <v>46</v>
      </c>
      <c r="D15" s="30" t="s">
        <v>47</v>
      </c>
      <c r="E15" s="70" t="str">
        <f t="shared" si="2"/>
        <v>7번 중 7번 참여</v>
      </c>
      <c r="F15" s="71">
        <f t="shared" si="3"/>
        <v>1</v>
      </c>
      <c r="G15" s="26"/>
      <c r="H15" s="26" t="s">
        <v>25</v>
      </c>
      <c r="I15" s="26" t="s">
        <v>25</v>
      </c>
      <c r="J15" s="26" t="s">
        <v>25</v>
      </c>
      <c r="K15" s="26" t="s">
        <v>25</v>
      </c>
      <c r="L15" s="26" t="s">
        <v>25</v>
      </c>
      <c r="M15" s="26" t="s">
        <v>25</v>
      </c>
      <c r="N15" s="26" t="s">
        <v>25</v>
      </c>
      <c r="O15" s="27" t="s">
        <v>25</v>
      </c>
    </row>
    <row r="16" ht="15.75" customHeight="1">
      <c r="A16" s="47"/>
      <c r="B16" s="29">
        <v>12.0</v>
      </c>
      <c r="C16" s="22" t="s">
        <v>48</v>
      </c>
      <c r="D16" s="22" t="s">
        <v>49</v>
      </c>
      <c r="E16" s="70" t="str">
        <f t="shared" si="2"/>
        <v>7번 중 7번 참여</v>
      </c>
      <c r="F16" s="71">
        <f t="shared" si="3"/>
        <v>1</v>
      </c>
      <c r="G16" s="26"/>
      <c r="H16" s="26" t="s">
        <v>25</v>
      </c>
      <c r="I16" s="26" t="s">
        <v>25</v>
      </c>
      <c r="J16" s="26" t="s">
        <v>25</v>
      </c>
      <c r="K16" s="26" t="s">
        <v>25</v>
      </c>
      <c r="L16" s="26" t="s">
        <v>25</v>
      </c>
      <c r="M16" s="26" t="s">
        <v>25</v>
      </c>
      <c r="N16" s="26" t="s">
        <v>25</v>
      </c>
      <c r="O16" s="27" t="s">
        <v>25</v>
      </c>
    </row>
    <row r="17" ht="15.75" customHeight="1">
      <c r="A17" s="68"/>
      <c r="B17" s="21">
        <v>13.0</v>
      </c>
      <c r="C17" s="30" t="s">
        <v>50</v>
      </c>
      <c r="D17" s="30" t="s">
        <v>51</v>
      </c>
      <c r="E17" s="70" t="str">
        <f t="shared" si="2"/>
        <v>7번 중 2번 참여</v>
      </c>
      <c r="F17" s="71">
        <f t="shared" si="3"/>
        <v>0.2857142857</v>
      </c>
      <c r="G17" s="26"/>
      <c r="H17" s="26" t="s">
        <v>25</v>
      </c>
      <c r="I17" s="26" t="s">
        <v>25</v>
      </c>
      <c r="J17" s="26"/>
      <c r="K17" s="26"/>
      <c r="L17" s="26"/>
      <c r="M17" s="26"/>
      <c r="N17" s="26"/>
      <c r="O17" s="27"/>
    </row>
    <row r="18" ht="15.75" customHeight="1">
      <c r="A18" s="47"/>
      <c r="B18" s="29">
        <v>14.0</v>
      </c>
      <c r="C18" s="22" t="s">
        <v>52</v>
      </c>
      <c r="D18" s="22" t="s">
        <v>53</v>
      </c>
      <c r="E18" s="70" t="str">
        <f t="shared" si="2"/>
        <v/>
      </c>
      <c r="F18" s="71" t="str">
        <f t="shared" si="3"/>
        <v/>
      </c>
      <c r="G18" s="26"/>
      <c r="H18" s="26"/>
      <c r="I18" s="26"/>
      <c r="J18" s="26"/>
      <c r="K18" s="26"/>
      <c r="L18" s="26"/>
      <c r="M18" s="26"/>
      <c r="N18" s="26"/>
      <c r="O18" s="27"/>
    </row>
    <row r="19" ht="15.75" customHeight="1">
      <c r="A19" s="68"/>
      <c r="B19" s="21">
        <v>15.0</v>
      </c>
      <c r="C19" s="22" t="s">
        <v>54</v>
      </c>
      <c r="D19" s="22" t="s">
        <v>55</v>
      </c>
      <c r="E19" s="70" t="str">
        <f t="shared" si="2"/>
        <v/>
      </c>
      <c r="F19" s="71" t="str">
        <f t="shared" si="3"/>
        <v/>
      </c>
      <c r="G19" s="26"/>
      <c r="H19" s="26"/>
      <c r="I19" s="26"/>
      <c r="J19" s="26"/>
      <c r="K19" s="26"/>
      <c r="L19" s="26"/>
      <c r="M19" s="26"/>
      <c r="N19" s="26"/>
      <c r="O19" s="27"/>
    </row>
    <row r="20" ht="15.75" customHeight="1">
      <c r="A20" s="47"/>
      <c r="B20" s="29">
        <v>16.0</v>
      </c>
      <c r="C20" s="22" t="s">
        <v>56</v>
      </c>
      <c r="D20" s="22" t="s">
        <v>57</v>
      </c>
      <c r="E20" s="70" t="str">
        <f t="shared" si="2"/>
        <v>7번 중 7번 참여</v>
      </c>
      <c r="F20" s="71">
        <f t="shared" si="3"/>
        <v>1</v>
      </c>
      <c r="G20" s="26"/>
      <c r="H20" s="26" t="s">
        <v>25</v>
      </c>
      <c r="I20" s="26" t="s">
        <v>25</v>
      </c>
      <c r="J20" s="26" t="s">
        <v>25</v>
      </c>
      <c r="K20" s="26" t="s">
        <v>25</v>
      </c>
      <c r="L20" s="26" t="s">
        <v>25</v>
      </c>
      <c r="M20" s="26" t="s">
        <v>25</v>
      </c>
      <c r="N20" s="26" t="s">
        <v>25</v>
      </c>
      <c r="O20" s="27" t="s">
        <v>25</v>
      </c>
    </row>
    <row r="21" ht="15.75" customHeight="1">
      <c r="A21" s="68"/>
      <c r="B21" s="21">
        <v>17.0</v>
      </c>
      <c r="C21" s="30" t="s">
        <v>58</v>
      </c>
      <c r="D21" s="72" t="s">
        <v>59</v>
      </c>
      <c r="E21" s="70" t="str">
        <f t="shared" si="2"/>
        <v/>
      </c>
      <c r="F21" s="71" t="str">
        <f t="shared" si="3"/>
        <v/>
      </c>
      <c r="G21" s="26"/>
      <c r="H21" s="26"/>
      <c r="I21" s="26"/>
      <c r="J21" s="26"/>
      <c r="K21" s="26"/>
      <c r="L21" s="26"/>
      <c r="M21" s="26"/>
      <c r="N21" s="26"/>
      <c r="O21" s="27"/>
    </row>
    <row r="22" ht="15.75" customHeight="1">
      <c r="A22" s="47"/>
      <c r="B22" s="29">
        <v>18.0</v>
      </c>
      <c r="C22" s="22" t="s">
        <v>60</v>
      </c>
      <c r="D22" s="69" t="s">
        <v>61</v>
      </c>
      <c r="E22" s="70" t="str">
        <f t="shared" si="2"/>
        <v/>
      </c>
      <c r="F22" s="71" t="str">
        <f t="shared" si="3"/>
        <v/>
      </c>
      <c r="G22" s="26"/>
      <c r="H22" s="26"/>
      <c r="I22" s="26"/>
      <c r="J22" s="26"/>
      <c r="K22" s="26"/>
      <c r="L22" s="26"/>
      <c r="M22" s="26"/>
      <c r="N22" s="26"/>
      <c r="O22" s="27"/>
    </row>
    <row r="23" ht="15.75" customHeight="1">
      <c r="A23" s="68"/>
      <c r="B23" s="21">
        <v>19.0</v>
      </c>
      <c r="C23" s="42" t="s">
        <v>62</v>
      </c>
      <c r="D23" s="73" t="s">
        <v>63</v>
      </c>
      <c r="E23" s="70" t="str">
        <f t="shared" si="2"/>
        <v/>
      </c>
      <c r="F23" s="71" t="str">
        <f t="shared" si="3"/>
        <v/>
      </c>
      <c r="G23" s="26"/>
      <c r="H23" s="26"/>
      <c r="I23" s="26"/>
      <c r="J23" s="26"/>
      <c r="K23" s="26"/>
      <c r="L23" s="26"/>
      <c r="M23" s="26"/>
      <c r="N23" s="26"/>
      <c r="O23" s="27"/>
    </row>
    <row r="24" ht="15.75" customHeight="1">
      <c r="A24" s="47"/>
      <c r="B24" s="29">
        <v>20.0</v>
      </c>
      <c r="C24" s="22" t="s">
        <v>64</v>
      </c>
      <c r="D24" s="74" t="s">
        <v>65</v>
      </c>
      <c r="E24" s="70" t="str">
        <f t="shared" si="2"/>
        <v/>
      </c>
      <c r="F24" s="71" t="str">
        <f t="shared" si="3"/>
        <v/>
      </c>
      <c r="G24" s="26"/>
      <c r="H24" s="26"/>
      <c r="I24" s="26"/>
      <c r="J24" s="26"/>
      <c r="K24" s="26"/>
      <c r="L24" s="26"/>
      <c r="M24" s="26"/>
      <c r="N24" s="26"/>
      <c r="O24" s="27"/>
    </row>
    <row r="25" ht="15.75" customHeight="1">
      <c r="A25" s="68"/>
      <c r="B25" s="21">
        <v>21.0</v>
      </c>
      <c r="C25" s="30" t="s">
        <v>66</v>
      </c>
      <c r="D25" s="72" t="s">
        <v>67</v>
      </c>
      <c r="E25" s="70" t="str">
        <f t="shared" si="2"/>
        <v/>
      </c>
      <c r="F25" s="71" t="str">
        <f t="shared" si="3"/>
        <v/>
      </c>
      <c r="G25" s="26"/>
      <c r="H25" s="26"/>
      <c r="I25" s="26"/>
      <c r="J25" s="26"/>
      <c r="K25" s="26"/>
      <c r="L25" s="26"/>
      <c r="M25" s="26"/>
      <c r="N25" s="26"/>
      <c r="O25" s="27"/>
    </row>
    <row r="26" ht="15.75" customHeight="1">
      <c r="A26" s="47"/>
      <c r="B26" s="29">
        <v>22.0</v>
      </c>
      <c r="C26" s="75" t="s">
        <v>68</v>
      </c>
      <c r="D26" s="76" t="s">
        <v>69</v>
      </c>
      <c r="E26" s="70" t="str">
        <f t="shared" si="2"/>
        <v/>
      </c>
      <c r="F26" s="71" t="str">
        <f t="shared" si="3"/>
        <v/>
      </c>
      <c r="G26" s="26"/>
      <c r="H26" s="26"/>
      <c r="I26" s="26"/>
      <c r="J26" s="26"/>
      <c r="K26" s="26"/>
      <c r="L26" s="26"/>
      <c r="M26" s="26"/>
      <c r="N26" s="26"/>
      <c r="O26" s="27"/>
    </row>
    <row r="27" ht="15.75" customHeight="1">
      <c r="A27" s="68"/>
      <c r="B27" s="21">
        <v>23.0</v>
      </c>
      <c r="C27" s="22" t="s">
        <v>26</v>
      </c>
      <c r="D27" s="69" t="s">
        <v>27</v>
      </c>
      <c r="E27" s="70" t="str">
        <f t="shared" si="2"/>
        <v/>
      </c>
      <c r="F27" s="71" t="str">
        <f t="shared" si="3"/>
        <v/>
      </c>
      <c r="G27" s="26"/>
      <c r="H27" s="26"/>
      <c r="I27" s="26"/>
      <c r="J27" s="26"/>
      <c r="K27" s="26"/>
      <c r="L27" s="26"/>
      <c r="M27" s="26"/>
      <c r="N27" s="26"/>
      <c r="O27" s="27"/>
    </row>
    <row r="28" ht="15.75" customHeight="1">
      <c r="A28" s="47"/>
      <c r="B28" s="29">
        <v>24.0</v>
      </c>
      <c r="C28" s="30" t="s">
        <v>28</v>
      </c>
      <c r="D28" s="30" t="s">
        <v>70</v>
      </c>
      <c r="E28" s="70" t="str">
        <f t="shared" si="2"/>
        <v>7번 중 7번 참여</v>
      </c>
      <c r="F28" s="71">
        <f t="shared" si="3"/>
        <v>1</v>
      </c>
      <c r="G28" s="26"/>
      <c r="H28" s="26" t="s">
        <v>25</v>
      </c>
      <c r="I28" s="26" t="s">
        <v>25</v>
      </c>
      <c r="J28" s="26" t="s">
        <v>25</v>
      </c>
      <c r="K28" s="26" t="s">
        <v>25</v>
      </c>
      <c r="L28" s="26" t="s">
        <v>25</v>
      </c>
      <c r="M28" s="26" t="s">
        <v>25</v>
      </c>
      <c r="N28" s="26" t="s">
        <v>25</v>
      </c>
      <c r="O28" s="27" t="s">
        <v>25</v>
      </c>
    </row>
    <row r="29" ht="15.75" customHeight="1">
      <c r="A29" s="68"/>
      <c r="B29" s="21">
        <v>25.0</v>
      </c>
      <c r="C29" s="30" t="s">
        <v>30</v>
      </c>
      <c r="D29" s="30" t="s">
        <v>31</v>
      </c>
      <c r="E29" s="70" t="str">
        <f t="shared" si="2"/>
        <v/>
      </c>
      <c r="F29" s="71" t="str">
        <f t="shared" si="3"/>
        <v/>
      </c>
      <c r="G29" s="26"/>
      <c r="H29" s="26"/>
      <c r="I29" s="26"/>
      <c r="J29" s="26"/>
      <c r="K29" s="26"/>
      <c r="L29" s="26"/>
      <c r="M29" s="26"/>
      <c r="N29" s="26"/>
      <c r="O29" s="27"/>
    </row>
    <row r="30" ht="15.75" customHeight="1">
      <c r="A30" s="47"/>
      <c r="B30" s="29">
        <v>26.0</v>
      </c>
      <c r="C30" s="22" t="s">
        <v>32</v>
      </c>
      <c r="D30" s="22" t="s">
        <v>33</v>
      </c>
      <c r="E30" s="70" t="str">
        <f t="shared" si="2"/>
        <v/>
      </c>
      <c r="F30" s="71" t="str">
        <f t="shared" si="3"/>
        <v/>
      </c>
      <c r="G30" s="26"/>
      <c r="H30" s="26"/>
      <c r="I30" s="26"/>
      <c r="J30" s="26"/>
      <c r="K30" s="26"/>
      <c r="L30" s="26"/>
      <c r="M30" s="26"/>
      <c r="N30" s="26"/>
      <c r="O30" s="27"/>
    </row>
    <row r="31" ht="15.75" customHeight="1">
      <c r="A31" s="68"/>
      <c r="B31" s="21">
        <v>27.0</v>
      </c>
      <c r="C31" s="30" t="s">
        <v>34</v>
      </c>
      <c r="D31" s="30" t="s">
        <v>71</v>
      </c>
      <c r="E31" s="70" t="str">
        <f t="shared" si="2"/>
        <v/>
      </c>
      <c r="F31" s="71" t="str">
        <f t="shared" si="3"/>
        <v/>
      </c>
      <c r="G31" s="26"/>
      <c r="H31" s="26"/>
      <c r="I31" s="26"/>
      <c r="J31" s="26"/>
      <c r="K31" s="26"/>
      <c r="L31" s="26"/>
      <c r="M31" s="26"/>
      <c r="N31" s="26"/>
      <c r="O31" s="27"/>
    </row>
    <row r="32" ht="15.75" customHeight="1">
      <c r="A32" s="47"/>
      <c r="B32" s="29">
        <v>28.0</v>
      </c>
      <c r="C32" s="22" t="s">
        <v>36</v>
      </c>
      <c r="D32" s="22" t="s">
        <v>72</v>
      </c>
      <c r="E32" s="70" t="str">
        <f t="shared" si="2"/>
        <v/>
      </c>
      <c r="F32" s="71" t="str">
        <f t="shared" si="3"/>
        <v/>
      </c>
      <c r="G32" s="26"/>
      <c r="H32" s="26"/>
      <c r="I32" s="26"/>
      <c r="J32" s="26"/>
      <c r="K32" s="26"/>
      <c r="L32" s="26"/>
      <c r="M32" s="26"/>
      <c r="N32" s="26"/>
      <c r="O32" s="27"/>
    </row>
    <row r="33" ht="15.75" customHeight="1">
      <c r="A33" s="68"/>
      <c r="B33" s="21">
        <v>29.0</v>
      </c>
      <c r="C33" s="30" t="s">
        <v>38</v>
      </c>
      <c r="D33" s="30" t="s">
        <v>39</v>
      </c>
      <c r="E33" s="70" t="str">
        <f t="shared" si="2"/>
        <v/>
      </c>
      <c r="F33" s="71" t="str">
        <f t="shared" si="3"/>
        <v/>
      </c>
      <c r="G33" s="26"/>
      <c r="H33" s="26"/>
      <c r="I33" s="26"/>
      <c r="J33" s="26"/>
      <c r="K33" s="26"/>
      <c r="L33" s="26"/>
      <c r="M33" s="26"/>
      <c r="N33" s="26"/>
      <c r="O33" s="27"/>
    </row>
    <row r="34" ht="15.75" customHeight="1">
      <c r="A34" s="47"/>
      <c r="B34" s="29">
        <v>30.0</v>
      </c>
      <c r="C34" s="22" t="s">
        <v>40</v>
      </c>
      <c r="D34" s="22" t="s">
        <v>41</v>
      </c>
      <c r="E34" s="70" t="str">
        <f t="shared" si="2"/>
        <v/>
      </c>
      <c r="F34" s="71" t="str">
        <f t="shared" si="3"/>
        <v/>
      </c>
      <c r="G34" s="26"/>
      <c r="H34" s="26"/>
      <c r="I34" s="26"/>
      <c r="J34" s="26"/>
      <c r="K34" s="26"/>
      <c r="L34" s="26"/>
      <c r="M34" s="26"/>
      <c r="N34" s="26"/>
      <c r="O34" s="27"/>
    </row>
    <row r="35" ht="15.75" customHeight="1">
      <c r="A35" s="68"/>
      <c r="B35" s="21">
        <v>31.0</v>
      </c>
      <c r="C35" s="30" t="s">
        <v>42</v>
      </c>
      <c r="D35" s="30" t="s">
        <v>73</v>
      </c>
      <c r="E35" s="70" t="str">
        <f t="shared" si="2"/>
        <v/>
      </c>
      <c r="F35" s="71" t="str">
        <f t="shared" si="3"/>
        <v/>
      </c>
      <c r="G35" s="26"/>
      <c r="H35" s="26"/>
      <c r="I35" s="26"/>
      <c r="J35" s="26"/>
      <c r="K35" s="26"/>
      <c r="L35" s="26"/>
      <c r="M35" s="26"/>
      <c r="N35" s="26"/>
      <c r="O35" s="27"/>
    </row>
    <row r="36" ht="15.75" customHeight="1">
      <c r="A36" s="47"/>
      <c r="B36" s="29">
        <v>32.0</v>
      </c>
      <c r="C36" s="22" t="s">
        <v>44</v>
      </c>
      <c r="D36" s="22" t="s">
        <v>45</v>
      </c>
      <c r="E36" s="70" t="str">
        <f t="shared" si="2"/>
        <v/>
      </c>
      <c r="F36" s="71" t="str">
        <f t="shared" si="3"/>
        <v/>
      </c>
      <c r="G36" s="26"/>
      <c r="H36" s="26"/>
      <c r="I36" s="26"/>
      <c r="J36" s="26"/>
      <c r="K36" s="26"/>
      <c r="L36" s="26"/>
      <c r="M36" s="26"/>
      <c r="N36" s="26"/>
      <c r="O36" s="27"/>
    </row>
    <row r="37" ht="15.75" customHeight="1">
      <c r="A37" s="68"/>
      <c r="B37" s="21">
        <v>33.0</v>
      </c>
      <c r="C37" s="30" t="s">
        <v>46</v>
      </c>
      <c r="D37" s="30" t="s">
        <v>47</v>
      </c>
      <c r="E37" s="70" t="str">
        <f t="shared" si="2"/>
        <v/>
      </c>
      <c r="F37" s="71" t="str">
        <f t="shared" si="3"/>
        <v/>
      </c>
      <c r="G37" s="26"/>
      <c r="H37" s="26"/>
      <c r="I37" s="26"/>
      <c r="J37" s="26"/>
      <c r="K37" s="26"/>
      <c r="L37" s="26"/>
      <c r="M37" s="26"/>
      <c r="N37" s="26"/>
      <c r="O37" s="27"/>
    </row>
    <row r="38" ht="15.75" customHeight="1">
      <c r="A38" s="47"/>
      <c r="B38" s="29">
        <v>34.0</v>
      </c>
      <c r="C38" s="22" t="s">
        <v>48</v>
      </c>
      <c r="D38" s="22" t="s">
        <v>49</v>
      </c>
      <c r="E38" s="70" t="str">
        <f t="shared" si="2"/>
        <v/>
      </c>
      <c r="F38" s="71" t="str">
        <f t="shared" si="3"/>
        <v/>
      </c>
      <c r="G38" s="26"/>
      <c r="H38" s="26"/>
      <c r="I38" s="26"/>
      <c r="J38" s="26"/>
      <c r="K38" s="26"/>
      <c r="L38" s="26"/>
      <c r="M38" s="26"/>
      <c r="N38" s="26"/>
      <c r="O38" s="27"/>
    </row>
    <row r="39" ht="15.75" customHeight="1">
      <c r="A39" s="68"/>
      <c r="B39" s="21">
        <v>35.0</v>
      </c>
      <c r="C39" s="30" t="s">
        <v>50</v>
      </c>
      <c r="D39" s="30" t="s">
        <v>51</v>
      </c>
      <c r="E39" s="70" t="str">
        <f t="shared" si="2"/>
        <v/>
      </c>
      <c r="F39" s="71" t="str">
        <f t="shared" si="3"/>
        <v/>
      </c>
      <c r="G39" s="26"/>
      <c r="H39" s="26"/>
      <c r="I39" s="26"/>
      <c r="J39" s="26"/>
      <c r="K39" s="26"/>
      <c r="L39" s="26"/>
      <c r="M39" s="26"/>
      <c r="N39" s="26"/>
      <c r="O39" s="27"/>
    </row>
    <row r="40" ht="15.75" customHeight="1">
      <c r="A40" s="47"/>
      <c r="B40" s="29">
        <v>36.0</v>
      </c>
      <c r="C40" s="22" t="s">
        <v>52</v>
      </c>
      <c r="D40" s="22" t="s">
        <v>53</v>
      </c>
      <c r="E40" s="70" t="str">
        <f t="shared" si="2"/>
        <v/>
      </c>
      <c r="F40" s="71" t="str">
        <f t="shared" si="3"/>
        <v/>
      </c>
      <c r="G40" s="26"/>
      <c r="H40" s="26"/>
      <c r="I40" s="26"/>
      <c r="J40" s="26"/>
      <c r="K40" s="26"/>
      <c r="L40" s="26"/>
      <c r="M40" s="26"/>
      <c r="N40" s="26"/>
      <c r="O40" s="27"/>
    </row>
    <row r="41" ht="15.75" customHeight="1">
      <c r="A41" s="68"/>
      <c r="B41" s="21">
        <v>37.0</v>
      </c>
      <c r="C41" s="22" t="s">
        <v>54</v>
      </c>
      <c r="D41" s="22" t="s">
        <v>55</v>
      </c>
      <c r="E41" s="70" t="str">
        <f t="shared" si="2"/>
        <v/>
      </c>
      <c r="F41" s="71" t="str">
        <f t="shared" si="3"/>
        <v/>
      </c>
      <c r="G41" s="26"/>
      <c r="H41" s="26"/>
      <c r="I41" s="26"/>
      <c r="J41" s="26"/>
      <c r="K41" s="26"/>
      <c r="L41" s="26"/>
      <c r="M41" s="26"/>
      <c r="N41" s="26"/>
      <c r="O41" s="27"/>
    </row>
    <row r="42" ht="15.75" customHeight="1">
      <c r="A42" s="47"/>
      <c r="B42" s="29">
        <v>38.0</v>
      </c>
      <c r="C42" s="22" t="s">
        <v>56</v>
      </c>
      <c r="D42" s="22" t="s">
        <v>57</v>
      </c>
      <c r="E42" s="70" t="str">
        <f t="shared" si="2"/>
        <v/>
      </c>
      <c r="F42" s="71" t="str">
        <f t="shared" si="3"/>
        <v/>
      </c>
      <c r="G42" s="26"/>
      <c r="H42" s="26"/>
      <c r="I42" s="26"/>
      <c r="J42" s="26"/>
      <c r="K42" s="26"/>
      <c r="L42" s="26"/>
      <c r="M42" s="26"/>
      <c r="N42" s="26"/>
      <c r="O42" s="27"/>
    </row>
    <row r="43" ht="15.75" customHeight="1">
      <c r="A43" s="68"/>
      <c r="B43" s="21">
        <v>39.0</v>
      </c>
      <c r="C43" s="30" t="s">
        <v>58</v>
      </c>
      <c r="D43" s="72" t="s">
        <v>59</v>
      </c>
      <c r="E43" s="70" t="str">
        <f t="shared" si="2"/>
        <v/>
      </c>
      <c r="F43" s="71" t="str">
        <f t="shared" si="3"/>
        <v/>
      </c>
      <c r="G43" s="26"/>
      <c r="H43" s="26"/>
      <c r="I43" s="26"/>
      <c r="J43" s="26"/>
      <c r="K43" s="26"/>
      <c r="L43" s="26"/>
      <c r="M43" s="26"/>
      <c r="N43" s="26"/>
      <c r="O43" s="27"/>
    </row>
    <row r="44" ht="15.75" customHeight="1">
      <c r="A44" s="47"/>
      <c r="B44" s="29">
        <v>40.0</v>
      </c>
      <c r="C44" s="22" t="s">
        <v>60</v>
      </c>
      <c r="D44" s="69" t="s">
        <v>61</v>
      </c>
      <c r="E44" s="70" t="str">
        <f t="shared" si="2"/>
        <v/>
      </c>
      <c r="F44" s="71" t="str">
        <f t="shared" si="3"/>
        <v/>
      </c>
      <c r="G44" s="26"/>
      <c r="H44" s="26"/>
      <c r="I44" s="26"/>
      <c r="J44" s="26"/>
      <c r="K44" s="26"/>
      <c r="L44" s="26"/>
      <c r="M44" s="26"/>
      <c r="N44" s="26"/>
      <c r="O44" s="27"/>
    </row>
    <row r="45" ht="15.75" customHeight="1">
      <c r="A45" s="68"/>
      <c r="B45" s="21">
        <v>41.0</v>
      </c>
      <c r="C45" s="42" t="s">
        <v>62</v>
      </c>
      <c r="D45" s="77"/>
      <c r="E45" s="70" t="str">
        <f t="shared" si="2"/>
        <v/>
      </c>
      <c r="F45" s="71" t="str">
        <f t="shared" si="3"/>
        <v/>
      </c>
      <c r="G45" s="26"/>
      <c r="H45" s="26"/>
      <c r="I45" s="26"/>
      <c r="J45" s="26"/>
      <c r="K45" s="26"/>
      <c r="L45" s="26"/>
      <c r="M45" s="26"/>
      <c r="N45" s="26"/>
      <c r="O45" s="27"/>
    </row>
    <row r="46" ht="15.75" customHeight="1">
      <c r="A46" s="47"/>
      <c r="B46" s="29">
        <v>42.0</v>
      </c>
      <c r="C46" s="22" t="s">
        <v>64</v>
      </c>
      <c r="D46" s="74" t="s">
        <v>65</v>
      </c>
      <c r="E46" s="70" t="str">
        <f t="shared" si="2"/>
        <v/>
      </c>
      <c r="F46" s="71" t="str">
        <f t="shared" si="3"/>
        <v/>
      </c>
      <c r="G46" s="26"/>
      <c r="H46" s="26"/>
      <c r="I46" s="26"/>
      <c r="J46" s="26"/>
      <c r="K46" s="26"/>
      <c r="L46" s="26"/>
      <c r="M46" s="26"/>
      <c r="N46" s="26"/>
      <c r="O46" s="27"/>
    </row>
    <row r="47" ht="15.75" customHeight="1">
      <c r="A47" s="68"/>
      <c r="B47" s="21">
        <v>43.0</v>
      </c>
      <c r="C47" s="30" t="s">
        <v>66</v>
      </c>
      <c r="D47" s="72" t="s">
        <v>67</v>
      </c>
      <c r="E47" s="70" t="str">
        <f t="shared" si="2"/>
        <v/>
      </c>
      <c r="F47" s="71" t="str">
        <f t="shared" si="3"/>
        <v/>
      </c>
      <c r="G47" s="26"/>
      <c r="H47" s="26"/>
      <c r="I47" s="26"/>
      <c r="J47" s="26"/>
      <c r="K47" s="26"/>
      <c r="L47" s="26"/>
      <c r="M47" s="26"/>
      <c r="N47" s="26"/>
      <c r="O47" s="27"/>
    </row>
    <row r="48" ht="15.75" customHeight="1">
      <c r="A48" s="47"/>
      <c r="B48" s="29">
        <v>44.0</v>
      </c>
      <c r="C48" s="75" t="s">
        <v>68</v>
      </c>
      <c r="D48" s="76" t="s">
        <v>69</v>
      </c>
      <c r="E48" s="70" t="str">
        <f t="shared" si="2"/>
        <v/>
      </c>
      <c r="F48" s="71" t="str">
        <f t="shared" si="3"/>
        <v/>
      </c>
      <c r="G48" s="26"/>
      <c r="H48" s="26"/>
      <c r="I48" s="26"/>
      <c r="J48" s="26"/>
      <c r="K48" s="26"/>
      <c r="L48" s="26"/>
      <c r="M48" s="26"/>
      <c r="N48" s="26"/>
      <c r="O48" s="27"/>
    </row>
    <row r="49" ht="15.75" customHeight="1">
      <c r="A49" s="68"/>
      <c r="B49" s="21">
        <v>45.0</v>
      </c>
      <c r="C49" s="30" t="s">
        <v>74</v>
      </c>
      <c r="D49" s="72" t="s">
        <v>75</v>
      </c>
      <c r="E49" s="70" t="str">
        <f t="shared" si="2"/>
        <v/>
      </c>
      <c r="F49" s="71" t="str">
        <f t="shared" si="3"/>
        <v/>
      </c>
      <c r="G49" s="26"/>
      <c r="H49" s="26"/>
      <c r="I49" s="26"/>
      <c r="J49" s="26"/>
      <c r="K49" s="26"/>
      <c r="L49" s="26"/>
      <c r="M49" s="26"/>
      <c r="N49" s="26"/>
      <c r="O49" s="27"/>
    </row>
    <row r="50" ht="15.75" customHeight="1">
      <c r="A50" s="47"/>
      <c r="B50" s="29">
        <v>46.0</v>
      </c>
      <c r="C50" s="22" t="s">
        <v>76</v>
      </c>
      <c r="D50" s="69" t="s">
        <v>77</v>
      </c>
      <c r="E50" s="70" t="str">
        <f t="shared" si="2"/>
        <v/>
      </c>
      <c r="F50" s="71" t="str">
        <f t="shared" si="3"/>
        <v/>
      </c>
      <c r="G50" s="26"/>
      <c r="H50" s="26"/>
      <c r="I50" s="26"/>
      <c r="J50" s="26"/>
      <c r="K50" s="26"/>
      <c r="L50" s="26"/>
      <c r="M50" s="26"/>
      <c r="N50" s="26"/>
      <c r="O50" s="27"/>
    </row>
    <row r="51" ht="15.75" customHeight="1">
      <c r="A51" s="68"/>
      <c r="B51" s="21">
        <v>47.0</v>
      </c>
      <c r="C51" s="30" t="s">
        <v>78</v>
      </c>
      <c r="D51" s="78" t="s">
        <v>79</v>
      </c>
      <c r="E51" s="70" t="str">
        <f t="shared" si="2"/>
        <v>7번 중 1번 참여</v>
      </c>
      <c r="F51" s="71">
        <f t="shared" si="3"/>
        <v>0.1428571429</v>
      </c>
      <c r="G51" s="26"/>
      <c r="H51" s="26"/>
      <c r="I51" s="26" t="s">
        <v>25</v>
      </c>
      <c r="J51" s="26"/>
      <c r="K51" s="26"/>
      <c r="L51" s="26"/>
      <c r="M51" s="26"/>
      <c r="N51" s="26"/>
      <c r="O51" s="27" t="s">
        <v>80</v>
      </c>
    </row>
    <row r="52" ht="15.75" customHeight="1">
      <c r="A52" s="47"/>
      <c r="B52" s="29">
        <v>48.0</v>
      </c>
      <c r="C52" s="30" t="s">
        <v>81</v>
      </c>
      <c r="D52" s="30" t="s">
        <v>82</v>
      </c>
      <c r="E52" s="70" t="str">
        <f t="shared" si="2"/>
        <v>7번 중 6번 참여</v>
      </c>
      <c r="F52" s="71">
        <f t="shared" si="3"/>
        <v>0.8571428571</v>
      </c>
      <c r="G52" s="26"/>
      <c r="H52" s="26" t="s">
        <v>25</v>
      </c>
      <c r="I52" s="26" t="s">
        <v>25</v>
      </c>
      <c r="J52" s="26" t="s">
        <v>25</v>
      </c>
      <c r="K52" s="26" t="s">
        <v>25</v>
      </c>
      <c r="L52" s="26"/>
      <c r="M52" s="26" t="s">
        <v>25</v>
      </c>
      <c r="N52" s="26" t="s">
        <v>25</v>
      </c>
      <c r="O52" s="27" t="s">
        <v>25</v>
      </c>
    </row>
    <row r="53" ht="15.75" customHeight="1">
      <c r="A53" s="68"/>
      <c r="B53" s="21">
        <v>49.0</v>
      </c>
      <c r="C53" s="30" t="s">
        <v>83</v>
      </c>
      <c r="D53" s="72" t="s">
        <v>84</v>
      </c>
      <c r="E53" s="70" t="str">
        <f t="shared" si="2"/>
        <v/>
      </c>
      <c r="F53" s="71" t="str">
        <f t="shared" si="3"/>
        <v/>
      </c>
      <c r="G53" s="26"/>
      <c r="H53" s="26"/>
      <c r="I53" s="26"/>
      <c r="J53" s="26"/>
      <c r="K53" s="26"/>
      <c r="L53" s="26"/>
      <c r="M53" s="26"/>
      <c r="N53" s="26"/>
      <c r="O53" s="27"/>
    </row>
    <row r="54" ht="15.75" customHeight="1">
      <c r="A54" s="47"/>
      <c r="B54" s="29">
        <v>50.0</v>
      </c>
      <c r="C54" s="30" t="s">
        <v>85</v>
      </c>
      <c r="D54" s="72" t="s">
        <v>86</v>
      </c>
      <c r="E54" s="70" t="str">
        <f t="shared" si="2"/>
        <v/>
      </c>
      <c r="F54" s="71" t="str">
        <f t="shared" si="3"/>
        <v/>
      </c>
      <c r="G54" s="26"/>
      <c r="H54" s="26"/>
      <c r="I54" s="26"/>
      <c r="J54" s="26"/>
      <c r="K54" s="26"/>
      <c r="L54" s="26"/>
      <c r="M54" s="26"/>
      <c r="N54" s="26"/>
      <c r="O54" s="27"/>
    </row>
    <row r="55" ht="15.75" customHeight="1">
      <c r="A55" s="68"/>
      <c r="B55" s="21">
        <v>51.0</v>
      </c>
      <c r="C55" s="22" t="s">
        <v>87</v>
      </c>
      <c r="D55" s="69" t="s">
        <v>88</v>
      </c>
      <c r="E55" s="70" t="str">
        <f t="shared" si="2"/>
        <v/>
      </c>
      <c r="F55" s="71" t="str">
        <f t="shared" si="3"/>
        <v/>
      </c>
      <c r="G55" s="26"/>
      <c r="H55" s="26"/>
      <c r="I55" s="26"/>
      <c r="J55" s="26"/>
      <c r="K55" s="26"/>
      <c r="L55" s="26"/>
      <c r="M55" s="26"/>
      <c r="N55" s="26"/>
      <c r="O55" s="27"/>
    </row>
    <row r="56" ht="15.75" customHeight="1">
      <c r="A56" s="47"/>
      <c r="B56" s="29">
        <v>52.0</v>
      </c>
      <c r="C56" s="39" t="s">
        <v>89</v>
      </c>
      <c r="D56" s="79" t="s">
        <v>90</v>
      </c>
      <c r="E56" s="70" t="str">
        <f t="shared" si="2"/>
        <v/>
      </c>
      <c r="F56" s="71" t="str">
        <f t="shared" si="3"/>
        <v/>
      </c>
      <c r="G56" s="26"/>
      <c r="H56" s="26"/>
      <c r="I56" s="26"/>
      <c r="J56" s="26"/>
      <c r="K56" s="26"/>
      <c r="L56" s="26"/>
      <c r="M56" s="26"/>
      <c r="N56" s="26"/>
      <c r="O56" s="27"/>
    </row>
    <row r="57" ht="15.75" customHeight="1">
      <c r="A57" s="68"/>
      <c r="B57" s="21">
        <v>53.0</v>
      </c>
      <c r="C57" s="44" t="s">
        <v>91</v>
      </c>
      <c r="D57" s="44" t="s">
        <v>92</v>
      </c>
      <c r="E57" s="70" t="str">
        <f t="shared" si="2"/>
        <v>7번 중 5번 참여</v>
      </c>
      <c r="F57" s="71">
        <f t="shared" si="3"/>
        <v>0.7142857143</v>
      </c>
      <c r="G57" s="26"/>
      <c r="H57" s="26" t="s">
        <v>25</v>
      </c>
      <c r="I57" s="26" t="s">
        <v>80</v>
      </c>
      <c r="J57" s="26" t="s">
        <v>25</v>
      </c>
      <c r="K57" s="26" t="s">
        <v>25</v>
      </c>
      <c r="L57" s="26" t="s">
        <v>25</v>
      </c>
      <c r="M57" s="26"/>
      <c r="N57" s="26" t="s">
        <v>25</v>
      </c>
      <c r="O57" s="27"/>
    </row>
    <row r="58" ht="15.75" customHeight="1">
      <c r="A58" s="47"/>
      <c r="B58" s="29">
        <v>54.0</v>
      </c>
      <c r="C58" s="30" t="s">
        <v>93</v>
      </c>
      <c r="D58" s="30" t="s">
        <v>94</v>
      </c>
      <c r="E58" s="70" t="str">
        <f t="shared" si="2"/>
        <v/>
      </c>
      <c r="F58" s="71" t="str">
        <f t="shared" si="3"/>
        <v/>
      </c>
      <c r="G58" s="26"/>
      <c r="H58" s="26"/>
      <c r="I58" s="26"/>
      <c r="J58" s="26"/>
      <c r="K58" s="26"/>
      <c r="L58" s="26"/>
      <c r="M58" s="26"/>
      <c r="N58" s="26"/>
      <c r="O58" s="27"/>
    </row>
    <row r="59" ht="15.75" customHeight="1">
      <c r="A59" s="68"/>
      <c r="B59" s="21">
        <v>55.0</v>
      </c>
      <c r="C59" s="22" t="s">
        <v>95</v>
      </c>
      <c r="D59" s="22" t="s">
        <v>96</v>
      </c>
      <c r="E59" s="70" t="str">
        <f t="shared" si="2"/>
        <v>7번 중 4번 참여</v>
      </c>
      <c r="F59" s="71">
        <f t="shared" si="3"/>
        <v>0.5714285714</v>
      </c>
      <c r="G59" s="26"/>
      <c r="H59" s="26"/>
      <c r="I59" s="26" t="s">
        <v>25</v>
      </c>
      <c r="J59" s="26"/>
      <c r="K59" s="26"/>
      <c r="L59" s="26" t="s">
        <v>25</v>
      </c>
      <c r="M59" s="26" t="s">
        <v>25</v>
      </c>
      <c r="N59" s="26" t="s">
        <v>25</v>
      </c>
      <c r="O59" s="27" t="s">
        <v>25</v>
      </c>
    </row>
    <row r="60" ht="15.75" customHeight="1">
      <c r="A60" s="47"/>
      <c r="B60" s="29">
        <v>56.0</v>
      </c>
      <c r="C60" s="30" t="s">
        <v>97</v>
      </c>
      <c r="D60" s="30" t="s">
        <v>98</v>
      </c>
      <c r="E60" s="70" t="str">
        <f t="shared" si="2"/>
        <v/>
      </c>
      <c r="F60" s="71" t="str">
        <f t="shared" si="3"/>
        <v/>
      </c>
      <c r="G60" s="26"/>
      <c r="H60" s="26"/>
      <c r="I60" s="26"/>
      <c r="J60" s="26"/>
      <c r="K60" s="26"/>
      <c r="L60" s="26"/>
      <c r="M60" s="26"/>
      <c r="N60" s="26"/>
      <c r="O60" s="27"/>
    </row>
    <row r="61" ht="15.75" customHeight="1">
      <c r="A61" s="68"/>
      <c r="B61" s="21">
        <v>57.0</v>
      </c>
      <c r="C61" s="22" t="s">
        <v>99</v>
      </c>
      <c r="D61" s="22" t="s">
        <v>100</v>
      </c>
      <c r="E61" s="70" t="str">
        <f t="shared" si="2"/>
        <v>7번 중 3번 참여</v>
      </c>
      <c r="F61" s="71">
        <f t="shared" si="3"/>
        <v>0.4285714286</v>
      </c>
      <c r="G61" s="26"/>
      <c r="H61" s="26" t="s">
        <v>80</v>
      </c>
      <c r="I61" s="26" t="s">
        <v>80</v>
      </c>
      <c r="J61" s="26" t="s">
        <v>80</v>
      </c>
      <c r="K61" s="26" t="s">
        <v>80</v>
      </c>
      <c r="L61" s="26" t="s">
        <v>25</v>
      </c>
      <c r="M61" s="26" t="s">
        <v>25</v>
      </c>
      <c r="N61" s="26" t="s">
        <v>25</v>
      </c>
      <c r="O61" s="27"/>
    </row>
    <row r="62" ht="15.75" customHeight="1">
      <c r="A62" s="47"/>
      <c r="B62" s="29">
        <v>58.0</v>
      </c>
      <c r="C62" s="30" t="s">
        <v>101</v>
      </c>
      <c r="D62" s="72" t="s">
        <v>102</v>
      </c>
      <c r="E62" s="70" t="str">
        <f t="shared" si="2"/>
        <v>7번 중 7번 참여</v>
      </c>
      <c r="F62" s="71">
        <f t="shared" si="3"/>
        <v>1</v>
      </c>
      <c r="G62" s="26"/>
      <c r="H62" s="26" t="s">
        <v>25</v>
      </c>
      <c r="I62" s="26" t="s">
        <v>25</v>
      </c>
      <c r="J62" s="26" t="s">
        <v>25</v>
      </c>
      <c r="K62" s="26" t="s">
        <v>25</v>
      </c>
      <c r="L62" s="26" t="s">
        <v>25</v>
      </c>
      <c r="M62" s="26" t="s">
        <v>25</v>
      </c>
      <c r="N62" s="26" t="s">
        <v>25</v>
      </c>
      <c r="O62" s="27"/>
    </row>
    <row r="63" ht="15.75" customHeight="1">
      <c r="A63" s="68"/>
      <c r="B63" s="21">
        <v>59.0</v>
      </c>
      <c r="C63" s="22" t="s">
        <v>103</v>
      </c>
      <c r="D63" s="22" t="s">
        <v>104</v>
      </c>
      <c r="E63" s="70" t="str">
        <f t="shared" si="2"/>
        <v>7번 중 7번 참여</v>
      </c>
      <c r="F63" s="71">
        <f t="shared" si="3"/>
        <v>1</v>
      </c>
      <c r="G63" s="26"/>
      <c r="H63" s="26" t="s">
        <v>25</v>
      </c>
      <c r="I63" s="26" t="s">
        <v>25</v>
      </c>
      <c r="J63" s="26" t="s">
        <v>25</v>
      </c>
      <c r="K63" s="26" t="s">
        <v>25</v>
      </c>
      <c r="L63" s="26" t="s">
        <v>25</v>
      </c>
      <c r="M63" s="26" t="s">
        <v>25</v>
      </c>
      <c r="N63" s="26" t="s">
        <v>25</v>
      </c>
      <c r="O63" s="27" t="s">
        <v>25</v>
      </c>
    </row>
    <row r="64" ht="15.75" customHeight="1">
      <c r="A64" s="47"/>
      <c r="B64" s="29">
        <v>60.0</v>
      </c>
      <c r="C64" s="43" t="s">
        <v>105</v>
      </c>
      <c r="D64" s="80" t="s">
        <v>106</v>
      </c>
      <c r="E64" s="70" t="str">
        <f t="shared" si="2"/>
        <v/>
      </c>
      <c r="F64" s="71" t="str">
        <f t="shared" si="3"/>
        <v/>
      </c>
      <c r="G64" s="26"/>
      <c r="H64" s="26"/>
      <c r="I64" s="26"/>
      <c r="J64" s="26"/>
      <c r="K64" s="26"/>
      <c r="L64" s="26"/>
      <c r="M64" s="26"/>
      <c r="N64" s="26"/>
      <c r="O64" s="27"/>
    </row>
    <row r="65" ht="15.75" customHeight="1">
      <c r="A65" s="68"/>
      <c r="B65" s="21">
        <v>61.0</v>
      </c>
      <c r="C65" s="44" t="s">
        <v>107</v>
      </c>
      <c r="D65" s="81" t="s">
        <v>108</v>
      </c>
      <c r="E65" s="70" t="str">
        <f t="shared" ref="E65:E66" si="4">IF(COUNTIF(G65:I65, "완료")=0, "", COUNTIF($G$4:$N$4, "완료") &amp; "번 중 " &amp; COUNTIF(G65:I65, "완료") &amp; "번 참여")
</f>
        <v/>
      </c>
      <c r="F65" s="71" t="str">
        <f t="shared" ref="F65:F66" si="5">IF(COUNTIF($G$4:$N$4, "완료")=0, "", IF(COUNTIF(G65:I65, "완료")=0, "", COUNTIF(G65:I65, "완료") / COUNTIF($G$4:$N$4, "완료")))
</f>
        <v/>
      </c>
      <c r="G65" s="26"/>
      <c r="H65" s="26"/>
      <c r="I65" s="26"/>
      <c r="J65" s="26"/>
      <c r="K65" s="26"/>
      <c r="L65" s="26"/>
      <c r="M65" s="26"/>
      <c r="N65" s="26"/>
      <c r="O65" s="26"/>
    </row>
    <row r="66" ht="15.75" customHeight="1">
      <c r="A66" s="47"/>
      <c r="B66" s="29">
        <v>62.0</v>
      </c>
      <c r="C66" s="22" t="s">
        <v>109</v>
      </c>
      <c r="D66" s="22" t="s">
        <v>110</v>
      </c>
      <c r="E66" s="70" t="str">
        <f t="shared" si="4"/>
        <v/>
      </c>
      <c r="F66" s="71" t="str">
        <f t="shared" si="5"/>
        <v/>
      </c>
      <c r="G66" s="26"/>
      <c r="H66" s="26"/>
      <c r="I66" s="26"/>
      <c r="J66" s="26"/>
      <c r="K66" s="26"/>
      <c r="L66" s="26"/>
      <c r="M66" s="26"/>
      <c r="N66" s="26"/>
      <c r="O66" s="26"/>
    </row>
    <row r="67" ht="15.75" customHeight="1">
      <c r="A67" s="68"/>
      <c r="B67" s="21">
        <v>63.0</v>
      </c>
      <c r="C67" s="30" t="s">
        <v>111</v>
      </c>
      <c r="D67" s="30" t="s">
        <v>112</v>
      </c>
      <c r="E67" s="70" t="str">
        <f t="shared" ref="E67:E77" si="6">IF(COUNTIF(G67:N67, "완료")=0, "", COUNTIF($G$4:$N$4, "완료") &amp; "번 중 " &amp; COUNTIF(G67:N67, "완료") &amp; "번 참여")
</f>
        <v/>
      </c>
      <c r="F67" s="71" t="str">
        <f t="shared" ref="F67:F77" si="7">IF(COUNTIF($G$4:$N$4, "완료")=0, "", IF(COUNTIF(G67:N67, "완료")=0, "", COUNTIF(G67:N67, "완료") / COUNTIF($G$4:$N$4, "완료")))
</f>
        <v/>
      </c>
      <c r="G67" s="26"/>
      <c r="H67" s="26"/>
      <c r="I67" s="26"/>
      <c r="J67" s="26"/>
      <c r="K67" s="26"/>
      <c r="L67" s="26"/>
      <c r="M67" s="26"/>
      <c r="N67" s="26"/>
      <c r="O67" s="27"/>
    </row>
    <row r="68" ht="15.75" customHeight="1">
      <c r="A68" s="47"/>
      <c r="B68" s="29">
        <v>64.0</v>
      </c>
      <c r="C68" s="22" t="s">
        <v>113</v>
      </c>
      <c r="D68" s="22" t="s">
        <v>114</v>
      </c>
      <c r="E68" s="70" t="str">
        <f t="shared" si="6"/>
        <v>7번 중 7번 참여</v>
      </c>
      <c r="F68" s="71">
        <f t="shared" si="7"/>
        <v>1</v>
      </c>
      <c r="G68" s="26"/>
      <c r="H68" s="26" t="s">
        <v>25</v>
      </c>
      <c r="I68" s="26" t="s">
        <v>25</v>
      </c>
      <c r="J68" s="26" t="s">
        <v>25</v>
      </c>
      <c r="K68" s="26" t="s">
        <v>25</v>
      </c>
      <c r="L68" s="26" t="s">
        <v>25</v>
      </c>
      <c r="M68" s="26" t="s">
        <v>25</v>
      </c>
      <c r="N68" s="26" t="s">
        <v>25</v>
      </c>
      <c r="O68" s="27" t="s">
        <v>25</v>
      </c>
    </row>
    <row r="69" ht="15.75" customHeight="1">
      <c r="A69" s="68"/>
      <c r="B69" s="21">
        <v>65.0</v>
      </c>
      <c r="C69" s="82" t="s">
        <v>115</v>
      </c>
      <c r="D69" s="83" t="s">
        <v>116</v>
      </c>
      <c r="E69" s="70" t="str">
        <f t="shared" si="6"/>
        <v/>
      </c>
      <c r="F69" s="71" t="str">
        <f t="shared" si="7"/>
        <v/>
      </c>
      <c r="G69" s="26"/>
      <c r="H69" s="26"/>
      <c r="I69" s="26"/>
      <c r="J69" s="26"/>
      <c r="K69" s="26"/>
      <c r="L69" s="26"/>
      <c r="M69" s="26"/>
      <c r="N69" s="26"/>
      <c r="O69" s="27"/>
    </row>
    <row r="70" ht="15.75" customHeight="1">
      <c r="A70" s="47" t="s">
        <v>206</v>
      </c>
      <c r="B70" s="48">
        <v>66.0</v>
      </c>
      <c r="C70" s="84" t="s">
        <v>118</v>
      </c>
      <c r="D70" s="50" t="s">
        <v>119</v>
      </c>
      <c r="E70" s="70" t="str">
        <f t="shared" si="6"/>
        <v>7번 중 7번 참여</v>
      </c>
      <c r="F70" s="71">
        <f t="shared" si="7"/>
        <v>1</v>
      </c>
      <c r="G70" s="26"/>
      <c r="H70" s="26" t="s">
        <v>25</v>
      </c>
      <c r="I70" s="26" t="s">
        <v>25</v>
      </c>
      <c r="J70" s="26" t="s">
        <v>25</v>
      </c>
      <c r="K70" s="26" t="s">
        <v>25</v>
      </c>
      <c r="L70" s="26" t="s">
        <v>25</v>
      </c>
      <c r="M70" s="26" t="s">
        <v>25</v>
      </c>
      <c r="N70" s="26" t="s">
        <v>25</v>
      </c>
      <c r="O70" s="27" t="s">
        <v>25</v>
      </c>
    </row>
    <row r="71" ht="15.75" customHeight="1">
      <c r="A71" s="47"/>
      <c r="B71" s="29">
        <v>67.0</v>
      </c>
      <c r="C71" s="30" t="s">
        <v>120</v>
      </c>
      <c r="D71" s="30" t="s">
        <v>121</v>
      </c>
      <c r="E71" s="70" t="str">
        <f t="shared" si="6"/>
        <v>7번 중 7번 참여</v>
      </c>
      <c r="F71" s="71">
        <f t="shared" si="7"/>
        <v>1</v>
      </c>
      <c r="G71" s="26"/>
      <c r="H71" s="26" t="s">
        <v>25</v>
      </c>
      <c r="I71" s="26" t="s">
        <v>25</v>
      </c>
      <c r="J71" s="26" t="s">
        <v>25</v>
      </c>
      <c r="K71" s="26" t="s">
        <v>25</v>
      </c>
      <c r="L71" s="26" t="s">
        <v>25</v>
      </c>
      <c r="M71" s="26" t="s">
        <v>25</v>
      </c>
      <c r="N71" s="26" t="s">
        <v>25</v>
      </c>
      <c r="O71" s="27" t="s">
        <v>25</v>
      </c>
    </row>
    <row r="72" ht="15.75" customHeight="1">
      <c r="A72" s="47"/>
      <c r="B72" s="29">
        <v>68.0</v>
      </c>
      <c r="C72" s="30" t="s">
        <v>122</v>
      </c>
      <c r="D72" s="78" t="s">
        <v>123</v>
      </c>
      <c r="E72" s="70" t="str">
        <f t="shared" si="6"/>
        <v/>
      </c>
      <c r="F72" s="71" t="str">
        <f t="shared" si="7"/>
        <v/>
      </c>
      <c r="G72" s="26"/>
      <c r="H72" s="26"/>
      <c r="I72" s="26"/>
      <c r="J72" s="26"/>
      <c r="K72" s="26"/>
      <c r="L72" s="26"/>
      <c r="M72" s="26"/>
      <c r="N72" s="26"/>
      <c r="O72" s="27"/>
    </row>
    <row r="73" ht="15.75" customHeight="1">
      <c r="A73" s="68"/>
      <c r="B73" s="21">
        <v>69.0</v>
      </c>
      <c r="C73" s="22" t="s">
        <v>124</v>
      </c>
      <c r="D73" s="22" t="s">
        <v>125</v>
      </c>
      <c r="E73" s="70" t="str">
        <f t="shared" si="6"/>
        <v>7번 중 4번 참여</v>
      </c>
      <c r="F73" s="71">
        <f t="shared" si="7"/>
        <v>0.5714285714</v>
      </c>
      <c r="G73" s="26"/>
      <c r="H73" s="26" t="s">
        <v>25</v>
      </c>
      <c r="I73" s="26" t="s">
        <v>25</v>
      </c>
      <c r="J73" s="26" t="s">
        <v>25</v>
      </c>
      <c r="K73" s="26" t="s">
        <v>25</v>
      </c>
      <c r="L73" s="26"/>
      <c r="M73" s="26"/>
      <c r="N73" s="26"/>
      <c r="O73" s="27"/>
    </row>
    <row r="74" ht="15.75" customHeight="1">
      <c r="A74" s="47"/>
      <c r="B74" s="29">
        <v>70.0</v>
      </c>
      <c r="C74" s="44" t="s">
        <v>126</v>
      </c>
      <c r="D74" s="81" t="s">
        <v>127</v>
      </c>
      <c r="E74" s="70" t="str">
        <f t="shared" si="6"/>
        <v/>
      </c>
      <c r="F74" s="71" t="str">
        <f t="shared" si="7"/>
        <v/>
      </c>
      <c r="G74" s="26"/>
      <c r="H74" s="26"/>
      <c r="I74" s="26"/>
      <c r="J74" s="26"/>
      <c r="K74" s="26"/>
      <c r="L74" s="26"/>
      <c r="M74" s="26"/>
      <c r="N74" s="26"/>
      <c r="O74" s="27"/>
    </row>
    <row r="75" ht="15.75" customHeight="1">
      <c r="A75" s="68"/>
      <c r="B75" s="21">
        <v>71.0</v>
      </c>
      <c r="C75" s="22" t="s">
        <v>128</v>
      </c>
      <c r="D75" s="74" t="s">
        <v>129</v>
      </c>
      <c r="E75" s="70" t="str">
        <f t="shared" si="6"/>
        <v/>
      </c>
      <c r="F75" s="71" t="str">
        <f t="shared" si="7"/>
        <v/>
      </c>
      <c r="G75" s="26"/>
      <c r="H75" s="26"/>
      <c r="I75" s="26"/>
      <c r="J75" s="26"/>
      <c r="K75" s="26"/>
      <c r="L75" s="26"/>
      <c r="M75" s="26"/>
      <c r="N75" s="26"/>
      <c r="O75" s="27"/>
    </row>
    <row r="76" ht="15.75" customHeight="1">
      <c r="A76" s="50"/>
      <c r="B76" s="30">
        <v>72.0</v>
      </c>
      <c r="C76" s="30" t="s">
        <v>130</v>
      </c>
      <c r="D76" s="30" t="s">
        <v>131</v>
      </c>
      <c r="E76" s="70" t="str">
        <f t="shared" si="6"/>
        <v/>
      </c>
      <c r="F76" s="71" t="str">
        <f t="shared" si="7"/>
        <v/>
      </c>
      <c r="G76" s="26"/>
      <c r="H76" s="26"/>
      <c r="I76" s="26"/>
      <c r="J76" s="26"/>
      <c r="K76" s="26"/>
      <c r="L76" s="26"/>
      <c r="M76" s="26"/>
      <c r="N76" s="26"/>
      <c r="O76" s="27"/>
    </row>
    <row r="77" ht="15.75" customHeight="1">
      <c r="A77" s="30"/>
      <c r="B77" s="30">
        <v>73.0</v>
      </c>
      <c r="C77" s="30" t="s">
        <v>132</v>
      </c>
      <c r="D77" s="22" t="s">
        <v>133</v>
      </c>
      <c r="E77" s="70" t="str">
        <f t="shared" si="6"/>
        <v/>
      </c>
      <c r="F77" s="71" t="str">
        <f t="shared" si="7"/>
        <v/>
      </c>
      <c r="G77" s="26"/>
      <c r="H77" s="26"/>
      <c r="I77" s="26"/>
      <c r="J77" s="26"/>
      <c r="K77" s="26"/>
      <c r="L77" s="26"/>
      <c r="M77" s="26"/>
      <c r="N77" s="26"/>
      <c r="O77" s="27"/>
    </row>
    <row r="78" ht="15.75" customHeight="1">
      <c r="A78" s="47"/>
      <c r="B78" s="29">
        <v>74.0</v>
      </c>
      <c r="C78" s="42"/>
      <c r="D78" s="42"/>
      <c r="E78" s="70"/>
      <c r="F78" s="71"/>
      <c r="G78" s="26"/>
      <c r="H78" s="26"/>
      <c r="I78" s="26"/>
      <c r="J78" s="26"/>
      <c r="K78" s="26"/>
      <c r="L78" s="26"/>
      <c r="M78" s="26"/>
      <c r="N78" s="26"/>
      <c r="O78" s="27"/>
    </row>
    <row r="79" ht="15.75" customHeight="1">
      <c r="A79" s="68"/>
      <c r="B79" s="21">
        <v>75.0</v>
      </c>
      <c r="C79" s="30" t="s">
        <v>136</v>
      </c>
      <c r="D79" s="30" t="s">
        <v>137</v>
      </c>
      <c r="E79" s="70" t="str">
        <f t="shared" ref="E79:E124" si="8">IF(COUNTIF(G79:N79, "완료")=0, "", COUNTIF($G$4:$N$4, "완료") &amp; "번 중 " &amp; COUNTIF(G79:N79, "완료") &amp; "번 참여")
</f>
        <v/>
      </c>
      <c r="F79" s="71" t="str">
        <f t="shared" ref="F79:F124" si="9">IF(COUNTIF($G$4:$N$4, "완료")=0, "", IF(COUNTIF(G79:N79, "완료")=0, "", COUNTIF(G79:N79, "완료") / COUNTIF($G$4:$N$4, "완료")))
</f>
        <v/>
      </c>
      <c r="G79" s="26"/>
      <c r="H79" s="26"/>
      <c r="I79" s="26"/>
      <c r="J79" s="26"/>
      <c r="K79" s="26"/>
      <c r="L79" s="26"/>
      <c r="M79" s="26"/>
      <c r="N79" s="26"/>
      <c r="O79" s="27"/>
    </row>
    <row r="80" ht="15.75" customHeight="1">
      <c r="A80" s="47"/>
      <c r="B80" s="29">
        <v>76.0</v>
      </c>
      <c r="C80" s="22" t="s">
        <v>138</v>
      </c>
      <c r="D80" s="22" t="s">
        <v>139</v>
      </c>
      <c r="E80" s="70" t="str">
        <f t="shared" si="8"/>
        <v/>
      </c>
      <c r="F80" s="71" t="str">
        <f t="shared" si="9"/>
        <v/>
      </c>
      <c r="G80" s="26"/>
      <c r="H80" s="26"/>
      <c r="I80" s="26"/>
      <c r="J80" s="26"/>
      <c r="K80" s="26"/>
      <c r="L80" s="26"/>
      <c r="M80" s="26"/>
      <c r="N80" s="26"/>
      <c r="O80" s="27"/>
    </row>
    <row r="81" ht="15.75" customHeight="1">
      <c r="A81" s="68"/>
      <c r="B81" s="21">
        <v>77.0</v>
      </c>
      <c r="C81" s="30" t="s">
        <v>140</v>
      </c>
      <c r="D81" s="22" t="s">
        <v>141</v>
      </c>
      <c r="E81" s="70" t="str">
        <f t="shared" si="8"/>
        <v/>
      </c>
      <c r="F81" s="71" t="str">
        <f t="shared" si="9"/>
        <v/>
      </c>
      <c r="G81" s="26"/>
      <c r="H81" s="26"/>
      <c r="I81" s="26"/>
      <c r="J81" s="26"/>
      <c r="K81" s="26"/>
      <c r="L81" s="26"/>
      <c r="M81" s="26"/>
      <c r="N81" s="26"/>
      <c r="O81" s="27"/>
    </row>
    <row r="82" ht="15.75" customHeight="1">
      <c r="A82" s="47"/>
      <c r="B82" s="29">
        <v>78.0</v>
      </c>
      <c r="C82" s="22" t="s">
        <v>142</v>
      </c>
      <c r="D82" s="22" t="s">
        <v>143</v>
      </c>
      <c r="E82" s="70" t="str">
        <f t="shared" si="8"/>
        <v/>
      </c>
      <c r="F82" s="71" t="str">
        <f t="shared" si="9"/>
        <v/>
      </c>
      <c r="G82" s="26"/>
      <c r="H82" s="26"/>
      <c r="I82" s="26"/>
      <c r="J82" s="26"/>
      <c r="K82" s="26"/>
      <c r="L82" s="26"/>
      <c r="M82" s="26"/>
      <c r="N82" s="26"/>
      <c r="O82" s="27"/>
    </row>
    <row r="83" ht="15.75" customHeight="1">
      <c r="A83" s="68"/>
      <c r="B83" s="21">
        <v>79.0</v>
      </c>
      <c r="C83" s="30" t="s">
        <v>144</v>
      </c>
      <c r="D83" s="30" t="s">
        <v>145</v>
      </c>
      <c r="E83" s="70" t="str">
        <f t="shared" si="8"/>
        <v/>
      </c>
      <c r="F83" s="71" t="str">
        <f t="shared" si="9"/>
        <v/>
      </c>
      <c r="G83" s="26"/>
      <c r="H83" s="26"/>
      <c r="I83" s="26"/>
      <c r="J83" s="26"/>
      <c r="K83" s="26"/>
      <c r="L83" s="26"/>
      <c r="M83" s="26"/>
      <c r="N83" s="26"/>
      <c r="O83" s="27"/>
    </row>
    <row r="84" ht="15.75" customHeight="1">
      <c r="A84" s="47"/>
      <c r="B84" s="29">
        <v>80.0</v>
      </c>
      <c r="C84" s="22" t="s">
        <v>146</v>
      </c>
      <c r="D84" s="22" t="s">
        <v>147</v>
      </c>
      <c r="E84" s="70" t="str">
        <f t="shared" si="8"/>
        <v>7번 중 7번 참여</v>
      </c>
      <c r="F84" s="71">
        <f t="shared" si="9"/>
        <v>1</v>
      </c>
      <c r="G84" s="26"/>
      <c r="H84" s="26" t="s">
        <v>25</v>
      </c>
      <c r="I84" s="26" t="s">
        <v>25</v>
      </c>
      <c r="J84" s="26" t="s">
        <v>25</v>
      </c>
      <c r="K84" s="26" t="s">
        <v>25</v>
      </c>
      <c r="L84" s="26" t="s">
        <v>25</v>
      </c>
      <c r="M84" s="26" t="s">
        <v>25</v>
      </c>
      <c r="N84" s="26" t="s">
        <v>25</v>
      </c>
      <c r="O84" s="27" t="s">
        <v>25</v>
      </c>
    </row>
    <row r="85" ht="15.75" customHeight="1">
      <c r="A85" s="68"/>
      <c r="B85" s="21">
        <v>81.0</v>
      </c>
      <c r="C85" s="30" t="s">
        <v>148</v>
      </c>
      <c r="D85" s="30" t="s">
        <v>149</v>
      </c>
      <c r="E85" s="70" t="str">
        <f t="shared" si="8"/>
        <v>7번 중 7번 참여</v>
      </c>
      <c r="F85" s="71">
        <f t="shared" si="9"/>
        <v>1</v>
      </c>
      <c r="G85" s="26"/>
      <c r="H85" s="26" t="s">
        <v>25</v>
      </c>
      <c r="I85" s="26" t="s">
        <v>25</v>
      </c>
      <c r="J85" s="26" t="s">
        <v>25</v>
      </c>
      <c r="K85" s="26" t="s">
        <v>25</v>
      </c>
      <c r="L85" s="26" t="s">
        <v>25</v>
      </c>
      <c r="M85" s="26" t="s">
        <v>25</v>
      </c>
      <c r="N85" s="26" t="s">
        <v>25</v>
      </c>
      <c r="O85" s="27" t="s">
        <v>25</v>
      </c>
    </row>
    <row r="86" ht="15.75" customHeight="1">
      <c r="A86" s="47"/>
      <c r="B86" s="29">
        <v>82.0</v>
      </c>
      <c r="C86" s="30" t="s">
        <v>150</v>
      </c>
      <c r="D86" s="78" t="s">
        <v>151</v>
      </c>
      <c r="E86" s="70" t="str">
        <f t="shared" si="8"/>
        <v/>
      </c>
      <c r="F86" s="71" t="str">
        <f t="shared" si="9"/>
        <v/>
      </c>
      <c r="G86" s="26"/>
      <c r="H86" s="26"/>
      <c r="I86" s="26"/>
      <c r="J86" s="26"/>
      <c r="K86" s="26"/>
      <c r="L86" s="26"/>
      <c r="M86" s="26"/>
      <c r="N86" s="26"/>
      <c r="O86" s="27"/>
    </row>
    <row r="87" ht="15.75" customHeight="1">
      <c r="A87" s="68"/>
      <c r="B87" s="21">
        <v>83.0</v>
      </c>
      <c r="C87" s="22" t="s">
        <v>152</v>
      </c>
      <c r="D87" s="22" t="s">
        <v>153</v>
      </c>
      <c r="E87" s="70" t="str">
        <f t="shared" si="8"/>
        <v/>
      </c>
      <c r="F87" s="71" t="str">
        <f t="shared" si="9"/>
        <v/>
      </c>
      <c r="G87" s="26"/>
      <c r="H87" s="26"/>
      <c r="I87" s="26"/>
      <c r="J87" s="26"/>
      <c r="K87" s="26"/>
      <c r="L87" s="26"/>
      <c r="M87" s="26"/>
      <c r="N87" s="26"/>
      <c r="O87" s="27"/>
    </row>
    <row r="88" ht="15.75" customHeight="1">
      <c r="A88" s="47"/>
      <c r="B88" s="29">
        <v>84.0</v>
      </c>
      <c r="C88" s="30" t="s">
        <v>154</v>
      </c>
      <c r="D88" s="30" t="s">
        <v>155</v>
      </c>
      <c r="E88" s="70" t="str">
        <f t="shared" si="8"/>
        <v>7번 중 7번 참여</v>
      </c>
      <c r="F88" s="71">
        <f t="shared" si="9"/>
        <v>1</v>
      </c>
      <c r="G88" s="26"/>
      <c r="H88" s="26" t="s">
        <v>25</v>
      </c>
      <c r="I88" s="26" t="s">
        <v>25</v>
      </c>
      <c r="J88" s="26" t="s">
        <v>25</v>
      </c>
      <c r="K88" s="26" t="s">
        <v>25</v>
      </c>
      <c r="L88" s="26" t="s">
        <v>25</v>
      </c>
      <c r="M88" s="26" t="s">
        <v>25</v>
      </c>
      <c r="N88" s="26" t="s">
        <v>25</v>
      </c>
      <c r="O88" s="27" t="s">
        <v>25</v>
      </c>
    </row>
    <row r="89" ht="15.75" customHeight="1">
      <c r="A89" s="68"/>
      <c r="B89" s="21">
        <v>85.0</v>
      </c>
      <c r="C89" s="22" t="s">
        <v>156</v>
      </c>
      <c r="D89" s="22" t="s">
        <v>157</v>
      </c>
      <c r="E89" s="70" t="str">
        <f t="shared" si="8"/>
        <v>7번 중 6번 참여</v>
      </c>
      <c r="F89" s="71">
        <f t="shared" si="9"/>
        <v>0.8571428571</v>
      </c>
      <c r="G89" s="26"/>
      <c r="H89" s="26" t="s">
        <v>25</v>
      </c>
      <c r="I89" s="26" t="s">
        <v>25</v>
      </c>
      <c r="J89" s="26" t="s">
        <v>25</v>
      </c>
      <c r="K89" s="26" t="s">
        <v>25</v>
      </c>
      <c r="L89" s="26" t="s">
        <v>25</v>
      </c>
      <c r="M89" s="26"/>
      <c r="N89" s="26" t="s">
        <v>25</v>
      </c>
      <c r="O89" s="27" t="s">
        <v>25</v>
      </c>
    </row>
    <row r="90" ht="15.75" customHeight="1">
      <c r="A90" s="47"/>
      <c r="B90" s="29">
        <v>86.0</v>
      </c>
      <c r="C90" s="42" t="s">
        <v>158</v>
      </c>
      <c r="D90" s="42" t="s">
        <v>159</v>
      </c>
      <c r="E90" s="70" t="str">
        <f t="shared" si="8"/>
        <v>7번 중 7번 참여</v>
      </c>
      <c r="F90" s="71">
        <f t="shared" si="9"/>
        <v>1</v>
      </c>
      <c r="G90" s="26"/>
      <c r="H90" s="26" t="s">
        <v>25</v>
      </c>
      <c r="I90" s="26" t="s">
        <v>25</v>
      </c>
      <c r="J90" s="26" t="s">
        <v>25</v>
      </c>
      <c r="K90" s="85" t="s">
        <v>25</v>
      </c>
      <c r="L90" s="26" t="s">
        <v>25</v>
      </c>
      <c r="M90" s="26" t="s">
        <v>25</v>
      </c>
      <c r="N90" s="26" t="s">
        <v>25</v>
      </c>
      <c r="O90" s="27" t="s">
        <v>25</v>
      </c>
    </row>
    <row r="91" ht="15.75" customHeight="1">
      <c r="A91" s="68"/>
      <c r="B91" s="21">
        <v>87.0</v>
      </c>
      <c r="C91" s="42" t="s">
        <v>160</v>
      </c>
      <c r="D91" s="42" t="s">
        <v>161</v>
      </c>
      <c r="E91" s="70" t="str">
        <f t="shared" si="8"/>
        <v>7번 중 7번 참여</v>
      </c>
      <c r="F91" s="71">
        <f t="shared" si="9"/>
        <v>1</v>
      </c>
      <c r="G91" s="26"/>
      <c r="H91" s="26" t="s">
        <v>25</v>
      </c>
      <c r="I91" s="26" t="s">
        <v>25</v>
      </c>
      <c r="J91" s="26" t="s">
        <v>25</v>
      </c>
      <c r="K91" s="26" t="s">
        <v>25</v>
      </c>
      <c r="L91" s="26" t="s">
        <v>25</v>
      </c>
      <c r="M91" s="26" t="s">
        <v>25</v>
      </c>
      <c r="N91" s="26" t="s">
        <v>25</v>
      </c>
      <c r="O91" s="27" t="s">
        <v>25</v>
      </c>
    </row>
    <row r="92" ht="15.75" customHeight="1">
      <c r="A92" s="47"/>
      <c r="B92" s="29">
        <v>88.0</v>
      </c>
      <c r="C92" s="30" t="s">
        <v>162</v>
      </c>
      <c r="D92" s="30" t="s">
        <v>163</v>
      </c>
      <c r="E92" s="70" t="str">
        <f t="shared" si="8"/>
        <v>7번 중 6번 참여</v>
      </c>
      <c r="F92" s="71">
        <f t="shared" si="9"/>
        <v>0.8571428571</v>
      </c>
      <c r="G92" s="26"/>
      <c r="H92" s="26" t="s">
        <v>25</v>
      </c>
      <c r="I92" s="26" t="s">
        <v>25</v>
      </c>
      <c r="J92" s="26"/>
      <c r="K92" s="26" t="s">
        <v>25</v>
      </c>
      <c r="L92" s="26" t="s">
        <v>25</v>
      </c>
      <c r="M92" s="26" t="s">
        <v>25</v>
      </c>
      <c r="N92" s="26" t="s">
        <v>25</v>
      </c>
      <c r="O92" s="27" t="s">
        <v>25</v>
      </c>
    </row>
    <row r="93" ht="15.75" customHeight="1">
      <c r="A93" s="68"/>
      <c r="B93" s="21">
        <v>89.0</v>
      </c>
      <c r="C93" s="22" t="s">
        <v>164</v>
      </c>
      <c r="D93" s="22" t="s">
        <v>165</v>
      </c>
      <c r="E93" s="70" t="str">
        <f t="shared" si="8"/>
        <v/>
      </c>
      <c r="F93" s="71" t="str">
        <f t="shared" si="9"/>
        <v/>
      </c>
      <c r="G93" s="26"/>
      <c r="H93" s="26"/>
      <c r="I93" s="26"/>
      <c r="J93" s="26"/>
      <c r="K93" s="26"/>
      <c r="L93" s="26"/>
      <c r="M93" s="26"/>
      <c r="N93" s="26"/>
      <c r="O93" s="27"/>
    </row>
    <row r="94" ht="15.75" customHeight="1">
      <c r="A94" s="47"/>
      <c r="B94" s="29">
        <v>90.0</v>
      </c>
      <c r="C94" s="42" t="s">
        <v>166</v>
      </c>
      <c r="D94" s="42" t="s">
        <v>167</v>
      </c>
      <c r="E94" s="70" t="str">
        <f t="shared" si="8"/>
        <v>7번 중 4번 참여</v>
      </c>
      <c r="F94" s="71">
        <f t="shared" si="9"/>
        <v>0.5714285714</v>
      </c>
      <c r="G94" s="26"/>
      <c r="H94" s="26" t="s">
        <v>25</v>
      </c>
      <c r="I94" s="26"/>
      <c r="J94" s="26" t="s">
        <v>25</v>
      </c>
      <c r="K94" s="26" t="s">
        <v>25</v>
      </c>
      <c r="L94" s="26" t="s">
        <v>25</v>
      </c>
      <c r="M94" s="26"/>
      <c r="N94" s="26"/>
      <c r="O94" s="27" t="s">
        <v>25</v>
      </c>
    </row>
    <row r="95" ht="15.75" customHeight="1">
      <c r="A95" s="68"/>
      <c r="B95" s="21">
        <v>91.0</v>
      </c>
      <c r="C95" s="22" t="s">
        <v>168</v>
      </c>
      <c r="D95" s="74" t="s">
        <v>169</v>
      </c>
      <c r="E95" s="70" t="str">
        <f t="shared" si="8"/>
        <v/>
      </c>
      <c r="F95" s="71" t="str">
        <f t="shared" si="9"/>
        <v/>
      </c>
      <c r="G95" s="26"/>
      <c r="H95" s="26"/>
      <c r="I95" s="26"/>
      <c r="J95" s="26"/>
      <c r="K95" s="26"/>
      <c r="L95" s="26"/>
      <c r="M95" s="26"/>
      <c r="N95" s="26"/>
      <c r="O95" s="27"/>
    </row>
    <row r="96" ht="15.75" customHeight="1">
      <c r="A96" s="47"/>
      <c r="B96" s="29">
        <v>92.0</v>
      </c>
      <c r="C96" s="30" t="s">
        <v>170</v>
      </c>
      <c r="D96" s="30" t="s">
        <v>171</v>
      </c>
      <c r="E96" s="70" t="str">
        <f t="shared" si="8"/>
        <v/>
      </c>
      <c r="F96" s="71" t="str">
        <f t="shared" si="9"/>
        <v/>
      </c>
      <c r="G96" s="26"/>
      <c r="H96" s="26"/>
      <c r="I96" s="26"/>
      <c r="J96" s="26"/>
      <c r="K96" s="26"/>
      <c r="L96" s="26"/>
      <c r="M96" s="26"/>
      <c r="N96" s="26"/>
      <c r="O96" s="27"/>
    </row>
    <row r="97" ht="15.75" customHeight="1">
      <c r="A97" s="68"/>
      <c r="B97" s="21">
        <v>93.0</v>
      </c>
      <c r="C97" s="22" t="s">
        <v>172</v>
      </c>
      <c r="D97" s="74" t="s">
        <v>173</v>
      </c>
      <c r="E97" s="70" t="str">
        <f t="shared" si="8"/>
        <v/>
      </c>
      <c r="F97" s="71" t="str">
        <f t="shared" si="9"/>
        <v/>
      </c>
      <c r="G97" s="26"/>
      <c r="H97" s="26"/>
      <c r="I97" s="26"/>
      <c r="J97" s="26"/>
      <c r="K97" s="26"/>
      <c r="L97" s="26"/>
      <c r="M97" s="26"/>
      <c r="N97" s="26"/>
      <c r="O97" s="27"/>
    </row>
    <row r="98" ht="15.75" customHeight="1">
      <c r="A98" s="47"/>
      <c r="B98" s="29">
        <v>94.0</v>
      </c>
      <c r="C98" s="30" t="s">
        <v>174</v>
      </c>
      <c r="D98" s="78" t="s">
        <v>175</v>
      </c>
      <c r="E98" s="70" t="str">
        <f t="shared" si="8"/>
        <v/>
      </c>
      <c r="F98" s="71" t="str">
        <f t="shared" si="9"/>
        <v/>
      </c>
      <c r="G98" s="26"/>
      <c r="H98" s="26"/>
      <c r="I98" s="26"/>
      <c r="J98" s="26"/>
      <c r="K98" s="26"/>
      <c r="L98" s="26"/>
      <c r="M98" s="26"/>
      <c r="N98" s="26"/>
      <c r="O98" s="27"/>
    </row>
    <row r="99" ht="15.75" customHeight="1">
      <c r="A99" s="68"/>
      <c r="B99" s="21">
        <v>95.0</v>
      </c>
      <c r="C99" s="39" t="s">
        <v>176</v>
      </c>
      <c r="D99" s="79" t="s">
        <v>177</v>
      </c>
      <c r="E99" s="70" t="str">
        <f t="shared" si="8"/>
        <v>7번 중 7번 참여</v>
      </c>
      <c r="F99" s="71">
        <f t="shared" si="9"/>
        <v>1</v>
      </c>
      <c r="G99" s="26"/>
      <c r="H99" s="26" t="s">
        <v>25</v>
      </c>
      <c r="I99" s="26" t="s">
        <v>25</v>
      </c>
      <c r="J99" s="26" t="s">
        <v>25</v>
      </c>
      <c r="K99" s="26" t="s">
        <v>25</v>
      </c>
      <c r="L99" s="26" t="s">
        <v>25</v>
      </c>
      <c r="M99" s="26" t="s">
        <v>25</v>
      </c>
      <c r="N99" s="26" t="s">
        <v>25</v>
      </c>
      <c r="O99" s="27"/>
    </row>
    <row r="100" ht="15.75" customHeight="1">
      <c r="A100" s="47"/>
      <c r="B100" s="29">
        <v>96.0</v>
      </c>
      <c r="C100" s="30" t="s">
        <v>178</v>
      </c>
      <c r="D100" s="72" t="s">
        <v>179</v>
      </c>
      <c r="E100" s="70" t="str">
        <f t="shared" si="8"/>
        <v/>
      </c>
      <c r="F100" s="71" t="str">
        <f t="shared" si="9"/>
        <v/>
      </c>
      <c r="G100" s="26"/>
      <c r="H100" s="26"/>
      <c r="I100" s="26"/>
      <c r="J100" s="26"/>
      <c r="K100" s="26"/>
      <c r="L100" s="26"/>
      <c r="M100" s="26"/>
      <c r="N100" s="26"/>
      <c r="O100" s="27"/>
    </row>
    <row r="101" ht="15.75" customHeight="1">
      <c r="A101" s="68"/>
      <c r="B101" s="21">
        <v>97.0</v>
      </c>
      <c r="C101" s="22" t="s">
        <v>180</v>
      </c>
      <c r="D101" s="74" t="s">
        <v>181</v>
      </c>
      <c r="E101" s="70" t="str">
        <f t="shared" si="8"/>
        <v>7번 중 7번 참여</v>
      </c>
      <c r="F101" s="71">
        <f t="shared" si="9"/>
        <v>1</v>
      </c>
      <c r="G101" s="26"/>
      <c r="H101" s="26" t="s">
        <v>25</v>
      </c>
      <c r="I101" s="26" t="s">
        <v>25</v>
      </c>
      <c r="J101" s="26" t="s">
        <v>25</v>
      </c>
      <c r="K101" s="26" t="s">
        <v>25</v>
      </c>
      <c r="L101" s="26" t="s">
        <v>25</v>
      </c>
      <c r="M101" s="26" t="s">
        <v>25</v>
      </c>
      <c r="N101" s="26" t="s">
        <v>25</v>
      </c>
      <c r="O101" s="27" t="s">
        <v>25</v>
      </c>
    </row>
    <row r="102" ht="15.75" customHeight="1">
      <c r="A102" s="47"/>
      <c r="B102" s="29">
        <v>98.0</v>
      </c>
      <c r="C102" s="86" t="s">
        <v>207</v>
      </c>
      <c r="D102" s="44" t="s">
        <v>208</v>
      </c>
      <c r="E102" s="70" t="str">
        <f t="shared" si="8"/>
        <v/>
      </c>
      <c r="F102" s="71" t="str">
        <f t="shared" si="9"/>
        <v/>
      </c>
      <c r="G102" s="26"/>
      <c r="H102" s="26"/>
      <c r="I102" s="26"/>
      <c r="J102" s="26"/>
      <c r="K102" s="26"/>
      <c r="L102" s="26"/>
      <c r="M102" s="26"/>
      <c r="N102" s="26"/>
      <c r="O102" s="27"/>
    </row>
    <row r="103" ht="15.75" customHeight="1">
      <c r="A103" s="68"/>
      <c r="B103" s="21">
        <v>99.0</v>
      </c>
      <c r="C103" s="43" t="s">
        <v>182</v>
      </c>
      <c r="D103" s="87" t="s">
        <v>183</v>
      </c>
      <c r="E103" s="70" t="str">
        <f t="shared" si="8"/>
        <v>7번 중 6번 참여</v>
      </c>
      <c r="F103" s="71">
        <f t="shared" si="9"/>
        <v>0.8571428571</v>
      </c>
      <c r="G103" s="26"/>
      <c r="H103" s="26" t="s">
        <v>25</v>
      </c>
      <c r="I103" s="26"/>
      <c r="J103" s="26" t="s">
        <v>25</v>
      </c>
      <c r="K103" s="26" t="s">
        <v>25</v>
      </c>
      <c r="L103" s="26" t="s">
        <v>25</v>
      </c>
      <c r="M103" s="26" t="s">
        <v>25</v>
      </c>
      <c r="N103" s="26" t="s">
        <v>25</v>
      </c>
      <c r="O103" s="27"/>
    </row>
    <row r="104" ht="15.75" customHeight="1">
      <c r="A104" s="47"/>
      <c r="B104" s="29">
        <v>100.0</v>
      </c>
      <c r="C104" s="30" t="s">
        <v>184</v>
      </c>
      <c r="D104" s="30" t="s">
        <v>185</v>
      </c>
      <c r="E104" s="70" t="str">
        <f t="shared" si="8"/>
        <v/>
      </c>
      <c r="F104" s="71" t="str">
        <f t="shared" si="9"/>
        <v/>
      </c>
      <c r="G104" s="26"/>
      <c r="H104" s="26"/>
      <c r="I104" s="26"/>
      <c r="J104" s="26"/>
      <c r="K104" s="26"/>
      <c r="L104" s="26"/>
      <c r="M104" s="26"/>
      <c r="N104" s="26"/>
      <c r="O104" s="27"/>
    </row>
    <row r="105" ht="15.75" customHeight="1">
      <c r="A105" s="68"/>
      <c r="B105" s="21">
        <v>101.0</v>
      </c>
      <c r="C105" s="88"/>
      <c r="D105" s="74"/>
      <c r="E105" s="70" t="str">
        <f t="shared" si="8"/>
        <v/>
      </c>
      <c r="F105" s="71" t="str">
        <f t="shared" si="9"/>
        <v/>
      </c>
      <c r="G105" s="26"/>
      <c r="H105" s="26"/>
      <c r="I105" s="26"/>
      <c r="J105" s="26"/>
      <c r="K105" s="26"/>
      <c r="L105" s="26"/>
      <c r="M105" s="26"/>
      <c r="N105" s="26"/>
      <c r="O105" s="27"/>
    </row>
    <row r="106" ht="15.75" customHeight="1">
      <c r="A106" s="47"/>
      <c r="B106" s="29">
        <v>102.0</v>
      </c>
      <c r="C106" s="88"/>
      <c r="D106" s="22"/>
      <c r="E106" s="70" t="str">
        <f t="shared" si="8"/>
        <v/>
      </c>
      <c r="F106" s="71" t="str">
        <f t="shared" si="9"/>
        <v/>
      </c>
      <c r="G106" s="26"/>
      <c r="H106" s="26"/>
      <c r="I106" s="26"/>
      <c r="J106" s="26"/>
      <c r="K106" s="26"/>
      <c r="L106" s="26"/>
      <c r="M106" s="26"/>
      <c r="N106" s="26"/>
      <c r="O106" s="27"/>
    </row>
    <row r="107" ht="15.75" customHeight="1">
      <c r="A107" s="68"/>
      <c r="B107" s="21">
        <v>103.0</v>
      </c>
      <c r="C107" s="89"/>
      <c r="D107" s="82"/>
      <c r="E107" s="70" t="str">
        <f t="shared" si="8"/>
        <v/>
      </c>
      <c r="F107" s="71" t="str">
        <f t="shared" si="9"/>
        <v/>
      </c>
      <c r="G107" s="26"/>
      <c r="H107" s="26"/>
      <c r="I107" s="26"/>
      <c r="J107" s="26"/>
      <c r="K107" s="26"/>
      <c r="L107" s="26"/>
      <c r="M107" s="26"/>
      <c r="N107" s="26"/>
      <c r="O107" s="27"/>
    </row>
    <row r="108" ht="15.75" customHeight="1">
      <c r="A108" s="47"/>
      <c r="B108" s="29">
        <v>104.0</v>
      </c>
      <c r="C108" s="90"/>
      <c r="D108" s="78"/>
      <c r="E108" s="70" t="str">
        <f t="shared" si="8"/>
        <v/>
      </c>
      <c r="F108" s="71" t="str">
        <f t="shared" si="9"/>
        <v/>
      </c>
      <c r="G108" s="26"/>
      <c r="H108" s="26"/>
      <c r="I108" s="26"/>
      <c r="J108" s="26"/>
      <c r="K108" s="26"/>
      <c r="L108" s="26"/>
      <c r="M108" s="26"/>
      <c r="N108" s="26"/>
      <c r="O108" s="27"/>
    </row>
    <row r="109" ht="15.75" customHeight="1">
      <c r="A109" s="68"/>
      <c r="B109" s="21">
        <v>105.0</v>
      </c>
      <c r="C109" s="33"/>
      <c r="D109" s="33"/>
      <c r="E109" s="70" t="str">
        <f t="shared" si="8"/>
        <v/>
      </c>
      <c r="F109" s="71" t="str">
        <f t="shared" si="9"/>
        <v/>
      </c>
      <c r="G109" s="26"/>
      <c r="H109" s="26"/>
      <c r="I109" s="26"/>
      <c r="J109" s="26"/>
      <c r="K109" s="26"/>
      <c r="L109" s="26"/>
      <c r="M109" s="26"/>
      <c r="N109" s="26"/>
      <c r="O109" s="27"/>
    </row>
    <row r="110" ht="15.75" customHeight="1">
      <c r="A110" s="47"/>
      <c r="B110" s="29">
        <v>106.0</v>
      </c>
      <c r="C110" s="35"/>
      <c r="D110" s="35"/>
      <c r="E110" s="70" t="str">
        <f t="shared" si="8"/>
        <v/>
      </c>
      <c r="F110" s="71" t="str">
        <f t="shared" si="9"/>
        <v/>
      </c>
      <c r="G110" s="26"/>
      <c r="H110" s="26"/>
      <c r="I110" s="26"/>
      <c r="J110" s="26"/>
      <c r="K110" s="26"/>
      <c r="L110" s="26"/>
      <c r="M110" s="26"/>
      <c r="N110" s="26"/>
      <c r="O110" s="27"/>
    </row>
    <row r="111" ht="15.75" customHeight="1">
      <c r="A111" s="68"/>
      <c r="B111" s="21">
        <v>107.0</v>
      </c>
      <c r="C111" s="33"/>
      <c r="D111" s="33"/>
      <c r="E111" s="70" t="str">
        <f t="shared" si="8"/>
        <v/>
      </c>
      <c r="F111" s="71" t="str">
        <f t="shared" si="9"/>
        <v/>
      </c>
      <c r="G111" s="26"/>
      <c r="H111" s="26"/>
      <c r="I111" s="26"/>
      <c r="J111" s="26"/>
      <c r="K111" s="26"/>
      <c r="L111" s="26"/>
      <c r="M111" s="26"/>
      <c r="N111" s="26"/>
      <c r="O111" s="27"/>
    </row>
    <row r="112" ht="15.75" customHeight="1">
      <c r="A112" s="47"/>
      <c r="B112" s="29">
        <v>108.0</v>
      </c>
      <c r="C112" s="35"/>
      <c r="D112" s="35"/>
      <c r="E112" s="70" t="str">
        <f t="shared" si="8"/>
        <v/>
      </c>
      <c r="F112" s="71" t="str">
        <f t="shared" si="9"/>
        <v/>
      </c>
      <c r="G112" s="26"/>
      <c r="H112" s="26"/>
      <c r="I112" s="26"/>
      <c r="J112" s="26"/>
      <c r="K112" s="26"/>
      <c r="L112" s="26"/>
      <c r="M112" s="26"/>
      <c r="N112" s="26"/>
      <c r="O112" s="27"/>
    </row>
    <row r="113" ht="15.75" customHeight="1">
      <c r="A113" s="68"/>
      <c r="B113" s="21">
        <v>109.0</v>
      </c>
      <c r="C113" s="33"/>
      <c r="D113" s="33"/>
      <c r="E113" s="70" t="str">
        <f t="shared" si="8"/>
        <v/>
      </c>
      <c r="F113" s="71" t="str">
        <f t="shared" si="9"/>
        <v/>
      </c>
      <c r="G113" s="26"/>
      <c r="H113" s="26"/>
      <c r="I113" s="26"/>
      <c r="J113" s="26"/>
      <c r="K113" s="26"/>
      <c r="L113" s="26"/>
      <c r="M113" s="26"/>
      <c r="N113" s="26"/>
      <c r="O113" s="27"/>
    </row>
    <row r="114" ht="15.75" customHeight="1">
      <c r="A114" s="47"/>
      <c r="B114" s="29">
        <v>110.0</v>
      </c>
      <c r="C114" s="35"/>
      <c r="D114" s="35"/>
      <c r="E114" s="70" t="str">
        <f t="shared" si="8"/>
        <v/>
      </c>
      <c r="F114" s="71" t="str">
        <f t="shared" si="9"/>
        <v/>
      </c>
      <c r="G114" s="26"/>
      <c r="H114" s="26"/>
      <c r="I114" s="26"/>
      <c r="J114" s="26"/>
      <c r="K114" s="26"/>
      <c r="L114" s="26"/>
      <c r="M114" s="26"/>
      <c r="N114" s="26"/>
      <c r="O114" s="27"/>
    </row>
    <row r="115" ht="15.75" customHeight="1">
      <c r="A115" s="68"/>
      <c r="B115" s="21">
        <v>111.0</v>
      </c>
      <c r="C115" s="33"/>
      <c r="D115" s="33"/>
      <c r="E115" s="70" t="str">
        <f t="shared" si="8"/>
        <v/>
      </c>
      <c r="F115" s="71" t="str">
        <f t="shared" si="9"/>
        <v/>
      </c>
      <c r="G115" s="26"/>
      <c r="H115" s="26"/>
      <c r="I115" s="26"/>
      <c r="J115" s="26"/>
      <c r="K115" s="26"/>
      <c r="L115" s="26"/>
      <c r="M115" s="26"/>
      <c r="N115" s="26"/>
      <c r="O115" s="27"/>
    </row>
    <row r="116" ht="15.75" customHeight="1">
      <c r="A116" s="47"/>
      <c r="B116" s="29">
        <v>112.0</v>
      </c>
      <c r="C116" s="35"/>
      <c r="D116" s="35"/>
      <c r="E116" s="70" t="str">
        <f t="shared" si="8"/>
        <v/>
      </c>
      <c r="F116" s="71" t="str">
        <f t="shared" si="9"/>
        <v/>
      </c>
      <c r="G116" s="26"/>
      <c r="H116" s="26"/>
      <c r="I116" s="26"/>
      <c r="J116" s="26"/>
      <c r="K116" s="26"/>
      <c r="L116" s="26"/>
      <c r="M116" s="26"/>
      <c r="N116" s="26"/>
      <c r="O116" s="27"/>
    </row>
    <row r="117" ht="15.75" customHeight="1">
      <c r="A117" s="68"/>
      <c r="B117" s="21">
        <v>113.0</v>
      </c>
      <c r="C117" s="33"/>
      <c r="D117" s="33"/>
      <c r="E117" s="70" t="str">
        <f t="shared" si="8"/>
        <v/>
      </c>
      <c r="F117" s="71" t="str">
        <f t="shared" si="9"/>
        <v/>
      </c>
      <c r="G117" s="26"/>
      <c r="H117" s="26"/>
      <c r="I117" s="26"/>
      <c r="J117" s="26"/>
      <c r="K117" s="26"/>
      <c r="L117" s="26"/>
      <c r="M117" s="26"/>
      <c r="N117" s="26"/>
      <c r="O117" s="27"/>
    </row>
    <row r="118" ht="15.75" customHeight="1">
      <c r="A118" s="47"/>
      <c r="B118" s="29">
        <v>114.0</v>
      </c>
      <c r="C118" s="35"/>
      <c r="D118" s="35"/>
      <c r="E118" s="70" t="str">
        <f t="shared" si="8"/>
        <v/>
      </c>
      <c r="F118" s="71" t="str">
        <f t="shared" si="9"/>
        <v/>
      </c>
      <c r="G118" s="26"/>
      <c r="H118" s="26"/>
      <c r="I118" s="26"/>
      <c r="J118" s="26"/>
      <c r="K118" s="26"/>
      <c r="L118" s="26"/>
      <c r="M118" s="26"/>
      <c r="N118" s="26"/>
      <c r="O118" s="27"/>
    </row>
    <row r="119" ht="15.75" customHeight="1">
      <c r="A119" s="68"/>
      <c r="B119" s="21">
        <v>115.0</v>
      </c>
      <c r="C119" s="33"/>
      <c r="D119" s="33"/>
      <c r="E119" s="70" t="str">
        <f t="shared" si="8"/>
        <v/>
      </c>
      <c r="F119" s="71" t="str">
        <f t="shared" si="9"/>
        <v/>
      </c>
      <c r="G119" s="26"/>
      <c r="H119" s="26"/>
      <c r="I119" s="26"/>
      <c r="J119" s="26"/>
      <c r="K119" s="26"/>
      <c r="L119" s="26"/>
      <c r="M119" s="26"/>
      <c r="N119" s="26"/>
      <c r="O119" s="27"/>
    </row>
    <row r="120" ht="15.75" customHeight="1">
      <c r="A120" s="47"/>
      <c r="B120" s="29">
        <v>116.0</v>
      </c>
      <c r="C120" s="35"/>
      <c r="D120" s="35"/>
      <c r="E120" s="70" t="str">
        <f t="shared" si="8"/>
        <v/>
      </c>
      <c r="F120" s="71" t="str">
        <f t="shared" si="9"/>
        <v/>
      </c>
      <c r="G120" s="26"/>
      <c r="H120" s="26"/>
      <c r="I120" s="26"/>
      <c r="J120" s="26"/>
      <c r="K120" s="26"/>
      <c r="L120" s="26"/>
      <c r="M120" s="26"/>
      <c r="N120" s="26"/>
      <c r="O120" s="27"/>
    </row>
    <row r="121" ht="15.75" customHeight="1">
      <c r="A121" s="68"/>
      <c r="B121" s="21">
        <v>117.0</v>
      </c>
      <c r="C121" s="33"/>
      <c r="D121" s="33"/>
      <c r="E121" s="70" t="str">
        <f t="shared" si="8"/>
        <v/>
      </c>
      <c r="F121" s="71" t="str">
        <f t="shared" si="9"/>
        <v/>
      </c>
      <c r="G121" s="26"/>
      <c r="H121" s="26"/>
      <c r="I121" s="26"/>
      <c r="J121" s="26"/>
      <c r="K121" s="26"/>
      <c r="L121" s="26"/>
      <c r="M121" s="26"/>
      <c r="N121" s="26"/>
      <c r="O121" s="27"/>
    </row>
    <row r="122" ht="15.75" customHeight="1">
      <c r="A122" s="91"/>
      <c r="B122" s="55">
        <v>118.0</v>
      </c>
      <c r="C122" s="56"/>
      <c r="D122" s="56"/>
      <c r="E122" s="92" t="str">
        <f t="shared" si="8"/>
        <v/>
      </c>
      <c r="F122" s="93" t="str">
        <f t="shared" si="9"/>
        <v/>
      </c>
      <c r="G122" s="17"/>
      <c r="H122" s="17"/>
      <c r="I122" s="17"/>
      <c r="J122" s="17"/>
      <c r="K122" s="17"/>
      <c r="L122" s="17"/>
      <c r="M122" s="17"/>
      <c r="N122" s="17"/>
      <c r="O122" s="1"/>
    </row>
    <row r="123" ht="15.75" customHeight="1">
      <c r="A123" s="91"/>
      <c r="B123" s="55">
        <v>119.0</v>
      </c>
      <c r="C123" s="56"/>
      <c r="D123" s="56"/>
      <c r="E123" s="92" t="str">
        <f t="shared" si="8"/>
        <v/>
      </c>
      <c r="F123" s="93" t="str">
        <f t="shared" si="9"/>
        <v/>
      </c>
      <c r="G123" s="17"/>
      <c r="H123" s="17"/>
      <c r="I123" s="17"/>
      <c r="J123" s="17"/>
      <c r="K123" s="17"/>
      <c r="L123" s="17"/>
      <c r="M123" s="17"/>
      <c r="N123" s="17"/>
      <c r="O123" s="1"/>
    </row>
    <row r="124" ht="15.75" customHeight="1">
      <c r="A124" s="91"/>
      <c r="B124" s="55">
        <v>120.0</v>
      </c>
      <c r="C124" s="56"/>
      <c r="D124" s="56"/>
      <c r="E124" s="92" t="str">
        <f t="shared" si="8"/>
        <v/>
      </c>
      <c r="F124" s="93" t="str">
        <f t="shared" si="9"/>
        <v/>
      </c>
      <c r="G124" s="17"/>
      <c r="H124" s="17"/>
      <c r="I124" s="17"/>
      <c r="J124" s="17"/>
      <c r="K124" s="17"/>
      <c r="L124" s="17"/>
      <c r="M124" s="17"/>
      <c r="N124" s="17"/>
      <c r="O124" s="1"/>
    </row>
    <row r="125" ht="15.75" customHeight="1">
      <c r="A125" s="13"/>
      <c r="B125" s="13"/>
      <c r="C125" s="13"/>
      <c r="D125" s="13"/>
      <c r="E125" s="13"/>
      <c r="F125" s="13"/>
      <c r="G125" s="13"/>
      <c r="H125" s="13"/>
      <c r="I125" s="13"/>
      <c r="J125" s="13"/>
      <c r="K125" s="13"/>
      <c r="L125" s="13"/>
      <c r="M125" s="13"/>
      <c r="N125" s="13"/>
      <c r="O125" s="13"/>
    </row>
    <row r="126" ht="15.75" customHeight="1">
      <c r="A126" s="13"/>
      <c r="B126" s="13"/>
      <c r="C126" s="13"/>
      <c r="D126" s="13"/>
      <c r="E126" s="13"/>
      <c r="F126" s="13"/>
      <c r="G126" s="13"/>
      <c r="H126" s="13"/>
      <c r="I126" s="13"/>
      <c r="J126" s="13"/>
      <c r="K126" s="13"/>
      <c r="L126" s="13"/>
      <c r="M126" s="13"/>
      <c r="N126" s="13"/>
      <c r="O126" s="13"/>
    </row>
    <row r="127" ht="15.75" customHeight="1">
      <c r="A127" s="13"/>
      <c r="B127" s="13"/>
      <c r="C127" s="13"/>
      <c r="D127" s="13"/>
      <c r="E127" s="13"/>
      <c r="F127" s="13"/>
      <c r="G127" s="13"/>
      <c r="H127" s="13"/>
      <c r="I127" s="13"/>
      <c r="J127" s="13"/>
      <c r="K127" s="13"/>
      <c r="L127" s="13"/>
      <c r="M127" s="13"/>
      <c r="N127" s="13"/>
      <c r="O127" s="13"/>
    </row>
    <row r="128" ht="15.75" customHeight="1">
      <c r="A128" s="13"/>
      <c r="B128" s="13"/>
      <c r="C128" s="13"/>
      <c r="D128" s="13"/>
      <c r="E128" s="13"/>
      <c r="F128" s="13"/>
      <c r="G128" s="13"/>
      <c r="H128" s="13"/>
      <c r="I128" s="13"/>
      <c r="J128" s="13"/>
      <c r="K128" s="13"/>
      <c r="L128" s="13"/>
      <c r="M128" s="13"/>
      <c r="N128" s="13"/>
      <c r="O128" s="13"/>
    </row>
    <row r="129" ht="15.75" customHeight="1">
      <c r="A129" s="13"/>
      <c r="B129" s="13"/>
      <c r="C129" s="13"/>
      <c r="D129" s="13"/>
      <c r="E129" s="13"/>
      <c r="F129" s="13"/>
      <c r="G129" s="13"/>
      <c r="H129" s="13"/>
      <c r="I129" s="13"/>
      <c r="J129" s="13"/>
      <c r="K129" s="13"/>
      <c r="L129" s="13"/>
      <c r="M129" s="13"/>
      <c r="N129" s="13"/>
      <c r="O129" s="13"/>
    </row>
    <row r="130" ht="15.75" customHeight="1">
      <c r="A130" s="13"/>
      <c r="B130" s="13"/>
      <c r="C130" s="13"/>
      <c r="D130" s="13"/>
      <c r="E130" s="13"/>
      <c r="F130" s="13"/>
      <c r="G130" s="13"/>
      <c r="H130" s="13"/>
      <c r="I130" s="13"/>
      <c r="J130" s="13"/>
      <c r="K130" s="13"/>
      <c r="L130" s="13"/>
      <c r="M130" s="13"/>
      <c r="N130" s="13"/>
      <c r="O130" s="13"/>
    </row>
    <row r="131" ht="15.75" customHeight="1">
      <c r="A131" s="13"/>
      <c r="B131" s="13"/>
      <c r="C131" s="13"/>
      <c r="D131" s="13"/>
      <c r="E131" s="13"/>
      <c r="F131" s="13"/>
      <c r="G131" s="13"/>
      <c r="H131" s="13"/>
      <c r="I131" s="13"/>
      <c r="J131" s="13"/>
      <c r="K131" s="13"/>
      <c r="L131" s="13"/>
      <c r="M131" s="13"/>
      <c r="N131" s="13"/>
      <c r="O131" s="13"/>
    </row>
    <row r="132" ht="15.75" customHeight="1">
      <c r="A132" s="13"/>
      <c r="B132" s="13"/>
      <c r="C132" s="13"/>
      <c r="D132" s="13"/>
      <c r="E132" s="13"/>
      <c r="F132" s="13"/>
      <c r="G132" s="13"/>
      <c r="H132" s="13"/>
      <c r="I132" s="13"/>
      <c r="J132" s="13"/>
      <c r="K132" s="13"/>
      <c r="L132" s="13"/>
      <c r="M132" s="13"/>
      <c r="N132" s="13"/>
      <c r="O132" s="13"/>
    </row>
    <row r="133" ht="15.75" customHeight="1">
      <c r="A133" s="13"/>
      <c r="B133" s="13"/>
      <c r="C133" s="13"/>
      <c r="D133" s="13"/>
      <c r="E133" s="13"/>
      <c r="F133" s="13"/>
      <c r="G133" s="13"/>
      <c r="H133" s="13"/>
      <c r="I133" s="13"/>
      <c r="J133" s="13"/>
      <c r="K133" s="13"/>
      <c r="L133" s="13"/>
      <c r="M133" s="13"/>
      <c r="N133" s="13"/>
      <c r="O133" s="13"/>
    </row>
    <row r="134" ht="15.75" customHeight="1">
      <c r="A134" s="13"/>
      <c r="B134" s="13"/>
      <c r="C134" s="13"/>
      <c r="D134" s="13"/>
      <c r="E134" s="13"/>
      <c r="F134" s="13"/>
      <c r="G134" s="13"/>
      <c r="H134" s="13"/>
      <c r="I134" s="13"/>
      <c r="J134" s="13"/>
      <c r="K134" s="13"/>
      <c r="L134" s="13"/>
      <c r="M134" s="13"/>
      <c r="N134" s="13"/>
      <c r="O134" s="13"/>
    </row>
    <row r="135" ht="15.75" customHeight="1">
      <c r="A135" s="13"/>
      <c r="B135" s="13"/>
      <c r="C135" s="13"/>
      <c r="D135" s="13"/>
      <c r="E135" s="13"/>
      <c r="F135" s="13"/>
      <c r="G135" s="13"/>
      <c r="H135" s="13"/>
      <c r="I135" s="13"/>
      <c r="J135" s="13"/>
      <c r="K135" s="13"/>
      <c r="L135" s="13"/>
      <c r="M135" s="13"/>
      <c r="N135" s="13"/>
      <c r="O135" s="13"/>
    </row>
    <row r="136" ht="15.75" customHeight="1">
      <c r="A136" s="13"/>
      <c r="B136" s="13"/>
      <c r="C136" s="13"/>
      <c r="D136" s="13"/>
      <c r="E136" s="13"/>
      <c r="F136" s="13"/>
      <c r="G136" s="13"/>
      <c r="H136" s="13"/>
      <c r="I136" s="13"/>
      <c r="J136" s="13"/>
      <c r="K136" s="13"/>
      <c r="L136" s="13"/>
      <c r="M136" s="13"/>
      <c r="N136" s="13"/>
      <c r="O136" s="13"/>
    </row>
    <row r="137" ht="15.75" customHeight="1">
      <c r="A137" s="13"/>
      <c r="B137" s="13"/>
      <c r="C137" s="13"/>
      <c r="D137" s="13"/>
      <c r="E137" s="13"/>
      <c r="F137" s="13"/>
      <c r="G137" s="13"/>
      <c r="H137" s="13"/>
      <c r="I137" s="13"/>
      <c r="J137" s="13"/>
      <c r="K137" s="13"/>
      <c r="L137" s="13"/>
      <c r="M137" s="13"/>
      <c r="N137" s="13"/>
      <c r="O137" s="13"/>
    </row>
    <row r="138" ht="15.75" customHeight="1">
      <c r="A138" s="13"/>
      <c r="B138" s="13"/>
      <c r="C138" s="13"/>
      <c r="D138" s="13"/>
      <c r="E138" s="13"/>
      <c r="F138" s="13"/>
      <c r="G138" s="13"/>
      <c r="H138" s="13"/>
      <c r="I138" s="13"/>
      <c r="J138" s="13"/>
      <c r="K138" s="13"/>
      <c r="L138" s="13"/>
      <c r="M138" s="13"/>
      <c r="N138" s="13"/>
      <c r="O138" s="13"/>
    </row>
    <row r="139" ht="15.75" customHeight="1">
      <c r="A139" s="13"/>
      <c r="B139" s="13"/>
      <c r="C139" s="13"/>
      <c r="D139" s="13"/>
      <c r="E139" s="13"/>
      <c r="F139" s="13"/>
      <c r="G139" s="13"/>
      <c r="H139" s="13"/>
      <c r="I139" s="13"/>
      <c r="J139" s="13"/>
      <c r="K139" s="13"/>
      <c r="L139" s="13"/>
      <c r="M139" s="13"/>
      <c r="N139" s="13"/>
      <c r="O139" s="13"/>
    </row>
    <row r="140" ht="15.75" customHeight="1">
      <c r="A140" s="13"/>
      <c r="B140" s="13"/>
      <c r="C140" s="13"/>
      <c r="D140" s="13"/>
      <c r="E140" s="13"/>
      <c r="F140" s="13"/>
      <c r="G140" s="13"/>
      <c r="H140" s="13"/>
      <c r="I140" s="13"/>
      <c r="J140" s="13"/>
      <c r="K140" s="13"/>
      <c r="L140" s="13"/>
      <c r="M140" s="13"/>
      <c r="N140" s="13"/>
      <c r="O140" s="13"/>
    </row>
    <row r="141" ht="15.75" customHeight="1">
      <c r="A141" s="13"/>
      <c r="B141" s="13"/>
      <c r="C141" s="13"/>
      <c r="D141" s="13"/>
      <c r="E141" s="13"/>
      <c r="F141" s="13"/>
      <c r="G141" s="13"/>
      <c r="H141" s="13"/>
      <c r="I141" s="13"/>
      <c r="J141" s="13"/>
      <c r="K141" s="13"/>
      <c r="L141" s="13"/>
      <c r="M141" s="13"/>
      <c r="N141" s="13"/>
      <c r="O141" s="13"/>
    </row>
    <row r="142" ht="15.75" customHeight="1">
      <c r="A142" s="13"/>
      <c r="B142" s="13"/>
      <c r="C142" s="13"/>
      <c r="D142" s="13"/>
      <c r="E142" s="13"/>
      <c r="F142" s="13"/>
      <c r="G142" s="13"/>
      <c r="H142" s="13"/>
      <c r="I142" s="13"/>
      <c r="J142" s="13"/>
      <c r="K142" s="13"/>
      <c r="L142" s="13"/>
      <c r="M142" s="13"/>
      <c r="N142" s="13"/>
      <c r="O142" s="13"/>
    </row>
    <row r="143" ht="15.75" customHeight="1">
      <c r="A143" s="13"/>
      <c r="B143" s="13"/>
      <c r="C143" s="13"/>
      <c r="D143" s="13"/>
      <c r="E143" s="13"/>
      <c r="F143" s="13"/>
      <c r="G143" s="13"/>
      <c r="H143" s="13"/>
      <c r="I143" s="13"/>
      <c r="J143" s="13"/>
      <c r="K143" s="13"/>
      <c r="L143" s="13"/>
      <c r="M143" s="13"/>
      <c r="N143" s="13"/>
      <c r="O143" s="13"/>
    </row>
    <row r="144" ht="15.75" customHeight="1">
      <c r="A144" s="13"/>
      <c r="B144" s="13"/>
      <c r="C144" s="13"/>
      <c r="D144" s="13"/>
      <c r="E144" s="13"/>
      <c r="F144" s="13"/>
      <c r="G144" s="13"/>
      <c r="H144" s="13"/>
      <c r="I144" s="13"/>
      <c r="J144" s="13"/>
      <c r="K144" s="13"/>
      <c r="L144" s="13"/>
      <c r="M144" s="13"/>
      <c r="N144" s="13"/>
      <c r="O144" s="13"/>
    </row>
    <row r="145" ht="15.75" customHeight="1">
      <c r="A145" s="13"/>
      <c r="B145" s="13"/>
      <c r="C145" s="13"/>
      <c r="D145" s="13"/>
      <c r="E145" s="13"/>
      <c r="F145" s="13"/>
      <c r="G145" s="13"/>
      <c r="H145" s="13"/>
      <c r="I145" s="13"/>
      <c r="J145" s="13"/>
      <c r="K145" s="13"/>
      <c r="L145" s="13"/>
      <c r="M145" s="13"/>
      <c r="N145" s="13"/>
      <c r="O145" s="13"/>
    </row>
    <row r="146" ht="15.75" customHeight="1">
      <c r="A146" s="13"/>
      <c r="B146" s="13"/>
      <c r="C146" s="13"/>
      <c r="D146" s="13"/>
      <c r="E146" s="13"/>
      <c r="F146" s="13"/>
      <c r="G146" s="13"/>
      <c r="H146" s="13"/>
      <c r="I146" s="13"/>
      <c r="J146" s="13"/>
      <c r="K146" s="13"/>
      <c r="L146" s="13"/>
      <c r="M146" s="13"/>
      <c r="N146" s="13"/>
      <c r="O146" s="13"/>
    </row>
    <row r="147" ht="15.75" customHeight="1">
      <c r="A147" s="13"/>
      <c r="B147" s="13"/>
      <c r="C147" s="13"/>
      <c r="D147" s="13"/>
      <c r="E147" s="13"/>
      <c r="F147" s="13"/>
      <c r="G147" s="13"/>
      <c r="H147" s="13"/>
      <c r="I147" s="13"/>
      <c r="J147" s="13"/>
      <c r="K147" s="13"/>
      <c r="L147" s="13"/>
      <c r="M147" s="13"/>
      <c r="N147" s="13"/>
      <c r="O147" s="13"/>
    </row>
    <row r="148" ht="15.75" customHeight="1">
      <c r="A148" s="13"/>
      <c r="B148" s="13"/>
      <c r="C148" s="13"/>
      <c r="D148" s="13"/>
      <c r="E148" s="13"/>
      <c r="F148" s="13"/>
      <c r="G148" s="13"/>
      <c r="H148" s="13"/>
      <c r="I148" s="13"/>
      <c r="J148" s="13"/>
      <c r="K148" s="13"/>
      <c r="L148" s="13"/>
      <c r="M148" s="13"/>
      <c r="N148" s="13"/>
      <c r="O148" s="13"/>
    </row>
    <row r="149" ht="15.75" customHeight="1">
      <c r="A149" s="13"/>
      <c r="B149" s="13"/>
      <c r="C149" s="13"/>
      <c r="D149" s="13"/>
      <c r="E149" s="13"/>
      <c r="F149" s="13"/>
      <c r="G149" s="13"/>
      <c r="H149" s="13"/>
      <c r="I149" s="13"/>
      <c r="J149" s="13"/>
      <c r="K149" s="13"/>
      <c r="L149" s="13"/>
      <c r="M149" s="13"/>
      <c r="N149" s="13"/>
      <c r="O149" s="13"/>
    </row>
    <row r="150" ht="15.75" customHeight="1">
      <c r="A150" s="13"/>
      <c r="B150" s="13"/>
      <c r="C150" s="13"/>
      <c r="D150" s="13"/>
      <c r="E150" s="13"/>
      <c r="F150" s="13"/>
      <c r="G150" s="13"/>
      <c r="H150" s="13"/>
      <c r="I150" s="13"/>
      <c r="J150" s="13"/>
      <c r="K150" s="13"/>
      <c r="L150" s="13"/>
      <c r="M150" s="13"/>
      <c r="N150" s="13"/>
      <c r="O150" s="13"/>
    </row>
    <row r="151" ht="15.75" customHeight="1">
      <c r="A151" s="13"/>
      <c r="B151" s="13"/>
      <c r="C151" s="13"/>
      <c r="D151" s="13"/>
      <c r="E151" s="13"/>
      <c r="F151" s="13"/>
      <c r="G151" s="13"/>
      <c r="H151" s="13"/>
      <c r="I151" s="13"/>
      <c r="J151" s="13"/>
      <c r="K151" s="13"/>
      <c r="L151" s="13"/>
      <c r="M151" s="13"/>
      <c r="N151" s="13"/>
      <c r="O151" s="13"/>
    </row>
    <row r="152" ht="15.75" customHeight="1">
      <c r="A152" s="13"/>
      <c r="B152" s="13"/>
      <c r="C152" s="13"/>
      <c r="D152" s="13"/>
      <c r="E152" s="13"/>
      <c r="F152" s="13"/>
      <c r="G152" s="13"/>
      <c r="H152" s="13"/>
      <c r="I152" s="13"/>
      <c r="J152" s="13"/>
      <c r="K152" s="13"/>
      <c r="L152" s="13"/>
      <c r="M152" s="13"/>
      <c r="N152" s="13"/>
      <c r="O152" s="13"/>
    </row>
    <row r="153" ht="15.75" customHeight="1">
      <c r="A153" s="13"/>
      <c r="B153" s="13"/>
      <c r="C153" s="13"/>
      <c r="D153" s="13"/>
      <c r="E153" s="13"/>
      <c r="F153" s="13"/>
      <c r="G153" s="13"/>
      <c r="H153" s="13"/>
      <c r="I153" s="13"/>
      <c r="J153" s="13"/>
      <c r="K153" s="13"/>
      <c r="L153" s="13"/>
      <c r="M153" s="13"/>
      <c r="N153" s="13"/>
      <c r="O153" s="13"/>
    </row>
    <row r="154" ht="15.75" customHeight="1">
      <c r="A154" s="13"/>
      <c r="B154" s="13"/>
      <c r="C154" s="13"/>
      <c r="D154" s="13"/>
      <c r="E154" s="13"/>
      <c r="F154" s="13"/>
      <c r="G154" s="13"/>
      <c r="H154" s="13"/>
      <c r="I154" s="13"/>
      <c r="J154" s="13"/>
      <c r="K154" s="13"/>
      <c r="L154" s="13"/>
      <c r="M154" s="13"/>
      <c r="N154" s="13"/>
      <c r="O154" s="13"/>
    </row>
    <row r="155" ht="15.75" customHeight="1">
      <c r="A155" s="13"/>
      <c r="B155" s="13"/>
      <c r="C155" s="13"/>
      <c r="D155" s="13"/>
      <c r="E155" s="13"/>
      <c r="F155" s="13"/>
      <c r="G155" s="13"/>
      <c r="H155" s="13"/>
      <c r="I155" s="13"/>
      <c r="J155" s="13"/>
      <c r="K155" s="13"/>
      <c r="L155" s="13"/>
      <c r="M155" s="13"/>
      <c r="N155" s="13"/>
      <c r="O155" s="13"/>
    </row>
    <row r="156" ht="15.75" customHeight="1">
      <c r="A156" s="13"/>
      <c r="B156" s="13"/>
      <c r="C156" s="13"/>
      <c r="D156" s="13"/>
      <c r="E156" s="13"/>
      <c r="F156" s="13"/>
      <c r="G156" s="13"/>
      <c r="H156" s="13"/>
      <c r="I156" s="13"/>
      <c r="J156" s="13"/>
      <c r="K156" s="13"/>
      <c r="L156" s="13"/>
      <c r="M156" s="13"/>
      <c r="N156" s="13"/>
      <c r="O156" s="13"/>
    </row>
    <row r="157" ht="15.75" customHeight="1">
      <c r="A157" s="13"/>
      <c r="B157" s="13"/>
      <c r="C157" s="13"/>
      <c r="D157" s="13"/>
      <c r="E157" s="13"/>
      <c r="F157" s="13"/>
      <c r="G157" s="13"/>
      <c r="H157" s="13"/>
      <c r="I157" s="13"/>
      <c r="J157" s="13"/>
      <c r="K157" s="13"/>
      <c r="L157" s="13"/>
      <c r="M157" s="13"/>
      <c r="N157" s="13"/>
      <c r="O157" s="13"/>
    </row>
    <row r="158" ht="15.75" customHeight="1">
      <c r="A158" s="13"/>
      <c r="B158" s="13"/>
      <c r="C158" s="13"/>
      <c r="D158" s="13"/>
      <c r="E158" s="13"/>
      <c r="F158" s="13"/>
      <c r="G158" s="13"/>
      <c r="H158" s="13"/>
      <c r="I158" s="13"/>
      <c r="J158" s="13"/>
      <c r="K158" s="13"/>
      <c r="L158" s="13"/>
      <c r="M158" s="13"/>
      <c r="N158" s="13"/>
      <c r="O158" s="13"/>
    </row>
    <row r="159" ht="15.75" customHeight="1">
      <c r="A159" s="13"/>
      <c r="B159" s="13"/>
      <c r="C159" s="13"/>
      <c r="D159" s="13"/>
      <c r="E159" s="13"/>
      <c r="F159" s="13"/>
      <c r="G159" s="13"/>
      <c r="H159" s="13"/>
      <c r="I159" s="13"/>
      <c r="J159" s="13"/>
      <c r="K159" s="13"/>
      <c r="L159" s="13"/>
      <c r="M159" s="13"/>
      <c r="N159" s="13"/>
      <c r="O159" s="13"/>
    </row>
    <row r="160" ht="15.75" customHeight="1">
      <c r="A160" s="13"/>
      <c r="B160" s="13"/>
      <c r="C160" s="13"/>
      <c r="D160" s="13"/>
      <c r="E160" s="13"/>
      <c r="F160" s="13"/>
      <c r="G160" s="13"/>
      <c r="H160" s="13"/>
      <c r="I160" s="13"/>
      <c r="J160" s="13"/>
      <c r="K160" s="13"/>
      <c r="L160" s="13"/>
      <c r="M160" s="13"/>
      <c r="N160" s="13"/>
      <c r="O160" s="13"/>
    </row>
    <row r="161" ht="15.75" customHeight="1">
      <c r="A161" s="13"/>
      <c r="B161" s="13"/>
      <c r="C161" s="13"/>
      <c r="D161" s="13"/>
      <c r="E161" s="13"/>
      <c r="F161" s="13"/>
      <c r="G161" s="13"/>
      <c r="H161" s="13"/>
      <c r="I161" s="13"/>
      <c r="J161" s="13"/>
      <c r="K161" s="13"/>
      <c r="L161" s="13"/>
      <c r="M161" s="13"/>
      <c r="N161" s="13"/>
      <c r="O161" s="13"/>
    </row>
    <row r="162" ht="15.75" customHeight="1">
      <c r="A162" s="13"/>
      <c r="B162" s="13"/>
      <c r="C162" s="13"/>
      <c r="D162" s="13"/>
      <c r="E162" s="13"/>
      <c r="F162" s="13"/>
      <c r="G162" s="13"/>
      <c r="H162" s="13"/>
      <c r="I162" s="13"/>
      <c r="J162" s="13"/>
      <c r="K162" s="13"/>
      <c r="L162" s="13"/>
      <c r="M162" s="13"/>
      <c r="N162" s="13"/>
      <c r="O162" s="13"/>
    </row>
    <row r="163" ht="15.75" customHeight="1">
      <c r="A163" s="13"/>
      <c r="B163" s="13"/>
      <c r="C163" s="13"/>
      <c r="D163" s="13"/>
      <c r="E163" s="13"/>
      <c r="F163" s="13"/>
      <c r="G163" s="13"/>
      <c r="H163" s="13"/>
      <c r="I163" s="13"/>
      <c r="J163" s="13"/>
      <c r="K163" s="13"/>
      <c r="L163" s="13"/>
      <c r="M163" s="13"/>
      <c r="N163" s="13"/>
      <c r="O163" s="13"/>
    </row>
    <row r="164" ht="15.75" customHeight="1">
      <c r="A164" s="13"/>
      <c r="B164" s="13"/>
      <c r="C164" s="13"/>
      <c r="D164" s="13"/>
      <c r="E164" s="13"/>
      <c r="F164" s="13"/>
      <c r="G164" s="13"/>
      <c r="H164" s="13"/>
      <c r="I164" s="13"/>
      <c r="J164" s="13"/>
      <c r="K164" s="13"/>
      <c r="L164" s="13"/>
      <c r="M164" s="13"/>
      <c r="N164" s="13"/>
      <c r="O164" s="13"/>
    </row>
    <row r="165" ht="15.75" customHeight="1">
      <c r="A165" s="13"/>
      <c r="B165" s="13"/>
      <c r="C165" s="13"/>
      <c r="D165" s="13"/>
      <c r="E165" s="13"/>
      <c r="F165" s="13"/>
      <c r="G165" s="13"/>
      <c r="H165" s="13"/>
      <c r="I165" s="13"/>
      <c r="J165" s="13"/>
      <c r="K165" s="13"/>
      <c r="L165" s="13"/>
      <c r="M165" s="13"/>
      <c r="N165" s="13"/>
      <c r="O165" s="13"/>
    </row>
    <row r="166" ht="15.75" customHeight="1">
      <c r="A166" s="13"/>
      <c r="B166" s="13"/>
      <c r="C166" s="13"/>
      <c r="D166" s="13"/>
      <c r="E166" s="13"/>
      <c r="F166" s="13"/>
      <c r="G166" s="13"/>
      <c r="H166" s="13"/>
      <c r="I166" s="13"/>
      <c r="J166" s="13"/>
      <c r="K166" s="13"/>
      <c r="L166" s="13"/>
      <c r="M166" s="13"/>
      <c r="N166" s="13"/>
      <c r="O166" s="13"/>
    </row>
    <row r="167" ht="15.75" customHeight="1">
      <c r="A167" s="13"/>
      <c r="B167" s="13"/>
      <c r="C167" s="13"/>
      <c r="D167" s="13"/>
      <c r="E167" s="13"/>
      <c r="F167" s="13"/>
      <c r="G167" s="13"/>
      <c r="H167" s="13"/>
      <c r="I167" s="13"/>
      <c r="J167" s="13"/>
      <c r="K167" s="13"/>
      <c r="L167" s="13"/>
      <c r="M167" s="13"/>
      <c r="N167" s="13"/>
      <c r="O167" s="13"/>
    </row>
    <row r="168" ht="15.75" customHeight="1">
      <c r="A168" s="13"/>
      <c r="B168" s="13"/>
      <c r="C168" s="13"/>
      <c r="D168" s="13"/>
      <c r="E168" s="13"/>
      <c r="F168" s="13"/>
      <c r="G168" s="13"/>
      <c r="H168" s="13"/>
      <c r="I168" s="13"/>
      <c r="J168" s="13"/>
      <c r="K168" s="13"/>
      <c r="L168" s="13"/>
      <c r="M168" s="13"/>
      <c r="N168" s="13"/>
      <c r="O168" s="13"/>
    </row>
    <row r="169" ht="15.75" customHeight="1">
      <c r="A169" s="13"/>
      <c r="B169" s="13"/>
      <c r="C169" s="13"/>
      <c r="D169" s="13"/>
      <c r="E169" s="13"/>
      <c r="F169" s="13"/>
      <c r="G169" s="13"/>
      <c r="H169" s="13"/>
      <c r="I169" s="13"/>
      <c r="J169" s="13"/>
      <c r="K169" s="13"/>
      <c r="L169" s="13"/>
      <c r="M169" s="13"/>
      <c r="N169" s="13"/>
      <c r="O169" s="13"/>
    </row>
    <row r="170" ht="15.75" customHeight="1">
      <c r="A170" s="13"/>
      <c r="B170" s="13"/>
      <c r="C170" s="13"/>
      <c r="D170" s="13"/>
      <c r="E170" s="13"/>
      <c r="F170" s="13"/>
      <c r="G170" s="13"/>
      <c r="H170" s="13"/>
      <c r="I170" s="13"/>
      <c r="J170" s="13"/>
      <c r="K170" s="13"/>
      <c r="L170" s="13"/>
      <c r="M170" s="13"/>
      <c r="N170" s="13"/>
      <c r="O170" s="13"/>
    </row>
    <row r="171" ht="15.75" customHeight="1">
      <c r="A171" s="13"/>
      <c r="B171" s="13"/>
      <c r="C171" s="13"/>
      <c r="D171" s="13"/>
      <c r="E171" s="13"/>
      <c r="F171" s="13"/>
      <c r="G171" s="13"/>
      <c r="H171" s="13"/>
      <c r="I171" s="13"/>
      <c r="J171" s="13"/>
      <c r="K171" s="13"/>
      <c r="L171" s="13"/>
      <c r="M171" s="13"/>
      <c r="N171" s="13"/>
      <c r="O171" s="13"/>
    </row>
    <row r="172" ht="15.75" customHeight="1">
      <c r="A172" s="13"/>
      <c r="B172" s="13"/>
      <c r="C172" s="13"/>
      <c r="D172" s="13"/>
      <c r="E172" s="13"/>
      <c r="F172" s="13"/>
      <c r="G172" s="13"/>
      <c r="H172" s="13"/>
      <c r="I172" s="13"/>
      <c r="J172" s="13"/>
      <c r="K172" s="13"/>
      <c r="L172" s="13"/>
      <c r="M172" s="13"/>
      <c r="N172" s="13"/>
      <c r="O172" s="13"/>
    </row>
    <row r="173" ht="15.75" customHeight="1">
      <c r="A173" s="13"/>
      <c r="B173" s="13"/>
      <c r="C173" s="13"/>
      <c r="D173" s="13"/>
      <c r="E173" s="13"/>
      <c r="F173" s="13"/>
      <c r="G173" s="13"/>
      <c r="H173" s="13"/>
      <c r="I173" s="13"/>
      <c r="J173" s="13"/>
      <c r="K173" s="13"/>
      <c r="L173" s="13"/>
      <c r="M173" s="13"/>
      <c r="N173" s="13"/>
      <c r="O173" s="13"/>
    </row>
    <row r="174" ht="15.75" customHeight="1">
      <c r="A174" s="13"/>
      <c r="B174" s="13"/>
      <c r="C174" s="13"/>
      <c r="D174" s="13"/>
      <c r="E174" s="13"/>
      <c r="F174" s="13"/>
      <c r="G174" s="13"/>
      <c r="H174" s="13"/>
      <c r="I174" s="13"/>
      <c r="J174" s="13"/>
      <c r="K174" s="13"/>
      <c r="L174" s="13"/>
      <c r="M174" s="13"/>
      <c r="N174" s="13"/>
      <c r="O174" s="13"/>
    </row>
    <row r="175" ht="15.75" customHeight="1">
      <c r="A175" s="13"/>
      <c r="B175" s="13"/>
      <c r="C175" s="13"/>
      <c r="D175" s="13"/>
      <c r="E175" s="13"/>
      <c r="F175" s="13"/>
      <c r="G175" s="13"/>
      <c r="H175" s="13"/>
      <c r="I175" s="13"/>
      <c r="J175" s="13"/>
      <c r="K175" s="13"/>
      <c r="L175" s="13"/>
      <c r="M175" s="13"/>
      <c r="N175" s="13"/>
      <c r="O175" s="13"/>
    </row>
    <row r="176" ht="15.75" customHeight="1">
      <c r="A176" s="13"/>
      <c r="B176" s="13"/>
      <c r="C176" s="13"/>
      <c r="D176" s="13"/>
      <c r="E176" s="13"/>
      <c r="F176" s="13"/>
      <c r="G176" s="13"/>
      <c r="H176" s="13"/>
      <c r="I176" s="13"/>
      <c r="J176" s="13"/>
      <c r="K176" s="13"/>
      <c r="L176" s="13"/>
      <c r="M176" s="13"/>
      <c r="N176" s="13"/>
      <c r="O176" s="13"/>
    </row>
    <row r="177" ht="15.75" customHeight="1">
      <c r="A177" s="13"/>
      <c r="B177" s="13"/>
      <c r="C177" s="13"/>
      <c r="D177" s="13"/>
      <c r="E177" s="13"/>
      <c r="F177" s="13"/>
      <c r="G177" s="13"/>
      <c r="H177" s="13"/>
      <c r="I177" s="13"/>
      <c r="J177" s="13"/>
      <c r="K177" s="13"/>
      <c r="L177" s="13"/>
      <c r="M177" s="13"/>
      <c r="N177" s="13"/>
      <c r="O177" s="13"/>
    </row>
    <row r="178" ht="15.75" customHeight="1">
      <c r="A178" s="13"/>
      <c r="B178" s="13"/>
      <c r="C178" s="13"/>
      <c r="D178" s="13"/>
      <c r="E178" s="13"/>
      <c r="F178" s="13"/>
      <c r="G178" s="13"/>
      <c r="H178" s="13"/>
      <c r="I178" s="13"/>
      <c r="J178" s="13"/>
      <c r="K178" s="13"/>
      <c r="L178" s="13"/>
      <c r="M178" s="13"/>
      <c r="N178" s="13"/>
      <c r="O178" s="13"/>
    </row>
    <row r="179" ht="15.75" customHeight="1">
      <c r="A179" s="13"/>
      <c r="B179" s="13"/>
      <c r="C179" s="13"/>
      <c r="D179" s="13"/>
      <c r="E179" s="13"/>
      <c r="F179" s="13"/>
      <c r="G179" s="13"/>
      <c r="H179" s="13"/>
      <c r="I179" s="13"/>
      <c r="J179" s="13"/>
      <c r="K179" s="13"/>
      <c r="L179" s="13"/>
      <c r="M179" s="13"/>
      <c r="N179" s="13"/>
      <c r="O179" s="13"/>
    </row>
    <row r="180" ht="15.75" customHeight="1">
      <c r="A180" s="13"/>
      <c r="B180" s="13"/>
      <c r="C180" s="13"/>
      <c r="D180" s="13"/>
      <c r="E180" s="13"/>
      <c r="F180" s="13"/>
      <c r="G180" s="13"/>
      <c r="H180" s="13"/>
      <c r="I180" s="13"/>
      <c r="J180" s="13"/>
      <c r="K180" s="13"/>
      <c r="L180" s="13"/>
      <c r="M180" s="13"/>
      <c r="N180" s="13"/>
      <c r="O180" s="13"/>
    </row>
    <row r="181" ht="15.75" customHeight="1">
      <c r="A181" s="13"/>
      <c r="B181" s="13"/>
      <c r="C181" s="13"/>
      <c r="D181" s="13"/>
      <c r="E181" s="13"/>
      <c r="F181" s="13"/>
      <c r="G181" s="13"/>
      <c r="H181" s="13"/>
      <c r="I181" s="13"/>
      <c r="J181" s="13"/>
      <c r="K181" s="13"/>
      <c r="L181" s="13"/>
      <c r="M181" s="13"/>
      <c r="N181" s="13"/>
      <c r="O181" s="13"/>
    </row>
    <row r="182" ht="15.75" customHeight="1">
      <c r="A182" s="13"/>
      <c r="B182" s="13"/>
      <c r="C182" s="13"/>
      <c r="D182" s="13"/>
      <c r="E182" s="13"/>
      <c r="F182" s="13"/>
      <c r="G182" s="13"/>
      <c r="H182" s="13"/>
      <c r="I182" s="13"/>
      <c r="J182" s="13"/>
      <c r="K182" s="13"/>
      <c r="L182" s="13"/>
      <c r="M182" s="13"/>
      <c r="N182" s="13"/>
      <c r="O182" s="13"/>
    </row>
    <row r="183" ht="15.75" customHeight="1">
      <c r="A183" s="13"/>
      <c r="B183" s="13"/>
      <c r="C183" s="13"/>
      <c r="D183" s="13"/>
      <c r="E183" s="13"/>
      <c r="F183" s="13"/>
      <c r="G183" s="13"/>
      <c r="H183" s="13"/>
      <c r="I183" s="13"/>
      <c r="J183" s="13"/>
      <c r="K183" s="13"/>
      <c r="L183" s="13"/>
      <c r="M183" s="13"/>
      <c r="N183" s="13"/>
      <c r="O183" s="13"/>
    </row>
    <row r="184" ht="15.75" customHeight="1">
      <c r="A184" s="13"/>
      <c r="B184" s="13"/>
      <c r="C184" s="13"/>
      <c r="D184" s="13"/>
      <c r="E184" s="13"/>
      <c r="F184" s="13"/>
      <c r="G184" s="13"/>
      <c r="H184" s="13"/>
      <c r="I184" s="13"/>
      <c r="J184" s="13"/>
      <c r="K184" s="13"/>
      <c r="L184" s="13"/>
      <c r="M184" s="13"/>
      <c r="N184" s="13"/>
      <c r="O184" s="13"/>
    </row>
    <row r="185" ht="15.75" customHeight="1">
      <c r="A185" s="13"/>
      <c r="B185" s="13"/>
      <c r="C185" s="13"/>
      <c r="D185" s="13"/>
      <c r="E185" s="13"/>
      <c r="F185" s="13"/>
      <c r="G185" s="13"/>
      <c r="H185" s="13"/>
      <c r="I185" s="13"/>
      <c r="J185" s="13"/>
      <c r="K185" s="13"/>
      <c r="L185" s="13"/>
      <c r="M185" s="13"/>
      <c r="N185" s="13"/>
      <c r="O185" s="13"/>
    </row>
    <row r="186" ht="15.75" customHeight="1">
      <c r="A186" s="13"/>
      <c r="B186" s="13"/>
      <c r="C186" s="13"/>
      <c r="D186" s="13"/>
      <c r="E186" s="13"/>
      <c r="F186" s="13"/>
      <c r="G186" s="13"/>
      <c r="H186" s="13"/>
      <c r="I186" s="13"/>
      <c r="J186" s="13"/>
      <c r="K186" s="13"/>
      <c r="L186" s="13"/>
      <c r="M186" s="13"/>
      <c r="N186" s="13"/>
      <c r="O186" s="13"/>
    </row>
    <row r="187" ht="15.75" customHeight="1">
      <c r="A187" s="13"/>
      <c r="B187" s="13"/>
      <c r="C187" s="13"/>
      <c r="D187" s="13"/>
      <c r="E187" s="13"/>
      <c r="F187" s="13"/>
      <c r="G187" s="13"/>
      <c r="H187" s="13"/>
      <c r="I187" s="13"/>
      <c r="J187" s="13"/>
      <c r="K187" s="13"/>
      <c r="L187" s="13"/>
      <c r="M187" s="13"/>
      <c r="N187" s="13"/>
      <c r="O187" s="13"/>
    </row>
    <row r="188" ht="15.75" customHeight="1">
      <c r="A188" s="13"/>
      <c r="B188" s="13"/>
      <c r="C188" s="13"/>
      <c r="D188" s="13"/>
      <c r="E188" s="13"/>
      <c r="F188" s="13"/>
      <c r="G188" s="13"/>
      <c r="H188" s="13"/>
      <c r="I188" s="13"/>
      <c r="J188" s="13"/>
      <c r="K188" s="13"/>
      <c r="L188" s="13"/>
      <c r="M188" s="13"/>
      <c r="N188" s="13"/>
      <c r="O188" s="13"/>
    </row>
    <row r="189" ht="15.75" customHeight="1">
      <c r="A189" s="13"/>
      <c r="B189" s="13"/>
      <c r="C189" s="13"/>
      <c r="D189" s="13"/>
      <c r="E189" s="13"/>
      <c r="F189" s="13"/>
      <c r="G189" s="13"/>
      <c r="H189" s="13"/>
      <c r="I189" s="13"/>
      <c r="J189" s="13"/>
      <c r="K189" s="13"/>
      <c r="L189" s="13"/>
      <c r="M189" s="13"/>
      <c r="N189" s="13"/>
      <c r="O189" s="13"/>
    </row>
    <row r="190" ht="15.75" customHeight="1">
      <c r="A190" s="13"/>
      <c r="B190" s="13"/>
      <c r="C190" s="13"/>
      <c r="D190" s="13"/>
      <c r="E190" s="13"/>
      <c r="F190" s="13"/>
      <c r="G190" s="13"/>
      <c r="H190" s="13"/>
      <c r="I190" s="13"/>
      <c r="J190" s="13"/>
      <c r="K190" s="13"/>
      <c r="L190" s="13"/>
      <c r="M190" s="13"/>
      <c r="N190" s="13"/>
      <c r="O190" s="13"/>
    </row>
    <row r="191" ht="15.75" customHeight="1">
      <c r="A191" s="13"/>
      <c r="B191" s="13"/>
      <c r="C191" s="13"/>
      <c r="D191" s="13"/>
      <c r="E191" s="13"/>
      <c r="F191" s="13"/>
      <c r="G191" s="13"/>
      <c r="H191" s="13"/>
      <c r="I191" s="13"/>
      <c r="J191" s="13"/>
      <c r="K191" s="13"/>
      <c r="L191" s="13"/>
      <c r="M191" s="13"/>
      <c r="N191" s="13"/>
      <c r="O191" s="13"/>
    </row>
    <row r="192" ht="15.75" customHeight="1">
      <c r="A192" s="13"/>
      <c r="B192" s="13"/>
      <c r="C192" s="13"/>
      <c r="D192" s="13"/>
      <c r="E192" s="13"/>
      <c r="F192" s="13"/>
      <c r="G192" s="13"/>
      <c r="H192" s="13"/>
      <c r="I192" s="13"/>
      <c r="J192" s="13"/>
      <c r="K192" s="13"/>
      <c r="L192" s="13"/>
      <c r="M192" s="13"/>
      <c r="N192" s="13"/>
      <c r="O192" s="13"/>
    </row>
    <row r="193" ht="15.75" customHeight="1">
      <c r="A193" s="13"/>
      <c r="B193" s="13"/>
      <c r="C193" s="13"/>
      <c r="D193" s="13"/>
      <c r="E193" s="13"/>
      <c r="F193" s="13"/>
      <c r="G193" s="13"/>
      <c r="H193" s="13"/>
      <c r="I193" s="13"/>
      <c r="J193" s="13"/>
      <c r="K193" s="13"/>
      <c r="L193" s="13"/>
      <c r="M193" s="13"/>
      <c r="N193" s="13"/>
      <c r="O193" s="13"/>
    </row>
    <row r="194" ht="15.75" customHeight="1">
      <c r="A194" s="13"/>
      <c r="B194" s="13"/>
      <c r="C194" s="13"/>
      <c r="D194" s="13"/>
      <c r="E194" s="13"/>
      <c r="F194" s="13"/>
      <c r="G194" s="13"/>
      <c r="H194" s="13"/>
      <c r="I194" s="13"/>
      <c r="J194" s="13"/>
      <c r="K194" s="13"/>
      <c r="L194" s="13"/>
      <c r="M194" s="13"/>
      <c r="N194" s="13"/>
      <c r="O194" s="13"/>
    </row>
    <row r="195" ht="15.75" customHeight="1">
      <c r="A195" s="13"/>
      <c r="B195" s="13"/>
      <c r="C195" s="13"/>
      <c r="D195" s="13"/>
      <c r="E195" s="13"/>
      <c r="F195" s="13"/>
      <c r="G195" s="13"/>
      <c r="H195" s="13"/>
      <c r="I195" s="13"/>
      <c r="J195" s="13"/>
      <c r="K195" s="13"/>
      <c r="L195" s="13"/>
      <c r="M195" s="13"/>
      <c r="N195" s="13"/>
      <c r="O195" s="13"/>
    </row>
    <row r="196" ht="15.75" customHeight="1">
      <c r="A196" s="13"/>
      <c r="B196" s="13"/>
      <c r="C196" s="13"/>
      <c r="D196" s="13"/>
      <c r="E196" s="13"/>
      <c r="F196" s="13"/>
      <c r="G196" s="13"/>
      <c r="H196" s="13"/>
      <c r="I196" s="13"/>
      <c r="J196" s="13"/>
      <c r="K196" s="13"/>
      <c r="L196" s="13"/>
      <c r="M196" s="13"/>
      <c r="N196" s="13"/>
      <c r="O196" s="13"/>
    </row>
    <row r="197" ht="15.75" customHeight="1">
      <c r="A197" s="13"/>
      <c r="B197" s="13"/>
      <c r="C197" s="13"/>
      <c r="D197" s="13"/>
      <c r="E197" s="13"/>
      <c r="F197" s="13"/>
      <c r="G197" s="13"/>
      <c r="H197" s="13"/>
      <c r="I197" s="13"/>
      <c r="J197" s="13"/>
      <c r="K197" s="13"/>
      <c r="L197" s="13"/>
      <c r="M197" s="13"/>
      <c r="N197" s="13"/>
      <c r="O197" s="13"/>
    </row>
    <row r="198" ht="15.75" customHeight="1">
      <c r="A198" s="13"/>
      <c r="B198" s="13"/>
      <c r="C198" s="13"/>
      <c r="D198" s="13"/>
      <c r="E198" s="13"/>
      <c r="F198" s="13"/>
      <c r="G198" s="13"/>
      <c r="H198" s="13"/>
      <c r="I198" s="13"/>
      <c r="J198" s="13"/>
      <c r="K198" s="13"/>
      <c r="L198" s="13"/>
      <c r="M198" s="13"/>
      <c r="N198" s="13"/>
      <c r="O198" s="13"/>
    </row>
    <row r="199" ht="15.75" customHeight="1">
      <c r="A199" s="13"/>
      <c r="B199" s="13"/>
      <c r="C199" s="13"/>
      <c r="D199" s="13"/>
      <c r="E199" s="13"/>
      <c r="F199" s="13"/>
      <c r="G199" s="13"/>
      <c r="H199" s="13"/>
      <c r="I199" s="13"/>
      <c r="J199" s="13"/>
      <c r="K199" s="13"/>
      <c r="L199" s="13"/>
      <c r="M199" s="13"/>
      <c r="N199" s="13"/>
      <c r="O199" s="13"/>
    </row>
    <row r="200" ht="15.75" customHeight="1">
      <c r="A200" s="13"/>
      <c r="B200" s="13"/>
      <c r="C200" s="13"/>
      <c r="D200" s="13"/>
      <c r="E200" s="13"/>
      <c r="F200" s="13"/>
      <c r="G200" s="13"/>
      <c r="H200" s="13"/>
      <c r="I200" s="13"/>
      <c r="J200" s="13"/>
      <c r="K200" s="13"/>
      <c r="L200" s="13"/>
      <c r="M200" s="13"/>
      <c r="N200" s="13"/>
      <c r="O200" s="13"/>
    </row>
    <row r="201" ht="15.75" customHeight="1">
      <c r="A201" s="13"/>
      <c r="B201" s="13"/>
      <c r="C201" s="13"/>
      <c r="D201" s="13"/>
      <c r="E201" s="13"/>
      <c r="F201" s="13"/>
      <c r="G201" s="13"/>
      <c r="H201" s="13"/>
      <c r="I201" s="13"/>
      <c r="J201" s="13"/>
      <c r="K201" s="13"/>
      <c r="L201" s="13"/>
      <c r="M201" s="13"/>
      <c r="N201" s="13"/>
      <c r="O201" s="13"/>
    </row>
    <row r="202" ht="15.75" customHeight="1">
      <c r="A202" s="13"/>
      <c r="B202" s="13"/>
      <c r="C202" s="13"/>
      <c r="D202" s="13"/>
      <c r="E202" s="13"/>
      <c r="F202" s="13"/>
      <c r="G202" s="13"/>
      <c r="H202" s="13"/>
      <c r="I202" s="13"/>
      <c r="J202" s="13"/>
      <c r="K202" s="13"/>
      <c r="L202" s="13"/>
      <c r="M202" s="13"/>
      <c r="N202" s="13"/>
      <c r="O202" s="13"/>
    </row>
    <row r="203" ht="15.75" customHeight="1">
      <c r="A203" s="13"/>
      <c r="B203" s="13"/>
      <c r="C203" s="13"/>
      <c r="D203" s="13"/>
      <c r="E203" s="13"/>
      <c r="F203" s="13"/>
      <c r="G203" s="13"/>
      <c r="H203" s="13"/>
      <c r="I203" s="13"/>
      <c r="J203" s="13"/>
      <c r="K203" s="13"/>
      <c r="L203" s="13"/>
      <c r="M203" s="13"/>
      <c r="N203" s="13"/>
      <c r="O203" s="13"/>
    </row>
    <row r="204" ht="15.75" customHeight="1">
      <c r="A204" s="13"/>
      <c r="B204" s="13"/>
      <c r="C204" s="13"/>
      <c r="D204" s="13"/>
      <c r="E204" s="13"/>
      <c r="F204" s="13"/>
      <c r="G204" s="13"/>
      <c r="H204" s="13"/>
      <c r="I204" s="13"/>
      <c r="J204" s="13"/>
      <c r="K204" s="13"/>
      <c r="L204" s="13"/>
      <c r="M204" s="13"/>
      <c r="N204" s="13"/>
      <c r="O204" s="13"/>
    </row>
    <row r="205" ht="15.75" customHeight="1">
      <c r="A205" s="13"/>
      <c r="B205" s="13"/>
      <c r="C205" s="13"/>
      <c r="D205" s="13"/>
      <c r="E205" s="13"/>
      <c r="F205" s="13"/>
      <c r="G205" s="13"/>
      <c r="H205" s="13"/>
      <c r="I205" s="13"/>
      <c r="J205" s="13"/>
      <c r="K205" s="13"/>
      <c r="L205" s="13"/>
      <c r="M205" s="13"/>
      <c r="N205" s="13"/>
      <c r="O205" s="13"/>
    </row>
    <row r="206" ht="15.75" customHeight="1">
      <c r="A206" s="13"/>
      <c r="B206" s="13"/>
      <c r="C206" s="13"/>
      <c r="D206" s="13"/>
      <c r="E206" s="13"/>
      <c r="F206" s="13"/>
      <c r="G206" s="13"/>
      <c r="H206" s="13"/>
      <c r="I206" s="13"/>
      <c r="J206" s="13"/>
      <c r="K206" s="13"/>
      <c r="L206" s="13"/>
      <c r="M206" s="13"/>
      <c r="N206" s="13"/>
      <c r="O206" s="13"/>
    </row>
    <row r="207" ht="15.75" customHeight="1">
      <c r="A207" s="13"/>
      <c r="B207" s="13"/>
      <c r="C207" s="13"/>
      <c r="D207" s="13"/>
      <c r="E207" s="13"/>
      <c r="F207" s="13"/>
      <c r="G207" s="13"/>
      <c r="H207" s="13"/>
      <c r="I207" s="13"/>
      <c r="J207" s="13"/>
      <c r="K207" s="13"/>
      <c r="L207" s="13"/>
      <c r="M207" s="13"/>
      <c r="N207" s="13"/>
      <c r="O207" s="13"/>
    </row>
    <row r="208" ht="15.75" customHeight="1">
      <c r="A208" s="13"/>
      <c r="B208" s="13"/>
      <c r="C208" s="13"/>
      <c r="D208" s="13"/>
      <c r="E208" s="13"/>
      <c r="F208" s="13"/>
      <c r="G208" s="13"/>
      <c r="H208" s="13"/>
      <c r="I208" s="13"/>
      <c r="J208" s="13"/>
      <c r="K208" s="13"/>
      <c r="L208" s="13"/>
      <c r="M208" s="13"/>
      <c r="N208" s="13"/>
      <c r="O208" s="13"/>
    </row>
    <row r="209" ht="15.75" customHeight="1">
      <c r="A209" s="13"/>
      <c r="B209" s="13"/>
      <c r="C209" s="13"/>
      <c r="D209" s="13"/>
      <c r="E209" s="13"/>
      <c r="F209" s="13"/>
      <c r="G209" s="13"/>
      <c r="H209" s="13"/>
      <c r="I209" s="13"/>
      <c r="J209" s="13"/>
      <c r="K209" s="13"/>
      <c r="L209" s="13"/>
      <c r="M209" s="13"/>
      <c r="N209" s="13"/>
      <c r="O209" s="13"/>
    </row>
    <row r="210" ht="15.75" customHeight="1">
      <c r="A210" s="13"/>
      <c r="B210" s="13"/>
      <c r="C210" s="13"/>
      <c r="D210" s="13"/>
      <c r="E210" s="13"/>
      <c r="F210" s="13"/>
      <c r="G210" s="13"/>
      <c r="H210" s="13"/>
      <c r="I210" s="13"/>
      <c r="J210" s="13"/>
      <c r="K210" s="13"/>
      <c r="L210" s="13"/>
      <c r="M210" s="13"/>
      <c r="N210" s="13"/>
      <c r="O210" s="13"/>
    </row>
    <row r="211" ht="15.75" customHeight="1">
      <c r="A211" s="13"/>
      <c r="B211" s="13"/>
      <c r="C211" s="13"/>
      <c r="D211" s="13"/>
      <c r="E211" s="13"/>
      <c r="F211" s="13"/>
      <c r="G211" s="13"/>
      <c r="H211" s="13"/>
      <c r="I211" s="13"/>
      <c r="J211" s="13"/>
      <c r="K211" s="13"/>
      <c r="L211" s="13"/>
      <c r="M211" s="13"/>
      <c r="N211" s="13"/>
      <c r="O211" s="13"/>
    </row>
    <row r="212" ht="15.75" customHeight="1">
      <c r="A212" s="13"/>
      <c r="B212" s="13"/>
      <c r="C212" s="13"/>
      <c r="D212" s="13"/>
      <c r="E212" s="13"/>
      <c r="F212" s="13"/>
      <c r="G212" s="13"/>
      <c r="H212" s="13"/>
      <c r="I212" s="13"/>
      <c r="J212" s="13"/>
      <c r="K212" s="13"/>
      <c r="L212" s="13"/>
      <c r="M212" s="13"/>
      <c r="N212" s="13"/>
      <c r="O212" s="13"/>
    </row>
    <row r="213" ht="15.75" customHeight="1">
      <c r="A213" s="13"/>
      <c r="B213" s="13"/>
      <c r="C213" s="13"/>
      <c r="D213" s="13"/>
      <c r="E213" s="13"/>
      <c r="F213" s="13"/>
      <c r="G213" s="13"/>
      <c r="H213" s="13"/>
      <c r="I213" s="13"/>
      <c r="J213" s="13"/>
      <c r="K213" s="13"/>
      <c r="L213" s="13"/>
      <c r="M213" s="13"/>
      <c r="N213" s="13"/>
      <c r="O213" s="13"/>
    </row>
    <row r="214" ht="15.75" customHeight="1">
      <c r="A214" s="13"/>
      <c r="B214" s="13"/>
      <c r="C214" s="13"/>
      <c r="D214" s="13"/>
      <c r="E214" s="13"/>
      <c r="F214" s="13"/>
      <c r="G214" s="13"/>
      <c r="H214" s="13"/>
      <c r="I214" s="13"/>
      <c r="J214" s="13"/>
      <c r="K214" s="13"/>
      <c r="L214" s="13"/>
      <c r="M214" s="13"/>
      <c r="N214" s="13"/>
      <c r="O214" s="13"/>
    </row>
    <row r="215" ht="15.75" customHeight="1">
      <c r="A215" s="13"/>
      <c r="B215" s="13"/>
      <c r="C215" s="13"/>
      <c r="D215" s="13"/>
      <c r="E215" s="13"/>
      <c r="F215" s="13"/>
      <c r="G215" s="13"/>
      <c r="H215" s="13"/>
      <c r="I215" s="13"/>
      <c r="J215" s="13"/>
      <c r="K215" s="13"/>
      <c r="L215" s="13"/>
      <c r="M215" s="13"/>
      <c r="N215" s="13"/>
      <c r="O215" s="13"/>
    </row>
    <row r="216" ht="15.75" customHeight="1">
      <c r="A216" s="13"/>
      <c r="B216" s="13"/>
      <c r="C216" s="13"/>
      <c r="D216" s="13"/>
      <c r="E216" s="13"/>
      <c r="F216" s="13"/>
      <c r="G216" s="13"/>
      <c r="H216" s="13"/>
      <c r="I216" s="13"/>
      <c r="J216" s="13"/>
      <c r="K216" s="13"/>
      <c r="L216" s="13"/>
      <c r="M216" s="13"/>
      <c r="N216" s="13"/>
      <c r="O216" s="13"/>
    </row>
    <row r="217" ht="15.75" customHeight="1">
      <c r="A217" s="13"/>
      <c r="B217" s="13"/>
      <c r="C217" s="13"/>
      <c r="D217" s="13"/>
      <c r="E217" s="13"/>
      <c r="F217" s="13"/>
      <c r="G217" s="13"/>
      <c r="H217" s="13"/>
      <c r="I217" s="13"/>
      <c r="J217" s="13"/>
      <c r="K217" s="13"/>
      <c r="L217" s="13"/>
      <c r="M217" s="13"/>
      <c r="N217" s="13"/>
      <c r="O217" s="13"/>
    </row>
    <row r="218" ht="15.75" customHeight="1">
      <c r="A218" s="13"/>
      <c r="B218" s="13"/>
      <c r="C218" s="13"/>
      <c r="D218" s="13"/>
      <c r="E218" s="13"/>
      <c r="F218" s="13"/>
      <c r="G218" s="13"/>
      <c r="H218" s="13"/>
      <c r="I218" s="13"/>
      <c r="J218" s="13"/>
      <c r="K218" s="13"/>
      <c r="L218" s="13"/>
      <c r="M218" s="13"/>
      <c r="N218" s="13"/>
      <c r="O218" s="13"/>
    </row>
    <row r="219" ht="15.75" customHeight="1">
      <c r="A219" s="13"/>
      <c r="B219" s="13"/>
      <c r="C219" s="13"/>
      <c r="D219" s="13"/>
      <c r="E219" s="13"/>
      <c r="F219" s="13"/>
      <c r="G219" s="13"/>
      <c r="H219" s="13"/>
      <c r="I219" s="13"/>
      <c r="J219" s="13"/>
      <c r="K219" s="13"/>
      <c r="L219" s="13"/>
      <c r="M219" s="13"/>
      <c r="N219" s="13"/>
      <c r="O219" s="13"/>
    </row>
    <row r="220" ht="15.75" customHeight="1">
      <c r="A220" s="13"/>
      <c r="B220" s="13"/>
      <c r="C220" s="13"/>
      <c r="D220" s="13"/>
      <c r="E220" s="13"/>
      <c r="F220" s="13"/>
      <c r="G220" s="13"/>
      <c r="H220" s="13"/>
      <c r="I220" s="13"/>
      <c r="J220" s="13"/>
      <c r="K220" s="13"/>
      <c r="L220" s="13"/>
      <c r="M220" s="13"/>
      <c r="N220" s="13"/>
      <c r="O220" s="13"/>
    </row>
    <row r="221" ht="15.75" customHeight="1">
      <c r="A221" s="13"/>
      <c r="B221" s="13"/>
      <c r="C221" s="13"/>
      <c r="D221" s="13"/>
      <c r="E221" s="13"/>
      <c r="F221" s="13"/>
      <c r="G221" s="13"/>
      <c r="H221" s="13"/>
      <c r="I221" s="13"/>
      <c r="J221" s="13"/>
      <c r="K221" s="13"/>
      <c r="L221" s="13"/>
      <c r="M221" s="13"/>
      <c r="N221" s="13"/>
      <c r="O221" s="13"/>
    </row>
    <row r="222" ht="15.75" customHeight="1">
      <c r="A222" s="13"/>
      <c r="B222" s="13"/>
      <c r="C222" s="13"/>
      <c r="D222" s="13"/>
      <c r="E222" s="13"/>
      <c r="F222" s="13"/>
      <c r="G222" s="13"/>
      <c r="H222" s="13"/>
      <c r="I222" s="13"/>
      <c r="J222" s="13"/>
      <c r="K222" s="13"/>
      <c r="L222" s="13"/>
      <c r="M222" s="13"/>
      <c r="N222" s="13"/>
      <c r="O222" s="13"/>
    </row>
    <row r="223" ht="15.75" customHeight="1">
      <c r="A223" s="13"/>
      <c r="B223" s="13"/>
      <c r="C223" s="13"/>
      <c r="D223" s="13"/>
      <c r="E223" s="13"/>
      <c r="F223" s="13"/>
      <c r="G223" s="13"/>
      <c r="H223" s="13"/>
      <c r="I223" s="13"/>
      <c r="J223" s="13"/>
      <c r="K223" s="13"/>
      <c r="L223" s="13"/>
      <c r="M223" s="13"/>
      <c r="N223" s="13"/>
      <c r="O223" s="13"/>
    </row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B1:D2"/>
    <mergeCell ref="E1:F2"/>
  </mergeCells>
  <dataValidations>
    <dataValidation type="list" allowBlank="1" showErrorMessage="1" sqref="G4:O124">
      <formula1>"선택,완료"</formula1>
    </dataValidation>
  </dataValidations>
  <hyperlinks>
    <hyperlink r:id="rId1" ref="D5"/>
    <hyperlink r:id="rId2" ref="D22"/>
    <hyperlink r:id="rId3" ref="D23"/>
    <hyperlink r:id="rId4" ref="D27"/>
    <hyperlink r:id="rId5" ref="D44"/>
    <hyperlink r:id="rId6" ref="D50"/>
    <hyperlink r:id="rId7" ref="D51"/>
    <hyperlink r:id="rId8" ref="D55"/>
    <hyperlink r:id="rId9" ref="D64"/>
    <hyperlink r:id="rId10" ref="D69"/>
    <hyperlink r:id="rId11" ref="D86"/>
    <hyperlink r:id="rId12" ref="D98"/>
  </hyperlinks>
  <drawing r:id="rId13"/>
  <tableParts count="1">
    <tablePart r:id="rId15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0"/>
  <cols>
    <col customWidth="1" min="1" max="1" width="6.13"/>
    <col customWidth="1" min="2" max="2" width="4.88"/>
    <col customWidth="1" min="3" max="3" width="18.63"/>
    <col customWidth="1" min="4" max="4" width="21.13"/>
    <col customWidth="1" min="5" max="6" width="12.63"/>
  </cols>
  <sheetData>
    <row r="1" ht="15.75" customHeight="1">
      <c r="A1" s="59"/>
      <c r="B1" s="60" t="s">
        <v>0</v>
      </c>
      <c r="E1" s="3" t="s">
        <v>1</v>
      </c>
      <c r="G1" s="5" t="s">
        <v>209</v>
      </c>
      <c r="H1" s="5" t="s">
        <v>210</v>
      </c>
      <c r="I1" s="5" t="s">
        <v>211</v>
      </c>
      <c r="J1" s="5" t="s">
        <v>212</v>
      </c>
      <c r="K1" s="5" t="s">
        <v>213</v>
      </c>
      <c r="L1" s="5" t="s">
        <v>214</v>
      </c>
      <c r="M1" s="5" t="s">
        <v>215</v>
      </c>
      <c r="N1" s="5" t="s">
        <v>216</v>
      </c>
      <c r="O1" s="5" t="s">
        <v>217</v>
      </c>
    </row>
    <row r="2" ht="15.75" customHeight="1">
      <c r="A2" s="61"/>
      <c r="G2" s="7" t="s">
        <v>218</v>
      </c>
      <c r="H2" s="7" t="s">
        <v>219</v>
      </c>
      <c r="I2" s="7" t="s">
        <v>220</v>
      </c>
      <c r="J2" s="7" t="s">
        <v>221</v>
      </c>
      <c r="K2" s="7" t="s">
        <v>222</v>
      </c>
      <c r="L2" s="7" t="s">
        <v>223</v>
      </c>
      <c r="M2" s="7" t="s">
        <v>224</v>
      </c>
      <c r="N2" s="7" t="s">
        <v>225</v>
      </c>
      <c r="O2" s="5" t="s">
        <v>226</v>
      </c>
    </row>
    <row r="3" ht="15.75" customHeight="1">
      <c r="A3" s="1"/>
      <c r="B3" s="1"/>
      <c r="C3" s="1"/>
      <c r="D3" s="1"/>
      <c r="E3" s="8"/>
      <c r="F3" s="8"/>
      <c r="G3" s="10" t="str">
        <f t="shared" ref="G3:N3" si="1">COUNTIF(G35:G200, "완료") &amp; "명 완료"
</f>
        <v>24명 완료</v>
      </c>
      <c r="H3" s="10" t="str">
        <f t="shared" si="1"/>
        <v>26명 완료</v>
      </c>
      <c r="I3" s="10" t="str">
        <f t="shared" si="1"/>
        <v>26명 완료</v>
      </c>
      <c r="J3" s="10" t="str">
        <f t="shared" si="1"/>
        <v>25명 완료</v>
      </c>
      <c r="K3" s="10" t="str">
        <f t="shared" si="1"/>
        <v>24명 완료</v>
      </c>
      <c r="L3" s="10" t="str">
        <f t="shared" si="1"/>
        <v>23명 완료</v>
      </c>
      <c r="M3" s="10" t="str">
        <f t="shared" si="1"/>
        <v>22명 완료</v>
      </c>
      <c r="N3" s="10" t="str">
        <f t="shared" si="1"/>
        <v>16명 완료</v>
      </c>
      <c r="O3" s="11" t="b">
        <f>COUNTIF(N35:N200, "완료") &amp; "명 완료"=COUNTIF(O35:O200, "완료") &amp; "명 완료"</f>
        <v>0</v>
      </c>
    </row>
    <row r="4" ht="15.75" customHeight="1">
      <c r="A4" s="62"/>
      <c r="B4" s="63" t="s">
        <v>20</v>
      </c>
      <c r="C4" s="64" t="s">
        <v>21</v>
      </c>
      <c r="D4" s="64" t="s">
        <v>22</v>
      </c>
      <c r="E4" s="65" t="s">
        <v>23</v>
      </c>
      <c r="F4" s="65" t="s">
        <v>24</v>
      </c>
      <c r="G4" s="66" t="s">
        <v>25</v>
      </c>
      <c r="H4" s="66" t="s">
        <v>25</v>
      </c>
      <c r="I4" s="66" t="s">
        <v>25</v>
      </c>
      <c r="J4" s="66" t="s">
        <v>25</v>
      </c>
      <c r="K4" s="66" t="s">
        <v>25</v>
      </c>
      <c r="L4" s="66" t="s">
        <v>25</v>
      </c>
      <c r="M4" s="66" t="s">
        <v>25</v>
      </c>
      <c r="N4" s="66" t="s">
        <v>25</v>
      </c>
      <c r="O4" s="67" t="s">
        <v>25</v>
      </c>
    </row>
    <row r="5" ht="15.75" customHeight="1">
      <c r="A5" s="68"/>
      <c r="B5" s="21">
        <v>1.0</v>
      </c>
      <c r="C5" s="22" t="s">
        <v>26</v>
      </c>
      <c r="D5" s="69" t="s">
        <v>27</v>
      </c>
      <c r="E5" s="70" t="str">
        <f t="shared" ref="E5:E64" si="2">IF(COUNTIF(G5:N5, "완료")=0, "", COUNTIF($G$4:$N$4, "완료") &amp; "번 중 " &amp; COUNTIF(G5:N5, "완료") &amp; "번 참여")
</f>
        <v>8번 중 8번 참여</v>
      </c>
      <c r="F5" s="71">
        <f t="shared" ref="F5:F64" si="3">IF(COUNTIF($G$4:$N$4, "완료")=0, "", IF(COUNTIF(G5:N5, "완료")=0, "", COUNTIF(G5:N5, "완료") / COUNTIF($G$4:$N$4, "완료")))
</f>
        <v>1</v>
      </c>
      <c r="G5" s="26" t="s">
        <v>25</v>
      </c>
      <c r="H5" s="26" t="s">
        <v>25</v>
      </c>
      <c r="I5" s="26" t="s">
        <v>25</v>
      </c>
      <c r="J5" s="26" t="s">
        <v>25</v>
      </c>
      <c r="K5" s="26" t="s">
        <v>25</v>
      </c>
      <c r="L5" s="26" t="s">
        <v>25</v>
      </c>
      <c r="M5" s="26" t="s">
        <v>25</v>
      </c>
      <c r="N5" s="26" t="s">
        <v>25</v>
      </c>
      <c r="O5" s="27" t="s">
        <v>25</v>
      </c>
    </row>
    <row r="6" ht="15.75" customHeight="1">
      <c r="A6" s="47"/>
      <c r="B6" s="29">
        <v>2.0</v>
      </c>
      <c r="C6" s="30" t="s">
        <v>28</v>
      </c>
      <c r="D6" s="30" t="s">
        <v>227</v>
      </c>
      <c r="E6" s="70" t="str">
        <f t="shared" si="2"/>
        <v>8번 중 8번 참여</v>
      </c>
      <c r="F6" s="71">
        <f t="shared" si="3"/>
        <v>1</v>
      </c>
      <c r="G6" s="26" t="s">
        <v>25</v>
      </c>
      <c r="H6" s="26" t="s">
        <v>25</v>
      </c>
      <c r="I6" s="26" t="s">
        <v>25</v>
      </c>
      <c r="J6" s="26" t="s">
        <v>25</v>
      </c>
      <c r="K6" s="26" t="s">
        <v>25</v>
      </c>
      <c r="L6" s="26" t="s">
        <v>25</v>
      </c>
      <c r="M6" s="26" t="s">
        <v>25</v>
      </c>
      <c r="N6" s="26" t="s">
        <v>25</v>
      </c>
      <c r="O6" s="27" t="s">
        <v>25</v>
      </c>
    </row>
    <row r="7" ht="15.75" customHeight="1">
      <c r="A7" s="68"/>
      <c r="B7" s="21">
        <v>3.0</v>
      </c>
      <c r="C7" s="30" t="s">
        <v>30</v>
      </c>
      <c r="D7" s="30" t="s">
        <v>31</v>
      </c>
      <c r="E7" s="70" t="str">
        <f t="shared" si="2"/>
        <v/>
      </c>
      <c r="F7" s="71" t="str">
        <f t="shared" si="3"/>
        <v/>
      </c>
      <c r="G7" s="26"/>
      <c r="H7" s="26"/>
      <c r="I7" s="26"/>
      <c r="J7" s="26"/>
      <c r="K7" s="26"/>
      <c r="L7" s="26"/>
      <c r="M7" s="26"/>
      <c r="N7" s="26"/>
      <c r="O7" s="27"/>
    </row>
    <row r="8" ht="15.75" customHeight="1">
      <c r="A8" s="47"/>
      <c r="B8" s="29">
        <v>4.0</v>
      </c>
      <c r="C8" s="22" t="s">
        <v>32</v>
      </c>
      <c r="D8" s="22" t="s">
        <v>33</v>
      </c>
      <c r="E8" s="70" t="str">
        <f t="shared" si="2"/>
        <v/>
      </c>
      <c r="F8" s="71" t="str">
        <f t="shared" si="3"/>
        <v/>
      </c>
      <c r="G8" s="26"/>
      <c r="H8" s="26"/>
      <c r="I8" s="26"/>
      <c r="J8" s="26"/>
      <c r="K8" s="26"/>
      <c r="L8" s="26"/>
      <c r="M8" s="26"/>
      <c r="N8" s="26"/>
      <c r="O8" s="27"/>
    </row>
    <row r="9" ht="15.75" customHeight="1">
      <c r="A9" s="68"/>
      <c r="B9" s="21">
        <v>5.0</v>
      </c>
      <c r="C9" s="30" t="s">
        <v>34</v>
      </c>
      <c r="D9" s="30" t="s">
        <v>35</v>
      </c>
      <c r="E9" s="70" t="str">
        <f t="shared" si="2"/>
        <v>8번 중 7번 참여</v>
      </c>
      <c r="F9" s="71">
        <f t="shared" si="3"/>
        <v>0.875</v>
      </c>
      <c r="G9" s="26" t="s">
        <v>25</v>
      </c>
      <c r="H9" s="26" t="s">
        <v>25</v>
      </c>
      <c r="I9" s="26" t="s">
        <v>25</v>
      </c>
      <c r="J9" s="26" t="s">
        <v>25</v>
      </c>
      <c r="K9" s="26" t="s">
        <v>25</v>
      </c>
      <c r="L9" s="26" t="s">
        <v>25</v>
      </c>
      <c r="M9" s="26" t="s">
        <v>25</v>
      </c>
      <c r="N9" s="26"/>
      <c r="O9" s="27"/>
    </row>
    <row r="10" ht="15.75" customHeight="1">
      <c r="A10" s="47"/>
      <c r="B10" s="29">
        <v>6.0</v>
      </c>
      <c r="C10" s="22" t="s">
        <v>36</v>
      </c>
      <c r="D10" s="22" t="s">
        <v>37</v>
      </c>
      <c r="E10" s="70" t="str">
        <f t="shared" si="2"/>
        <v>8번 중 8번 참여</v>
      </c>
      <c r="F10" s="71">
        <f t="shared" si="3"/>
        <v>1</v>
      </c>
      <c r="G10" s="26" t="s">
        <v>25</v>
      </c>
      <c r="H10" s="26" t="s">
        <v>25</v>
      </c>
      <c r="I10" s="26" t="s">
        <v>25</v>
      </c>
      <c r="J10" s="26" t="s">
        <v>25</v>
      </c>
      <c r="K10" s="26" t="s">
        <v>25</v>
      </c>
      <c r="L10" s="26" t="s">
        <v>25</v>
      </c>
      <c r="M10" s="26" t="s">
        <v>25</v>
      </c>
      <c r="N10" s="26" t="s">
        <v>25</v>
      </c>
      <c r="O10" s="27" t="s">
        <v>25</v>
      </c>
    </row>
    <row r="11" ht="15.75" customHeight="1">
      <c r="A11" s="68"/>
      <c r="B11" s="21">
        <v>7.0</v>
      </c>
      <c r="C11" s="30" t="s">
        <v>38</v>
      </c>
      <c r="D11" s="30" t="s">
        <v>39</v>
      </c>
      <c r="E11" s="70" t="str">
        <f t="shared" si="2"/>
        <v>8번 중 8번 참여</v>
      </c>
      <c r="F11" s="71">
        <f t="shared" si="3"/>
        <v>1</v>
      </c>
      <c r="G11" s="26" t="s">
        <v>25</v>
      </c>
      <c r="H11" s="26" t="s">
        <v>25</v>
      </c>
      <c r="I11" s="26" t="s">
        <v>25</v>
      </c>
      <c r="J11" s="26" t="s">
        <v>25</v>
      </c>
      <c r="K11" s="26" t="s">
        <v>25</v>
      </c>
      <c r="L11" s="26" t="s">
        <v>25</v>
      </c>
      <c r="M11" s="26" t="s">
        <v>25</v>
      </c>
      <c r="N11" s="26" t="s">
        <v>25</v>
      </c>
      <c r="O11" s="27" t="s">
        <v>25</v>
      </c>
    </row>
    <row r="12" ht="15.75" customHeight="1">
      <c r="A12" s="47"/>
      <c r="B12" s="29">
        <v>8.0</v>
      </c>
      <c r="C12" s="22" t="s">
        <v>40</v>
      </c>
      <c r="D12" s="22" t="s">
        <v>41</v>
      </c>
      <c r="E12" s="70" t="str">
        <f t="shared" si="2"/>
        <v>8번 중 8번 참여</v>
      </c>
      <c r="F12" s="71">
        <f t="shared" si="3"/>
        <v>1</v>
      </c>
      <c r="G12" s="26" t="s">
        <v>25</v>
      </c>
      <c r="H12" s="26" t="s">
        <v>25</v>
      </c>
      <c r="I12" s="26" t="s">
        <v>25</v>
      </c>
      <c r="J12" s="26" t="s">
        <v>25</v>
      </c>
      <c r="K12" s="26" t="s">
        <v>25</v>
      </c>
      <c r="L12" s="26" t="s">
        <v>25</v>
      </c>
      <c r="M12" s="26" t="s">
        <v>25</v>
      </c>
      <c r="N12" s="26" t="s">
        <v>25</v>
      </c>
      <c r="O12" s="27" t="s">
        <v>25</v>
      </c>
    </row>
    <row r="13" ht="15.75" customHeight="1">
      <c r="A13" s="68"/>
      <c r="B13" s="21">
        <v>9.0</v>
      </c>
      <c r="C13" s="30" t="s">
        <v>42</v>
      </c>
      <c r="D13" s="30" t="s">
        <v>43</v>
      </c>
      <c r="E13" s="70" t="str">
        <f t="shared" si="2"/>
        <v>8번 중 4번 참여</v>
      </c>
      <c r="F13" s="71">
        <f t="shared" si="3"/>
        <v>0.5</v>
      </c>
      <c r="G13" s="26"/>
      <c r="H13" s="26" t="s">
        <v>25</v>
      </c>
      <c r="I13" s="26"/>
      <c r="J13" s="26" t="s">
        <v>25</v>
      </c>
      <c r="K13" s="26"/>
      <c r="L13" s="26" t="s">
        <v>25</v>
      </c>
      <c r="M13" s="26"/>
      <c r="N13" s="26" t="s">
        <v>25</v>
      </c>
      <c r="O13" s="27" t="s">
        <v>25</v>
      </c>
    </row>
    <row r="14" ht="15.75" customHeight="1">
      <c r="A14" s="47"/>
      <c r="B14" s="29">
        <v>10.0</v>
      </c>
      <c r="C14" s="22" t="s">
        <v>44</v>
      </c>
      <c r="D14" s="22" t="s">
        <v>45</v>
      </c>
      <c r="E14" s="70" t="str">
        <f t="shared" si="2"/>
        <v>8번 중 8번 참여</v>
      </c>
      <c r="F14" s="71">
        <f t="shared" si="3"/>
        <v>1</v>
      </c>
      <c r="G14" s="26" t="s">
        <v>25</v>
      </c>
      <c r="H14" s="26" t="s">
        <v>25</v>
      </c>
      <c r="I14" s="26" t="s">
        <v>25</v>
      </c>
      <c r="J14" s="26" t="s">
        <v>25</v>
      </c>
      <c r="K14" s="26" t="s">
        <v>25</v>
      </c>
      <c r="L14" s="26" t="s">
        <v>25</v>
      </c>
      <c r="M14" s="26" t="s">
        <v>25</v>
      </c>
      <c r="N14" s="26" t="s">
        <v>25</v>
      </c>
      <c r="O14" s="27" t="s">
        <v>80</v>
      </c>
    </row>
    <row r="15" ht="15.75" customHeight="1">
      <c r="A15" s="68"/>
      <c r="B15" s="21">
        <v>11.0</v>
      </c>
      <c r="C15" s="30" t="s">
        <v>46</v>
      </c>
      <c r="D15" s="30" t="s">
        <v>47</v>
      </c>
      <c r="E15" s="70" t="str">
        <f t="shared" si="2"/>
        <v>8번 중 8번 참여</v>
      </c>
      <c r="F15" s="71">
        <f t="shared" si="3"/>
        <v>1</v>
      </c>
      <c r="G15" s="26" t="s">
        <v>25</v>
      </c>
      <c r="H15" s="26" t="s">
        <v>25</v>
      </c>
      <c r="I15" s="26" t="s">
        <v>25</v>
      </c>
      <c r="J15" s="26" t="s">
        <v>25</v>
      </c>
      <c r="K15" s="26" t="s">
        <v>25</v>
      </c>
      <c r="L15" s="26" t="s">
        <v>25</v>
      </c>
      <c r="M15" s="26" t="s">
        <v>25</v>
      </c>
      <c r="N15" s="26" t="s">
        <v>25</v>
      </c>
      <c r="O15" s="27" t="s">
        <v>25</v>
      </c>
    </row>
    <row r="16" ht="15.75" customHeight="1">
      <c r="A16" s="47"/>
      <c r="B16" s="29">
        <v>12.0</v>
      </c>
      <c r="C16" s="22" t="s">
        <v>48</v>
      </c>
      <c r="D16" s="22" t="s">
        <v>49</v>
      </c>
      <c r="E16" s="70" t="str">
        <f t="shared" si="2"/>
        <v>8번 중 6번 참여</v>
      </c>
      <c r="F16" s="71">
        <f t="shared" si="3"/>
        <v>0.75</v>
      </c>
      <c r="G16" s="26" t="s">
        <v>25</v>
      </c>
      <c r="H16" s="26" t="s">
        <v>25</v>
      </c>
      <c r="I16" s="26" t="s">
        <v>25</v>
      </c>
      <c r="J16" s="26" t="s">
        <v>25</v>
      </c>
      <c r="K16" s="26"/>
      <c r="L16" s="26" t="s">
        <v>25</v>
      </c>
      <c r="M16" s="26" t="s">
        <v>25</v>
      </c>
      <c r="N16" s="26"/>
      <c r="O16" s="27" t="s">
        <v>25</v>
      </c>
    </row>
    <row r="17" ht="15.75" customHeight="1">
      <c r="A17" s="68"/>
      <c r="B17" s="21">
        <v>13.0</v>
      </c>
      <c r="C17" s="30" t="s">
        <v>50</v>
      </c>
      <c r="D17" s="30" t="s">
        <v>51</v>
      </c>
      <c r="E17" s="70" t="str">
        <f t="shared" si="2"/>
        <v>8번 중 5번 참여</v>
      </c>
      <c r="F17" s="71">
        <f t="shared" si="3"/>
        <v>0.625</v>
      </c>
      <c r="G17" s="26" t="s">
        <v>25</v>
      </c>
      <c r="H17" s="26"/>
      <c r="I17" s="26"/>
      <c r="J17" s="26" t="s">
        <v>25</v>
      </c>
      <c r="K17" s="26" t="s">
        <v>25</v>
      </c>
      <c r="L17" s="26" t="s">
        <v>25</v>
      </c>
      <c r="M17" s="26" t="s">
        <v>25</v>
      </c>
      <c r="N17" s="26"/>
      <c r="O17" s="27"/>
    </row>
    <row r="18" ht="15.75" customHeight="1">
      <c r="A18" s="47"/>
      <c r="B18" s="29">
        <v>14.0</v>
      </c>
      <c r="C18" s="22" t="s">
        <v>52</v>
      </c>
      <c r="D18" s="22" t="s">
        <v>53</v>
      </c>
      <c r="E18" s="70" t="str">
        <f t="shared" si="2"/>
        <v/>
      </c>
      <c r="F18" s="71" t="str">
        <f t="shared" si="3"/>
        <v/>
      </c>
      <c r="G18" s="26"/>
      <c r="H18" s="26"/>
      <c r="I18" s="26"/>
      <c r="J18" s="26"/>
      <c r="K18" s="26"/>
      <c r="L18" s="26"/>
      <c r="M18" s="26"/>
      <c r="N18" s="26"/>
      <c r="O18" s="27"/>
    </row>
    <row r="19" ht="15.75" customHeight="1">
      <c r="A19" s="68"/>
      <c r="B19" s="21">
        <v>15.0</v>
      </c>
      <c r="C19" s="22" t="s">
        <v>54</v>
      </c>
      <c r="D19" s="22" t="s">
        <v>55</v>
      </c>
      <c r="E19" s="70" t="str">
        <f t="shared" si="2"/>
        <v>8번 중 1번 참여</v>
      </c>
      <c r="F19" s="71">
        <f t="shared" si="3"/>
        <v>0.125</v>
      </c>
      <c r="G19" s="26"/>
      <c r="H19" s="26" t="s">
        <v>25</v>
      </c>
      <c r="I19" s="26"/>
      <c r="J19" s="26"/>
      <c r="K19" s="26"/>
      <c r="L19" s="26"/>
      <c r="M19" s="26"/>
      <c r="N19" s="26"/>
      <c r="O19" s="27"/>
    </row>
    <row r="20" ht="15.75" customHeight="1">
      <c r="A20" s="47"/>
      <c r="B20" s="29">
        <v>16.0</v>
      </c>
      <c r="C20" s="22" t="s">
        <v>56</v>
      </c>
      <c r="D20" s="22" t="s">
        <v>57</v>
      </c>
      <c r="E20" s="70" t="str">
        <f t="shared" si="2"/>
        <v>8번 중 8번 참여</v>
      </c>
      <c r="F20" s="71">
        <f t="shared" si="3"/>
        <v>1</v>
      </c>
      <c r="G20" s="26" t="s">
        <v>25</v>
      </c>
      <c r="H20" s="26" t="s">
        <v>25</v>
      </c>
      <c r="I20" s="26" t="s">
        <v>25</v>
      </c>
      <c r="J20" s="26" t="s">
        <v>25</v>
      </c>
      <c r="K20" s="26" t="s">
        <v>25</v>
      </c>
      <c r="L20" s="26" t="s">
        <v>25</v>
      </c>
      <c r="M20" s="26" t="s">
        <v>25</v>
      </c>
      <c r="N20" s="26" t="s">
        <v>25</v>
      </c>
      <c r="O20" s="27" t="s">
        <v>25</v>
      </c>
    </row>
    <row r="21" ht="15.75" customHeight="1">
      <c r="A21" s="68"/>
      <c r="B21" s="21">
        <v>17.0</v>
      </c>
      <c r="C21" s="30" t="s">
        <v>58</v>
      </c>
      <c r="D21" s="72" t="s">
        <v>59</v>
      </c>
      <c r="E21" s="70" t="str">
        <f t="shared" si="2"/>
        <v/>
      </c>
      <c r="F21" s="71" t="str">
        <f t="shared" si="3"/>
        <v/>
      </c>
      <c r="G21" s="26"/>
      <c r="H21" s="26"/>
      <c r="I21" s="26"/>
      <c r="J21" s="26"/>
      <c r="K21" s="26"/>
      <c r="L21" s="26"/>
      <c r="M21" s="26"/>
      <c r="N21" s="26"/>
      <c r="O21" s="27"/>
    </row>
    <row r="22" ht="15.75" customHeight="1">
      <c r="A22" s="47"/>
      <c r="B22" s="29">
        <v>18.0</v>
      </c>
      <c r="C22" s="22" t="s">
        <v>60</v>
      </c>
      <c r="D22" s="69" t="s">
        <v>61</v>
      </c>
      <c r="E22" s="70" t="str">
        <f t="shared" si="2"/>
        <v>8번 중 2번 참여</v>
      </c>
      <c r="F22" s="71">
        <f t="shared" si="3"/>
        <v>0.25</v>
      </c>
      <c r="G22" s="26" t="s">
        <v>25</v>
      </c>
      <c r="H22" s="26"/>
      <c r="I22" s="26"/>
      <c r="J22" s="26" t="s">
        <v>25</v>
      </c>
      <c r="K22" s="26"/>
      <c r="L22" s="26"/>
      <c r="M22" s="26"/>
      <c r="N22" s="26"/>
      <c r="O22" s="27"/>
    </row>
    <row r="23" ht="15.75" customHeight="1">
      <c r="A23" s="68"/>
      <c r="B23" s="21">
        <v>19.0</v>
      </c>
      <c r="C23" s="42" t="s">
        <v>62</v>
      </c>
      <c r="D23" s="73" t="s">
        <v>63</v>
      </c>
      <c r="E23" s="70" t="str">
        <f t="shared" si="2"/>
        <v/>
      </c>
      <c r="F23" s="71" t="str">
        <f t="shared" si="3"/>
        <v/>
      </c>
      <c r="G23" s="26"/>
      <c r="H23" s="26"/>
      <c r="I23" s="26"/>
      <c r="J23" s="26"/>
      <c r="K23" s="26"/>
      <c r="L23" s="26"/>
      <c r="M23" s="26"/>
      <c r="N23" s="26"/>
      <c r="O23" s="27"/>
    </row>
    <row r="24" ht="15.75" customHeight="1">
      <c r="A24" s="47"/>
      <c r="B24" s="29">
        <v>20.0</v>
      </c>
      <c r="C24" s="22" t="s">
        <v>64</v>
      </c>
      <c r="D24" s="74" t="s">
        <v>65</v>
      </c>
      <c r="E24" s="70" t="str">
        <f t="shared" si="2"/>
        <v/>
      </c>
      <c r="F24" s="71" t="str">
        <f t="shared" si="3"/>
        <v/>
      </c>
      <c r="G24" s="26"/>
      <c r="H24" s="26"/>
      <c r="I24" s="26"/>
      <c r="J24" s="26"/>
      <c r="K24" s="26"/>
      <c r="L24" s="26"/>
      <c r="M24" s="26"/>
      <c r="N24" s="26"/>
      <c r="O24" s="27"/>
    </row>
    <row r="25" ht="15.75" customHeight="1">
      <c r="A25" s="68"/>
      <c r="B25" s="21">
        <v>21.0</v>
      </c>
      <c r="C25" s="30" t="s">
        <v>66</v>
      </c>
      <c r="D25" s="72" t="s">
        <v>67</v>
      </c>
      <c r="E25" s="70" t="str">
        <f t="shared" si="2"/>
        <v>8번 중 5번 참여</v>
      </c>
      <c r="F25" s="71">
        <f t="shared" si="3"/>
        <v>0.625</v>
      </c>
      <c r="G25" s="26" t="s">
        <v>25</v>
      </c>
      <c r="H25" s="26" t="s">
        <v>25</v>
      </c>
      <c r="I25" s="26" t="s">
        <v>25</v>
      </c>
      <c r="J25" s="26" t="s">
        <v>25</v>
      </c>
      <c r="K25" s="26" t="s">
        <v>25</v>
      </c>
      <c r="L25" s="26"/>
      <c r="M25" s="26"/>
      <c r="N25" s="26"/>
      <c r="O25" s="27"/>
    </row>
    <row r="26" ht="15.75" customHeight="1">
      <c r="A26" s="47"/>
      <c r="B26" s="29">
        <v>22.0</v>
      </c>
      <c r="C26" s="75" t="s">
        <v>68</v>
      </c>
      <c r="D26" s="76" t="s">
        <v>69</v>
      </c>
      <c r="E26" s="70" t="str">
        <f t="shared" si="2"/>
        <v/>
      </c>
      <c r="F26" s="71" t="str">
        <f t="shared" si="3"/>
        <v/>
      </c>
      <c r="G26" s="26"/>
      <c r="H26" s="26"/>
      <c r="I26" s="26"/>
      <c r="J26" s="26"/>
      <c r="K26" s="26"/>
      <c r="L26" s="26"/>
      <c r="M26" s="26"/>
      <c r="N26" s="26"/>
      <c r="O26" s="27"/>
    </row>
    <row r="27" ht="15.75" customHeight="1">
      <c r="A27" s="68"/>
      <c r="B27" s="21">
        <v>23.0</v>
      </c>
      <c r="C27" s="22" t="s">
        <v>26</v>
      </c>
      <c r="D27" s="69" t="s">
        <v>27</v>
      </c>
      <c r="E27" s="70" t="str">
        <f t="shared" si="2"/>
        <v/>
      </c>
      <c r="F27" s="71" t="str">
        <f t="shared" si="3"/>
        <v/>
      </c>
      <c r="G27" s="26"/>
      <c r="H27" s="26"/>
      <c r="I27" s="26"/>
      <c r="J27" s="26"/>
      <c r="K27" s="26"/>
      <c r="L27" s="26"/>
      <c r="M27" s="26"/>
      <c r="N27" s="26"/>
      <c r="O27" s="27"/>
    </row>
    <row r="28" ht="15.75" customHeight="1">
      <c r="A28" s="47"/>
      <c r="B28" s="29">
        <v>24.0</v>
      </c>
      <c r="C28" s="30" t="s">
        <v>28</v>
      </c>
      <c r="D28" s="30" t="s">
        <v>70</v>
      </c>
      <c r="E28" s="70" t="str">
        <f t="shared" si="2"/>
        <v>8번 중 8번 참여</v>
      </c>
      <c r="F28" s="71">
        <f t="shared" si="3"/>
        <v>1</v>
      </c>
      <c r="G28" s="26" t="s">
        <v>25</v>
      </c>
      <c r="H28" s="26" t="s">
        <v>25</v>
      </c>
      <c r="I28" s="26" t="s">
        <v>25</v>
      </c>
      <c r="J28" s="26" t="s">
        <v>25</v>
      </c>
      <c r="K28" s="26" t="s">
        <v>25</v>
      </c>
      <c r="L28" s="26" t="s">
        <v>25</v>
      </c>
      <c r="M28" s="26" t="s">
        <v>25</v>
      </c>
      <c r="N28" s="26" t="s">
        <v>25</v>
      </c>
      <c r="O28" s="27" t="s">
        <v>25</v>
      </c>
    </row>
    <row r="29" ht="15.75" customHeight="1">
      <c r="A29" s="68"/>
      <c r="B29" s="21">
        <v>25.0</v>
      </c>
      <c r="C29" s="30" t="s">
        <v>30</v>
      </c>
      <c r="D29" s="30" t="s">
        <v>31</v>
      </c>
      <c r="E29" s="70" t="str">
        <f t="shared" si="2"/>
        <v/>
      </c>
      <c r="F29" s="71" t="str">
        <f t="shared" si="3"/>
        <v/>
      </c>
      <c r="G29" s="26"/>
      <c r="H29" s="26"/>
      <c r="I29" s="26"/>
      <c r="J29" s="26"/>
      <c r="K29" s="26"/>
      <c r="L29" s="26"/>
      <c r="M29" s="26"/>
      <c r="N29" s="26"/>
      <c r="O29" s="27"/>
    </row>
    <row r="30" ht="15.75" customHeight="1">
      <c r="A30" s="47"/>
      <c r="B30" s="29">
        <v>26.0</v>
      </c>
      <c r="C30" s="22" t="s">
        <v>32</v>
      </c>
      <c r="D30" s="22" t="s">
        <v>33</v>
      </c>
      <c r="E30" s="70" t="str">
        <f t="shared" si="2"/>
        <v/>
      </c>
      <c r="F30" s="71" t="str">
        <f t="shared" si="3"/>
        <v/>
      </c>
      <c r="G30" s="26"/>
      <c r="H30" s="26"/>
      <c r="I30" s="26"/>
      <c r="J30" s="26"/>
      <c r="K30" s="26"/>
      <c r="L30" s="26"/>
      <c r="M30" s="26"/>
      <c r="N30" s="26"/>
      <c r="O30" s="27"/>
    </row>
    <row r="31" ht="15.75" customHeight="1">
      <c r="A31" s="68"/>
      <c r="B31" s="21">
        <v>27.0</v>
      </c>
      <c r="C31" s="30" t="s">
        <v>34</v>
      </c>
      <c r="D31" s="30" t="s">
        <v>71</v>
      </c>
      <c r="E31" s="70" t="str">
        <f t="shared" si="2"/>
        <v/>
      </c>
      <c r="F31" s="71" t="str">
        <f t="shared" si="3"/>
        <v/>
      </c>
      <c r="G31" s="26"/>
      <c r="H31" s="26"/>
      <c r="I31" s="26"/>
      <c r="J31" s="26"/>
      <c r="K31" s="26"/>
      <c r="L31" s="26"/>
      <c r="M31" s="26"/>
      <c r="N31" s="26"/>
      <c r="O31" s="27"/>
    </row>
    <row r="32" ht="15.75" customHeight="1">
      <c r="A32" s="47"/>
      <c r="B32" s="29">
        <v>28.0</v>
      </c>
      <c r="C32" s="22" t="s">
        <v>36</v>
      </c>
      <c r="D32" s="22" t="s">
        <v>72</v>
      </c>
      <c r="E32" s="70" t="str">
        <f t="shared" si="2"/>
        <v/>
      </c>
      <c r="F32" s="71" t="str">
        <f t="shared" si="3"/>
        <v/>
      </c>
      <c r="G32" s="26"/>
      <c r="H32" s="26"/>
      <c r="I32" s="26"/>
      <c r="J32" s="26"/>
      <c r="K32" s="26"/>
      <c r="L32" s="26"/>
      <c r="M32" s="26"/>
      <c r="N32" s="26"/>
      <c r="O32" s="27"/>
    </row>
    <row r="33" ht="15.75" customHeight="1">
      <c r="A33" s="68"/>
      <c r="B33" s="21">
        <v>29.0</v>
      </c>
      <c r="C33" s="30" t="s">
        <v>38</v>
      </c>
      <c r="D33" s="30" t="s">
        <v>39</v>
      </c>
      <c r="E33" s="70" t="str">
        <f t="shared" si="2"/>
        <v/>
      </c>
      <c r="F33" s="71" t="str">
        <f t="shared" si="3"/>
        <v/>
      </c>
      <c r="G33" s="26"/>
      <c r="H33" s="26"/>
      <c r="I33" s="26"/>
      <c r="J33" s="26"/>
      <c r="K33" s="26"/>
      <c r="L33" s="26"/>
      <c r="M33" s="26"/>
      <c r="N33" s="26"/>
      <c r="O33" s="27"/>
    </row>
    <row r="34" ht="15.75" customHeight="1">
      <c r="A34" s="47"/>
      <c r="B34" s="29">
        <v>30.0</v>
      </c>
      <c r="C34" s="22" t="s">
        <v>40</v>
      </c>
      <c r="D34" s="22" t="s">
        <v>41</v>
      </c>
      <c r="E34" s="70" t="str">
        <f t="shared" si="2"/>
        <v/>
      </c>
      <c r="F34" s="71" t="str">
        <f t="shared" si="3"/>
        <v/>
      </c>
      <c r="G34" s="26"/>
      <c r="H34" s="26"/>
      <c r="I34" s="26"/>
      <c r="J34" s="26"/>
      <c r="K34" s="26"/>
      <c r="L34" s="26"/>
      <c r="M34" s="26"/>
      <c r="N34" s="26"/>
      <c r="O34" s="27"/>
    </row>
    <row r="35" ht="15.75" customHeight="1">
      <c r="A35" s="68"/>
      <c r="B35" s="21">
        <v>31.0</v>
      </c>
      <c r="C35" s="30" t="s">
        <v>42</v>
      </c>
      <c r="D35" s="30" t="s">
        <v>73</v>
      </c>
      <c r="E35" s="70" t="str">
        <f t="shared" si="2"/>
        <v/>
      </c>
      <c r="F35" s="71" t="str">
        <f t="shared" si="3"/>
        <v/>
      </c>
      <c r="G35" s="26"/>
      <c r="H35" s="26"/>
      <c r="I35" s="26"/>
      <c r="J35" s="26"/>
      <c r="K35" s="26"/>
      <c r="L35" s="26"/>
      <c r="M35" s="26"/>
      <c r="N35" s="26"/>
      <c r="O35" s="27"/>
    </row>
    <row r="36" ht="15.75" customHeight="1">
      <c r="A36" s="47"/>
      <c r="B36" s="29">
        <v>32.0</v>
      </c>
      <c r="C36" s="22" t="s">
        <v>44</v>
      </c>
      <c r="D36" s="22" t="s">
        <v>45</v>
      </c>
      <c r="E36" s="70" t="str">
        <f t="shared" si="2"/>
        <v/>
      </c>
      <c r="F36" s="71" t="str">
        <f t="shared" si="3"/>
        <v/>
      </c>
      <c r="G36" s="26"/>
      <c r="H36" s="26"/>
      <c r="I36" s="26"/>
      <c r="J36" s="26"/>
      <c r="K36" s="26"/>
      <c r="L36" s="26"/>
      <c r="M36" s="26"/>
      <c r="N36" s="26"/>
      <c r="O36" s="27"/>
    </row>
    <row r="37" ht="15.75" customHeight="1">
      <c r="A37" s="68"/>
      <c r="B37" s="21">
        <v>33.0</v>
      </c>
      <c r="C37" s="30" t="s">
        <v>46</v>
      </c>
      <c r="D37" s="30" t="s">
        <v>47</v>
      </c>
      <c r="E37" s="70" t="str">
        <f t="shared" si="2"/>
        <v/>
      </c>
      <c r="F37" s="71" t="str">
        <f t="shared" si="3"/>
        <v/>
      </c>
      <c r="G37" s="26"/>
      <c r="H37" s="26"/>
      <c r="I37" s="26"/>
      <c r="J37" s="26"/>
      <c r="K37" s="26"/>
      <c r="L37" s="26"/>
      <c r="M37" s="26"/>
      <c r="N37" s="26"/>
      <c r="O37" s="27"/>
    </row>
    <row r="38" ht="15.75" customHeight="1">
      <c r="A38" s="47"/>
      <c r="B38" s="29">
        <v>34.0</v>
      </c>
      <c r="C38" s="22" t="s">
        <v>48</v>
      </c>
      <c r="D38" s="22" t="s">
        <v>49</v>
      </c>
      <c r="E38" s="70" t="str">
        <f t="shared" si="2"/>
        <v/>
      </c>
      <c r="F38" s="71" t="str">
        <f t="shared" si="3"/>
        <v/>
      </c>
      <c r="G38" s="26"/>
      <c r="H38" s="26"/>
      <c r="I38" s="26"/>
      <c r="J38" s="26"/>
      <c r="K38" s="26"/>
      <c r="L38" s="26"/>
      <c r="M38" s="26"/>
      <c r="N38" s="26"/>
      <c r="O38" s="27"/>
    </row>
    <row r="39" ht="15.75" customHeight="1">
      <c r="A39" s="68"/>
      <c r="B39" s="21">
        <v>35.0</v>
      </c>
      <c r="C39" s="30" t="s">
        <v>50</v>
      </c>
      <c r="D39" s="30" t="s">
        <v>51</v>
      </c>
      <c r="E39" s="70" t="str">
        <f t="shared" si="2"/>
        <v/>
      </c>
      <c r="F39" s="71" t="str">
        <f t="shared" si="3"/>
        <v/>
      </c>
      <c r="G39" s="26"/>
      <c r="H39" s="26"/>
      <c r="I39" s="26"/>
      <c r="J39" s="26"/>
      <c r="K39" s="26"/>
      <c r="L39" s="26"/>
      <c r="M39" s="26"/>
      <c r="N39" s="26"/>
      <c r="O39" s="27"/>
    </row>
    <row r="40" ht="15.75" customHeight="1">
      <c r="A40" s="47"/>
      <c r="B40" s="29">
        <v>36.0</v>
      </c>
      <c r="C40" s="22" t="s">
        <v>52</v>
      </c>
      <c r="D40" s="22" t="s">
        <v>53</v>
      </c>
      <c r="E40" s="70" t="str">
        <f t="shared" si="2"/>
        <v/>
      </c>
      <c r="F40" s="71" t="str">
        <f t="shared" si="3"/>
        <v/>
      </c>
      <c r="G40" s="26"/>
      <c r="H40" s="26"/>
      <c r="I40" s="26"/>
      <c r="J40" s="26"/>
      <c r="K40" s="26"/>
      <c r="L40" s="26"/>
      <c r="M40" s="26"/>
      <c r="N40" s="26"/>
      <c r="O40" s="27"/>
    </row>
    <row r="41" ht="15.75" customHeight="1">
      <c r="A41" s="68"/>
      <c r="B41" s="21">
        <v>37.0</v>
      </c>
      <c r="C41" s="22" t="s">
        <v>54</v>
      </c>
      <c r="D41" s="22" t="s">
        <v>55</v>
      </c>
      <c r="E41" s="70" t="str">
        <f t="shared" si="2"/>
        <v/>
      </c>
      <c r="F41" s="71" t="str">
        <f t="shared" si="3"/>
        <v/>
      </c>
      <c r="G41" s="26"/>
      <c r="H41" s="26"/>
      <c r="I41" s="26"/>
      <c r="J41" s="26"/>
      <c r="K41" s="26"/>
      <c r="L41" s="26"/>
      <c r="M41" s="26"/>
      <c r="N41" s="26"/>
      <c r="O41" s="27"/>
    </row>
    <row r="42" ht="15.75" customHeight="1">
      <c r="A42" s="47"/>
      <c r="B42" s="29">
        <v>38.0</v>
      </c>
      <c r="C42" s="22" t="s">
        <v>56</v>
      </c>
      <c r="D42" s="22" t="s">
        <v>57</v>
      </c>
      <c r="E42" s="70" t="str">
        <f t="shared" si="2"/>
        <v/>
      </c>
      <c r="F42" s="71" t="str">
        <f t="shared" si="3"/>
        <v/>
      </c>
      <c r="G42" s="26"/>
      <c r="H42" s="26"/>
      <c r="I42" s="26"/>
      <c r="J42" s="26"/>
      <c r="K42" s="26"/>
      <c r="L42" s="26"/>
      <c r="M42" s="26"/>
      <c r="N42" s="26"/>
      <c r="O42" s="27"/>
    </row>
    <row r="43" ht="15.75" customHeight="1">
      <c r="A43" s="68"/>
      <c r="B43" s="21">
        <v>39.0</v>
      </c>
      <c r="C43" s="30" t="s">
        <v>58</v>
      </c>
      <c r="D43" s="72" t="s">
        <v>59</v>
      </c>
      <c r="E43" s="70" t="str">
        <f t="shared" si="2"/>
        <v/>
      </c>
      <c r="F43" s="71" t="str">
        <f t="shared" si="3"/>
        <v/>
      </c>
      <c r="G43" s="26"/>
      <c r="H43" s="26"/>
      <c r="I43" s="26"/>
      <c r="J43" s="26"/>
      <c r="K43" s="26"/>
      <c r="L43" s="26"/>
      <c r="M43" s="26"/>
      <c r="N43" s="26"/>
      <c r="O43" s="27"/>
    </row>
    <row r="44" ht="15.75" customHeight="1">
      <c r="A44" s="47"/>
      <c r="B44" s="29">
        <v>40.0</v>
      </c>
      <c r="C44" s="22" t="s">
        <v>60</v>
      </c>
      <c r="D44" s="69" t="s">
        <v>61</v>
      </c>
      <c r="E44" s="70" t="str">
        <f t="shared" si="2"/>
        <v/>
      </c>
      <c r="F44" s="71" t="str">
        <f t="shared" si="3"/>
        <v/>
      </c>
      <c r="G44" s="26"/>
      <c r="H44" s="26"/>
      <c r="I44" s="26"/>
      <c r="J44" s="26"/>
      <c r="K44" s="26"/>
      <c r="L44" s="26"/>
      <c r="M44" s="26"/>
      <c r="N44" s="26"/>
      <c r="O44" s="27"/>
    </row>
    <row r="45" ht="15.75" customHeight="1">
      <c r="A45" s="68"/>
      <c r="B45" s="21">
        <v>41.0</v>
      </c>
      <c r="C45" s="42" t="s">
        <v>62</v>
      </c>
      <c r="D45" s="77"/>
      <c r="E45" s="70" t="str">
        <f t="shared" si="2"/>
        <v/>
      </c>
      <c r="F45" s="71" t="str">
        <f t="shared" si="3"/>
        <v/>
      </c>
      <c r="G45" s="26"/>
      <c r="H45" s="26"/>
      <c r="I45" s="26"/>
      <c r="J45" s="26"/>
      <c r="K45" s="26"/>
      <c r="L45" s="26"/>
      <c r="M45" s="26"/>
      <c r="N45" s="26"/>
      <c r="O45" s="27"/>
    </row>
    <row r="46" ht="15.75" customHeight="1">
      <c r="A46" s="47"/>
      <c r="B46" s="29">
        <v>42.0</v>
      </c>
      <c r="C46" s="22" t="s">
        <v>64</v>
      </c>
      <c r="D46" s="74" t="s">
        <v>65</v>
      </c>
      <c r="E46" s="70" t="str">
        <f t="shared" si="2"/>
        <v/>
      </c>
      <c r="F46" s="71" t="str">
        <f t="shared" si="3"/>
        <v/>
      </c>
      <c r="G46" s="26"/>
      <c r="H46" s="26"/>
      <c r="I46" s="26"/>
      <c r="J46" s="26"/>
      <c r="K46" s="26"/>
      <c r="L46" s="26"/>
      <c r="M46" s="26"/>
      <c r="N46" s="26"/>
      <c r="O46" s="27"/>
    </row>
    <row r="47" ht="15.75" customHeight="1">
      <c r="A47" s="68"/>
      <c r="B47" s="21">
        <v>43.0</v>
      </c>
      <c r="C47" s="30" t="s">
        <v>66</v>
      </c>
      <c r="D47" s="72" t="s">
        <v>67</v>
      </c>
      <c r="E47" s="70" t="str">
        <f t="shared" si="2"/>
        <v>8번 중 8번 참여</v>
      </c>
      <c r="F47" s="71">
        <f t="shared" si="3"/>
        <v>1</v>
      </c>
      <c r="G47" s="26" t="s">
        <v>25</v>
      </c>
      <c r="H47" s="26" t="s">
        <v>25</v>
      </c>
      <c r="I47" s="26" t="s">
        <v>25</v>
      </c>
      <c r="J47" s="26" t="s">
        <v>25</v>
      </c>
      <c r="K47" s="26" t="s">
        <v>25</v>
      </c>
      <c r="L47" s="26" t="s">
        <v>25</v>
      </c>
      <c r="M47" s="26" t="s">
        <v>25</v>
      </c>
      <c r="N47" s="26" t="s">
        <v>25</v>
      </c>
      <c r="O47" s="27"/>
    </row>
    <row r="48" ht="15.75" customHeight="1">
      <c r="A48" s="47"/>
      <c r="B48" s="29">
        <v>44.0</v>
      </c>
      <c r="C48" s="75" t="s">
        <v>68</v>
      </c>
      <c r="D48" s="76" t="s">
        <v>69</v>
      </c>
      <c r="E48" s="70" t="str">
        <f t="shared" si="2"/>
        <v/>
      </c>
      <c r="F48" s="71" t="str">
        <f t="shared" si="3"/>
        <v/>
      </c>
      <c r="G48" s="26"/>
      <c r="H48" s="26"/>
      <c r="I48" s="26"/>
      <c r="J48" s="26"/>
      <c r="K48" s="26"/>
      <c r="L48" s="26"/>
      <c r="M48" s="26"/>
      <c r="N48" s="26"/>
      <c r="O48" s="27"/>
    </row>
    <row r="49" ht="15.75" customHeight="1">
      <c r="A49" s="68"/>
      <c r="B49" s="21">
        <v>45.0</v>
      </c>
      <c r="C49" s="30" t="s">
        <v>74</v>
      </c>
      <c r="D49" s="72" t="s">
        <v>75</v>
      </c>
      <c r="E49" s="70" t="str">
        <f t="shared" si="2"/>
        <v/>
      </c>
      <c r="F49" s="71" t="str">
        <f t="shared" si="3"/>
        <v/>
      </c>
      <c r="G49" s="26"/>
      <c r="H49" s="26"/>
      <c r="I49" s="26"/>
      <c r="J49" s="26"/>
      <c r="K49" s="26"/>
      <c r="L49" s="26"/>
      <c r="M49" s="26"/>
      <c r="N49" s="26"/>
      <c r="O49" s="27"/>
    </row>
    <row r="50" ht="15.75" customHeight="1">
      <c r="A50" s="47"/>
      <c r="B50" s="29">
        <v>46.0</v>
      </c>
      <c r="C50" s="22" t="s">
        <v>76</v>
      </c>
      <c r="D50" s="69" t="s">
        <v>77</v>
      </c>
      <c r="E50" s="70" t="str">
        <f t="shared" si="2"/>
        <v/>
      </c>
      <c r="F50" s="71" t="str">
        <f t="shared" si="3"/>
        <v/>
      </c>
      <c r="G50" s="26"/>
      <c r="H50" s="26"/>
      <c r="I50" s="26"/>
      <c r="J50" s="26"/>
      <c r="K50" s="26"/>
      <c r="L50" s="26"/>
      <c r="M50" s="26"/>
      <c r="N50" s="26"/>
      <c r="O50" s="27"/>
    </row>
    <row r="51" ht="15.75" customHeight="1">
      <c r="A51" s="68"/>
      <c r="B51" s="21">
        <v>47.0</v>
      </c>
      <c r="C51" s="30" t="s">
        <v>78</v>
      </c>
      <c r="D51" s="78" t="s">
        <v>79</v>
      </c>
      <c r="E51" s="70" t="str">
        <f t="shared" si="2"/>
        <v>8번 중 7번 참여</v>
      </c>
      <c r="F51" s="71">
        <f t="shared" si="3"/>
        <v>0.875</v>
      </c>
      <c r="G51" s="26" t="s">
        <v>25</v>
      </c>
      <c r="H51" s="26" t="s">
        <v>25</v>
      </c>
      <c r="I51" s="26" t="s">
        <v>25</v>
      </c>
      <c r="J51" s="26" t="s">
        <v>25</v>
      </c>
      <c r="K51" s="26" t="s">
        <v>25</v>
      </c>
      <c r="L51" s="26" t="s">
        <v>25</v>
      </c>
      <c r="M51" s="26" t="s">
        <v>25</v>
      </c>
      <c r="N51" s="26"/>
      <c r="O51" s="27" t="s">
        <v>25</v>
      </c>
    </row>
    <row r="52" ht="15.75" customHeight="1">
      <c r="A52" s="47"/>
      <c r="B52" s="29">
        <v>48.0</v>
      </c>
      <c r="C52" s="30" t="s">
        <v>81</v>
      </c>
      <c r="D52" s="30" t="s">
        <v>82</v>
      </c>
      <c r="E52" s="70" t="str">
        <f t="shared" si="2"/>
        <v>8번 중 7번 참여</v>
      </c>
      <c r="F52" s="71">
        <f t="shared" si="3"/>
        <v>0.875</v>
      </c>
      <c r="G52" s="26"/>
      <c r="H52" s="26" t="s">
        <v>25</v>
      </c>
      <c r="I52" s="26" t="s">
        <v>25</v>
      </c>
      <c r="J52" s="26" t="s">
        <v>25</v>
      </c>
      <c r="K52" s="26" t="s">
        <v>25</v>
      </c>
      <c r="L52" s="26" t="s">
        <v>25</v>
      </c>
      <c r="M52" s="26" t="s">
        <v>25</v>
      </c>
      <c r="N52" s="26" t="s">
        <v>25</v>
      </c>
      <c r="O52" s="27" t="s">
        <v>25</v>
      </c>
    </row>
    <row r="53" ht="15.75" customHeight="1">
      <c r="A53" s="68"/>
      <c r="B53" s="21">
        <v>49.0</v>
      </c>
      <c r="C53" s="30" t="s">
        <v>83</v>
      </c>
      <c r="D53" s="72" t="s">
        <v>84</v>
      </c>
      <c r="E53" s="70" t="str">
        <f t="shared" si="2"/>
        <v/>
      </c>
      <c r="F53" s="71" t="str">
        <f t="shared" si="3"/>
        <v/>
      </c>
      <c r="G53" s="26"/>
      <c r="H53" s="26"/>
      <c r="I53" s="26"/>
      <c r="J53" s="26"/>
      <c r="K53" s="26"/>
      <c r="L53" s="26"/>
      <c r="M53" s="26"/>
      <c r="N53" s="26"/>
      <c r="O53" s="27"/>
    </row>
    <row r="54" ht="15.75" customHeight="1">
      <c r="A54" s="47"/>
      <c r="B54" s="29">
        <v>50.0</v>
      </c>
      <c r="C54" s="30" t="s">
        <v>85</v>
      </c>
      <c r="D54" s="72" t="s">
        <v>86</v>
      </c>
      <c r="E54" s="70" t="str">
        <f t="shared" si="2"/>
        <v/>
      </c>
      <c r="F54" s="71" t="str">
        <f t="shared" si="3"/>
        <v/>
      </c>
      <c r="G54" s="26"/>
      <c r="H54" s="26"/>
      <c r="I54" s="26"/>
      <c r="J54" s="26"/>
      <c r="K54" s="26"/>
      <c r="L54" s="26"/>
      <c r="M54" s="26"/>
      <c r="N54" s="26"/>
      <c r="O54" s="27"/>
    </row>
    <row r="55" ht="15.75" customHeight="1">
      <c r="A55" s="68"/>
      <c r="B55" s="21">
        <v>51.0</v>
      </c>
      <c r="C55" s="22" t="s">
        <v>87</v>
      </c>
      <c r="D55" s="69" t="s">
        <v>88</v>
      </c>
      <c r="E55" s="70" t="str">
        <f t="shared" si="2"/>
        <v/>
      </c>
      <c r="F55" s="71" t="str">
        <f t="shared" si="3"/>
        <v/>
      </c>
      <c r="G55" s="26"/>
      <c r="H55" s="26"/>
      <c r="I55" s="26"/>
      <c r="J55" s="26"/>
      <c r="K55" s="26"/>
      <c r="L55" s="26"/>
      <c r="M55" s="26"/>
      <c r="N55" s="26"/>
      <c r="O55" s="27"/>
    </row>
    <row r="56" ht="15.75" customHeight="1">
      <c r="A56" s="47"/>
      <c r="B56" s="29">
        <v>52.0</v>
      </c>
      <c r="C56" s="39" t="s">
        <v>89</v>
      </c>
      <c r="D56" s="79" t="s">
        <v>90</v>
      </c>
      <c r="E56" s="70" t="str">
        <f t="shared" si="2"/>
        <v/>
      </c>
      <c r="F56" s="71" t="str">
        <f t="shared" si="3"/>
        <v/>
      </c>
      <c r="G56" s="26"/>
      <c r="H56" s="26"/>
      <c r="I56" s="26"/>
      <c r="J56" s="26"/>
      <c r="K56" s="26"/>
      <c r="L56" s="26"/>
      <c r="M56" s="26"/>
      <c r="N56" s="26"/>
      <c r="O56" s="27"/>
    </row>
    <row r="57" ht="15.75" customHeight="1">
      <c r="A57" s="68"/>
      <c r="B57" s="21">
        <v>53.0</v>
      </c>
      <c r="C57" s="44" t="s">
        <v>91</v>
      </c>
      <c r="D57" s="44" t="s">
        <v>92</v>
      </c>
      <c r="E57" s="70" t="str">
        <f t="shared" si="2"/>
        <v>8번 중 5번 참여</v>
      </c>
      <c r="F57" s="71">
        <f t="shared" si="3"/>
        <v>0.625</v>
      </c>
      <c r="G57" s="26" t="s">
        <v>25</v>
      </c>
      <c r="H57" s="26" t="s">
        <v>25</v>
      </c>
      <c r="I57" s="26" t="s">
        <v>25</v>
      </c>
      <c r="J57" s="26"/>
      <c r="K57" s="26" t="s">
        <v>25</v>
      </c>
      <c r="L57" s="26" t="s">
        <v>25</v>
      </c>
      <c r="M57" s="26"/>
      <c r="N57" s="26"/>
      <c r="O57" s="27"/>
    </row>
    <row r="58" ht="15.75" customHeight="1">
      <c r="A58" s="47"/>
      <c r="B58" s="29">
        <v>54.0</v>
      </c>
      <c r="C58" s="30" t="s">
        <v>93</v>
      </c>
      <c r="D58" s="30" t="s">
        <v>94</v>
      </c>
      <c r="E58" s="70" t="str">
        <f t="shared" si="2"/>
        <v/>
      </c>
      <c r="F58" s="71" t="str">
        <f t="shared" si="3"/>
        <v/>
      </c>
      <c r="G58" s="26"/>
      <c r="H58" s="26"/>
      <c r="I58" s="26"/>
      <c r="J58" s="26"/>
      <c r="K58" s="26"/>
      <c r="L58" s="26"/>
      <c r="M58" s="26"/>
      <c r="N58" s="26"/>
      <c r="O58" s="27"/>
    </row>
    <row r="59" ht="15.75" customHeight="1">
      <c r="A59" s="68"/>
      <c r="B59" s="21">
        <v>55.0</v>
      </c>
      <c r="C59" s="22" t="s">
        <v>95</v>
      </c>
      <c r="D59" s="22" t="s">
        <v>96</v>
      </c>
      <c r="E59" s="70" t="str">
        <f t="shared" si="2"/>
        <v>8번 중 5번 참여</v>
      </c>
      <c r="F59" s="71">
        <f t="shared" si="3"/>
        <v>0.625</v>
      </c>
      <c r="G59" s="26" t="s">
        <v>25</v>
      </c>
      <c r="H59" s="26" t="s">
        <v>25</v>
      </c>
      <c r="I59" s="26" t="s">
        <v>25</v>
      </c>
      <c r="J59" s="26" t="s">
        <v>25</v>
      </c>
      <c r="K59" s="26"/>
      <c r="L59" s="26" t="s">
        <v>25</v>
      </c>
      <c r="M59" s="26"/>
      <c r="N59" s="26"/>
      <c r="O59" s="27"/>
    </row>
    <row r="60" ht="15.75" customHeight="1">
      <c r="A60" s="47"/>
      <c r="B60" s="29">
        <v>56.0</v>
      </c>
      <c r="C60" s="30" t="s">
        <v>97</v>
      </c>
      <c r="D60" s="30" t="s">
        <v>98</v>
      </c>
      <c r="E60" s="70" t="str">
        <f t="shared" si="2"/>
        <v>8번 중 3번 참여</v>
      </c>
      <c r="F60" s="71">
        <f t="shared" si="3"/>
        <v>0.375</v>
      </c>
      <c r="G60" s="26" t="s">
        <v>25</v>
      </c>
      <c r="H60" s="26" t="s">
        <v>25</v>
      </c>
      <c r="I60" s="26" t="s">
        <v>25</v>
      </c>
      <c r="J60" s="26"/>
      <c r="K60" s="26"/>
      <c r="L60" s="26"/>
      <c r="M60" s="26"/>
      <c r="N60" s="26"/>
      <c r="O60" s="27"/>
    </row>
    <row r="61" ht="15.75" customHeight="1">
      <c r="A61" s="68"/>
      <c r="B61" s="21">
        <v>57.0</v>
      </c>
      <c r="C61" s="22" t="s">
        <v>99</v>
      </c>
      <c r="D61" s="22" t="s">
        <v>100</v>
      </c>
      <c r="E61" s="70" t="str">
        <f t="shared" si="2"/>
        <v>8번 중 4번 참여</v>
      </c>
      <c r="F61" s="71">
        <f t="shared" si="3"/>
        <v>0.5</v>
      </c>
      <c r="G61" s="26" t="s">
        <v>25</v>
      </c>
      <c r="H61" s="26" t="s">
        <v>25</v>
      </c>
      <c r="I61" s="26" t="s">
        <v>25</v>
      </c>
      <c r="J61" s="26" t="s">
        <v>25</v>
      </c>
      <c r="K61" s="26"/>
      <c r="L61" s="26"/>
      <c r="M61" s="26"/>
      <c r="N61" s="26"/>
      <c r="O61" s="27" t="s">
        <v>25</v>
      </c>
    </row>
    <row r="62" ht="15.75" customHeight="1">
      <c r="A62" s="47"/>
      <c r="B62" s="29">
        <v>58.0</v>
      </c>
      <c r="C62" s="30" t="s">
        <v>101</v>
      </c>
      <c r="D62" s="72" t="s">
        <v>102</v>
      </c>
      <c r="E62" s="70" t="str">
        <f t="shared" si="2"/>
        <v>8번 중 6번 참여</v>
      </c>
      <c r="F62" s="71">
        <f t="shared" si="3"/>
        <v>0.75</v>
      </c>
      <c r="G62" s="26" t="s">
        <v>25</v>
      </c>
      <c r="H62" s="26" t="s">
        <v>25</v>
      </c>
      <c r="I62" s="26" t="s">
        <v>25</v>
      </c>
      <c r="J62" s="26" t="s">
        <v>25</v>
      </c>
      <c r="K62" s="26" t="s">
        <v>25</v>
      </c>
      <c r="L62" s="26" t="s">
        <v>25</v>
      </c>
      <c r="M62" s="26"/>
      <c r="N62" s="26"/>
      <c r="O62" s="27"/>
    </row>
    <row r="63" ht="15.75" customHeight="1">
      <c r="A63" s="68"/>
      <c r="B63" s="21">
        <v>59.0</v>
      </c>
      <c r="C63" s="22" t="s">
        <v>103</v>
      </c>
      <c r="D63" s="22" t="s">
        <v>104</v>
      </c>
      <c r="E63" s="70" t="str">
        <f t="shared" si="2"/>
        <v>8번 중 6번 참여</v>
      </c>
      <c r="F63" s="71">
        <f t="shared" si="3"/>
        <v>0.75</v>
      </c>
      <c r="G63" s="26" t="s">
        <v>25</v>
      </c>
      <c r="H63" s="26" t="s">
        <v>25</v>
      </c>
      <c r="I63" s="26" t="s">
        <v>25</v>
      </c>
      <c r="J63" s="26" t="s">
        <v>25</v>
      </c>
      <c r="K63" s="26" t="s">
        <v>25</v>
      </c>
      <c r="L63" s="26"/>
      <c r="M63" s="26" t="s">
        <v>25</v>
      </c>
      <c r="N63" s="26"/>
      <c r="O63" s="27"/>
    </row>
    <row r="64" ht="15.75" customHeight="1">
      <c r="A64" s="47"/>
      <c r="B64" s="29">
        <v>60.0</v>
      </c>
      <c r="C64" s="43" t="s">
        <v>105</v>
      </c>
      <c r="D64" s="80" t="s">
        <v>106</v>
      </c>
      <c r="E64" s="70" t="str">
        <f t="shared" si="2"/>
        <v/>
      </c>
      <c r="F64" s="71" t="str">
        <f t="shared" si="3"/>
        <v/>
      </c>
      <c r="G64" s="26"/>
      <c r="H64" s="26"/>
      <c r="I64" s="26"/>
      <c r="J64" s="26"/>
      <c r="K64" s="26"/>
      <c r="L64" s="26"/>
      <c r="M64" s="26"/>
      <c r="N64" s="26"/>
      <c r="O64" s="27"/>
    </row>
    <row r="65" ht="15.75" customHeight="1">
      <c r="A65" s="68"/>
      <c r="B65" s="21">
        <v>61.0</v>
      </c>
      <c r="C65" s="44" t="s">
        <v>107</v>
      </c>
      <c r="D65" s="81" t="s">
        <v>108</v>
      </c>
      <c r="E65" s="70" t="str">
        <f t="shared" ref="E65:E66" si="4">IF(COUNTIF(G65:I65, "완료")=0, "", COUNTIF($G$4:$N$4, "완료") &amp; "번 중 " &amp; COUNTIF(G65:I65, "완료") &amp; "번 참여")
</f>
        <v/>
      </c>
      <c r="F65" s="71" t="str">
        <f t="shared" ref="F65:F66" si="5">IF(COUNTIF($G$4:$N$4, "완료")=0, "", IF(COUNTIF(G65:I65, "완료")=0, "", COUNTIF(G65:I65, "완료") / COUNTIF($G$4:$N$4, "완료")))
</f>
        <v/>
      </c>
      <c r="G65" s="26"/>
      <c r="H65" s="26"/>
      <c r="I65" s="26"/>
      <c r="J65" s="26"/>
      <c r="K65" s="26"/>
      <c r="L65" s="26"/>
      <c r="M65" s="26"/>
      <c r="N65" s="26"/>
      <c r="O65" s="26"/>
    </row>
    <row r="66" ht="15.75" customHeight="1">
      <c r="A66" s="47"/>
      <c r="B66" s="29">
        <v>62.0</v>
      </c>
      <c r="C66" s="22" t="s">
        <v>109</v>
      </c>
      <c r="D66" s="22" t="s">
        <v>110</v>
      </c>
      <c r="E66" s="70" t="str">
        <f t="shared" si="4"/>
        <v/>
      </c>
      <c r="F66" s="71" t="str">
        <f t="shared" si="5"/>
        <v/>
      </c>
      <c r="G66" s="26"/>
      <c r="H66" s="26"/>
      <c r="I66" s="26"/>
      <c r="J66" s="26"/>
      <c r="K66" s="26"/>
      <c r="L66" s="26"/>
      <c r="M66" s="26"/>
      <c r="N66" s="26"/>
      <c r="O66" s="26"/>
    </row>
    <row r="67" ht="15.75" customHeight="1">
      <c r="A67" s="68"/>
      <c r="B67" s="21">
        <v>63.0</v>
      </c>
      <c r="C67" s="30" t="s">
        <v>111</v>
      </c>
      <c r="D67" s="30" t="s">
        <v>112</v>
      </c>
      <c r="E67" s="70" t="str">
        <f t="shared" ref="E67:E77" si="6">IF(COUNTIF(G67:N67, "완료")=0, "", COUNTIF($G$4:$N$4, "완료") &amp; "번 중 " &amp; COUNTIF(G67:N67, "완료") &amp; "번 참여")
</f>
        <v/>
      </c>
      <c r="F67" s="71" t="str">
        <f t="shared" ref="F67:F77" si="7">IF(COUNTIF($G$4:$N$4, "완료")=0, "", IF(COUNTIF(G67:N67, "완료")=0, "", COUNTIF(G67:N67, "완료") / COUNTIF($G$4:$N$4, "완료")))
</f>
        <v/>
      </c>
      <c r="G67" s="26"/>
      <c r="H67" s="26"/>
      <c r="I67" s="26"/>
      <c r="J67" s="26"/>
      <c r="K67" s="26"/>
      <c r="L67" s="26"/>
      <c r="M67" s="26"/>
      <c r="N67" s="26"/>
      <c r="O67" s="27"/>
    </row>
    <row r="68" ht="15.75" customHeight="1">
      <c r="A68" s="47"/>
      <c r="B68" s="29">
        <v>64.0</v>
      </c>
      <c r="C68" s="22" t="s">
        <v>113</v>
      </c>
      <c r="D68" s="22" t="s">
        <v>114</v>
      </c>
      <c r="E68" s="70" t="str">
        <f t="shared" si="6"/>
        <v>8번 중 8번 참여</v>
      </c>
      <c r="F68" s="71">
        <f t="shared" si="7"/>
        <v>1</v>
      </c>
      <c r="G68" s="26" t="s">
        <v>25</v>
      </c>
      <c r="H68" s="26" t="s">
        <v>25</v>
      </c>
      <c r="I68" s="26" t="s">
        <v>25</v>
      </c>
      <c r="J68" s="26" t="s">
        <v>25</v>
      </c>
      <c r="K68" s="26" t="s">
        <v>25</v>
      </c>
      <c r="L68" s="26" t="s">
        <v>25</v>
      </c>
      <c r="M68" s="26" t="s">
        <v>25</v>
      </c>
      <c r="N68" s="26" t="s">
        <v>25</v>
      </c>
      <c r="O68" s="27" t="s">
        <v>25</v>
      </c>
    </row>
    <row r="69" ht="15.75" customHeight="1">
      <c r="A69" s="68"/>
      <c r="B69" s="21">
        <v>65.0</v>
      </c>
      <c r="C69" s="82" t="s">
        <v>115</v>
      </c>
      <c r="D69" s="83" t="s">
        <v>116</v>
      </c>
      <c r="E69" s="70" t="str">
        <f t="shared" si="6"/>
        <v/>
      </c>
      <c r="F69" s="71" t="str">
        <f t="shared" si="7"/>
        <v/>
      </c>
      <c r="G69" s="26"/>
      <c r="H69" s="26"/>
      <c r="I69" s="26"/>
      <c r="J69" s="26"/>
      <c r="K69" s="26"/>
      <c r="L69" s="26"/>
      <c r="M69" s="26"/>
      <c r="N69" s="26"/>
      <c r="O69" s="27"/>
    </row>
    <row r="70" ht="15.75" customHeight="1">
      <c r="A70" s="47" t="s">
        <v>228</v>
      </c>
      <c r="B70" s="48">
        <v>66.0</v>
      </c>
      <c r="C70" s="84" t="s">
        <v>118</v>
      </c>
      <c r="D70" s="50" t="s">
        <v>119</v>
      </c>
      <c r="E70" s="70" t="str">
        <f t="shared" si="6"/>
        <v>8번 중 8번 참여</v>
      </c>
      <c r="F70" s="71">
        <f t="shared" si="7"/>
        <v>1</v>
      </c>
      <c r="G70" s="26" t="s">
        <v>25</v>
      </c>
      <c r="H70" s="26" t="s">
        <v>25</v>
      </c>
      <c r="I70" s="26" t="s">
        <v>25</v>
      </c>
      <c r="J70" s="26" t="s">
        <v>25</v>
      </c>
      <c r="K70" s="26" t="s">
        <v>25</v>
      </c>
      <c r="L70" s="26" t="s">
        <v>25</v>
      </c>
      <c r="M70" s="26" t="s">
        <v>25</v>
      </c>
      <c r="N70" s="26" t="s">
        <v>25</v>
      </c>
      <c r="O70" s="27" t="s">
        <v>25</v>
      </c>
    </row>
    <row r="71" ht="15.75" customHeight="1">
      <c r="A71" s="47"/>
      <c r="B71" s="29">
        <v>67.0</v>
      </c>
      <c r="C71" s="30" t="s">
        <v>120</v>
      </c>
      <c r="D71" s="30" t="s">
        <v>121</v>
      </c>
      <c r="E71" s="70" t="str">
        <f t="shared" si="6"/>
        <v>8번 중 8번 참여</v>
      </c>
      <c r="F71" s="71">
        <f t="shared" si="7"/>
        <v>1</v>
      </c>
      <c r="G71" s="26" t="s">
        <v>25</v>
      </c>
      <c r="H71" s="26" t="s">
        <v>25</v>
      </c>
      <c r="I71" s="26" t="s">
        <v>25</v>
      </c>
      <c r="J71" s="26" t="s">
        <v>25</v>
      </c>
      <c r="K71" s="26" t="s">
        <v>25</v>
      </c>
      <c r="L71" s="26" t="s">
        <v>25</v>
      </c>
      <c r="M71" s="26" t="s">
        <v>25</v>
      </c>
      <c r="N71" s="26" t="s">
        <v>25</v>
      </c>
      <c r="O71" s="27" t="s">
        <v>25</v>
      </c>
    </row>
    <row r="72" ht="15.75" customHeight="1">
      <c r="A72" s="47"/>
      <c r="B72" s="29">
        <v>68.0</v>
      </c>
      <c r="C72" s="30" t="s">
        <v>122</v>
      </c>
      <c r="D72" s="78" t="s">
        <v>123</v>
      </c>
      <c r="E72" s="70" t="str">
        <f t="shared" si="6"/>
        <v/>
      </c>
      <c r="F72" s="71" t="str">
        <f t="shared" si="7"/>
        <v/>
      </c>
      <c r="G72" s="26"/>
      <c r="H72" s="26"/>
      <c r="I72" s="26"/>
      <c r="J72" s="26"/>
      <c r="K72" s="26"/>
      <c r="L72" s="26"/>
      <c r="M72" s="26"/>
      <c r="N72" s="26"/>
      <c r="O72" s="27"/>
    </row>
    <row r="73" ht="15.75" customHeight="1">
      <c r="A73" s="68"/>
      <c r="B73" s="21">
        <v>69.0</v>
      </c>
      <c r="C73" s="22" t="s">
        <v>124</v>
      </c>
      <c r="D73" s="22" t="s">
        <v>125</v>
      </c>
      <c r="E73" s="70" t="str">
        <f t="shared" si="6"/>
        <v>8번 중 8번 참여</v>
      </c>
      <c r="F73" s="71">
        <f t="shared" si="7"/>
        <v>1</v>
      </c>
      <c r="G73" s="26" t="s">
        <v>25</v>
      </c>
      <c r="H73" s="26" t="s">
        <v>25</v>
      </c>
      <c r="I73" s="26" t="s">
        <v>25</v>
      </c>
      <c r="J73" s="26" t="s">
        <v>25</v>
      </c>
      <c r="K73" s="26" t="s">
        <v>25</v>
      </c>
      <c r="L73" s="26" t="s">
        <v>25</v>
      </c>
      <c r="M73" s="26" t="s">
        <v>25</v>
      </c>
      <c r="N73" s="26" t="s">
        <v>25</v>
      </c>
      <c r="O73" s="27" t="s">
        <v>25</v>
      </c>
    </row>
    <row r="74" ht="15.75" customHeight="1">
      <c r="A74" s="47"/>
      <c r="B74" s="29">
        <v>70.0</v>
      </c>
      <c r="C74" s="44" t="s">
        <v>126</v>
      </c>
      <c r="D74" s="81" t="s">
        <v>127</v>
      </c>
      <c r="E74" s="70" t="str">
        <f t="shared" si="6"/>
        <v/>
      </c>
      <c r="F74" s="71" t="str">
        <f t="shared" si="7"/>
        <v/>
      </c>
      <c r="G74" s="26"/>
      <c r="H74" s="26"/>
      <c r="I74" s="26"/>
      <c r="J74" s="26"/>
      <c r="K74" s="26"/>
      <c r="L74" s="26"/>
      <c r="M74" s="26"/>
      <c r="N74" s="26"/>
      <c r="O74" s="27"/>
    </row>
    <row r="75" ht="15.75" customHeight="1">
      <c r="A75" s="68"/>
      <c r="B75" s="21">
        <v>71.0</v>
      </c>
      <c r="C75" s="22" t="s">
        <v>128</v>
      </c>
      <c r="D75" s="74" t="s">
        <v>129</v>
      </c>
      <c r="E75" s="70" t="str">
        <f t="shared" si="6"/>
        <v/>
      </c>
      <c r="F75" s="71" t="str">
        <f t="shared" si="7"/>
        <v/>
      </c>
      <c r="G75" s="26"/>
      <c r="H75" s="26"/>
      <c r="I75" s="26"/>
      <c r="J75" s="26"/>
      <c r="K75" s="26"/>
      <c r="L75" s="26"/>
      <c r="M75" s="26"/>
      <c r="N75" s="26"/>
      <c r="O75" s="27"/>
    </row>
    <row r="76" ht="15.75" customHeight="1">
      <c r="A76" s="50"/>
      <c r="B76" s="30">
        <v>72.0</v>
      </c>
      <c r="C76" s="30" t="s">
        <v>130</v>
      </c>
      <c r="D76" s="30" t="s">
        <v>131</v>
      </c>
      <c r="E76" s="70" t="str">
        <f t="shared" si="6"/>
        <v/>
      </c>
      <c r="F76" s="71" t="str">
        <f t="shared" si="7"/>
        <v/>
      </c>
      <c r="G76" s="26"/>
      <c r="H76" s="26"/>
      <c r="I76" s="26"/>
      <c r="J76" s="26"/>
      <c r="K76" s="26"/>
      <c r="L76" s="26"/>
      <c r="M76" s="26"/>
      <c r="N76" s="26"/>
      <c r="O76" s="27"/>
    </row>
    <row r="77" ht="15.75" customHeight="1">
      <c r="A77" s="30"/>
      <c r="B77" s="30">
        <v>73.0</v>
      </c>
      <c r="C77" s="30" t="s">
        <v>132</v>
      </c>
      <c r="D77" s="22" t="s">
        <v>133</v>
      </c>
      <c r="E77" s="70" t="str">
        <f t="shared" si="6"/>
        <v/>
      </c>
      <c r="F77" s="71" t="str">
        <f t="shared" si="7"/>
        <v/>
      </c>
      <c r="G77" s="26"/>
      <c r="H77" s="26"/>
      <c r="I77" s="26"/>
      <c r="J77" s="26"/>
      <c r="K77" s="26"/>
      <c r="L77" s="26"/>
      <c r="M77" s="26"/>
      <c r="N77" s="26"/>
      <c r="O77" s="27"/>
    </row>
    <row r="78" ht="15.75" customHeight="1">
      <c r="A78" s="47"/>
      <c r="B78" s="29">
        <v>74.0</v>
      </c>
      <c r="C78" s="42"/>
      <c r="D78" s="42"/>
      <c r="E78" s="70"/>
      <c r="F78" s="71"/>
      <c r="G78" s="26"/>
      <c r="H78" s="26"/>
      <c r="I78" s="26"/>
      <c r="J78" s="26"/>
      <c r="K78" s="26"/>
      <c r="L78" s="26"/>
      <c r="M78" s="26"/>
      <c r="N78" s="26"/>
      <c r="O78" s="27"/>
    </row>
    <row r="79" ht="15.75" customHeight="1">
      <c r="A79" s="68"/>
      <c r="B79" s="21">
        <v>75.0</v>
      </c>
      <c r="C79" s="30" t="s">
        <v>136</v>
      </c>
      <c r="D79" s="30" t="s">
        <v>137</v>
      </c>
      <c r="E79" s="70" t="str">
        <f t="shared" ref="E79:E124" si="8">IF(COUNTIF(G79:N79, "완료")=0, "", COUNTIF($G$4:$N$4, "완료") &amp; "번 중 " &amp; COUNTIF(G79:N79, "완료") &amp; "번 참여")
</f>
        <v/>
      </c>
      <c r="F79" s="71" t="str">
        <f t="shared" ref="F79:F124" si="9">IF(COUNTIF($G$4:$N$4, "완료")=0, "", IF(COUNTIF(G79:N79, "완료")=0, "", COUNTIF(G79:N79, "완료") / COUNTIF($G$4:$N$4, "완료")))
</f>
        <v/>
      </c>
      <c r="G79" s="26"/>
      <c r="H79" s="26"/>
      <c r="I79" s="26"/>
      <c r="J79" s="26"/>
      <c r="K79" s="26"/>
      <c r="L79" s="26"/>
      <c r="M79" s="26"/>
      <c r="N79" s="26"/>
      <c r="O79" s="27"/>
    </row>
    <row r="80" ht="15.75" customHeight="1">
      <c r="A80" s="47"/>
      <c r="B80" s="29">
        <v>76.0</v>
      </c>
      <c r="C80" s="22" t="s">
        <v>138</v>
      </c>
      <c r="D80" s="22" t="s">
        <v>139</v>
      </c>
      <c r="E80" s="70" t="str">
        <f t="shared" si="8"/>
        <v/>
      </c>
      <c r="F80" s="71" t="str">
        <f t="shared" si="9"/>
        <v/>
      </c>
      <c r="G80" s="26"/>
      <c r="H80" s="26"/>
      <c r="I80" s="26"/>
      <c r="J80" s="26"/>
      <c r="K80" s="26"/>
      <c r="L80" s="26"/>
      <c r="M80" s="26"/>
      <c r="N80" s="26"/>
      <c r="O80" s="27"/>
    </row>
    <row r="81" ht="15.75" customHeight="1">
      <c r="A81" s="68"/>
      <c r="B81" s="21">
        <v>77.0</v>
      </c>
      <c r="C81" s="30" t="s">
        <v>140</v>
      </c>
      <c r="D81" s="22" t="s">
        <v>141</v>
      </c>
      <c r="E81" s="70" t="str">
        <f t="shared" si="8"/>
        <v>8번 중 6번 참여</v>
      </c>
      <c r="F81" s="71">
        <f t="shared" si="9"/>
        <v>0.75</v>
      </c>
      <c r="G81" s="26" t="s">
        <v>25</v>
      </c>
      <c r="H81" s="26" t="s">
        <v>25</v>
      </c>
      <c r="I81" s="26" t="s">
        <v>25</v>
      </c>
      <c r="J81" s="26" t="s">
        <v>25</v>
      </c>
      <c r="K81" s="26"/>
      <c r="L81" s="26" t="s">
        <v>25</v>
      </c>
      <c r="M81" s="26" t="s">
        <v>25</v>
      </c>
      <c r="N81" s="26"/>
      <c r="O81" s="27"/>
    </row>
    <row r="82" ht="15.75" customHeight="1">
      <c r="A82" s="47"/>
      <c r="B82" s="29">
        <v>78.0</v>
      </c>
      <c r="C82" s="22" t="s">
        <v>142</v>
      </c>
      <c r="D82" s="22" t="s">
        <v>143</v>
      </c>
      <c r="E82" s="70" t="str">
        <f t="shared" si="8"/>
        <v/>
      </c>
      <c r="F82" s="71" t="str">
        <f t="shared" si="9"/>
        <v/>
      </c>
      <c r="G82" s="26"/>
      <c r="H82" s="26"/>
      <c r="I82" s="26"/>
      <c r="J82" s="26"/>
      <c r="K82" s="26"/>
      <c r="L82" s="26"/>
      <c r="M82" s="26"/>
      <c r="N82" s="26"/>
      <c r="O82" s="27"/>
    </row>
    <row r="83" ht="15.75" customHeight="1">
      <c r="A83" s="68"/>
      <c r="B83" s="21">
        <v>79.0</v>
      </c>
      <c r="C83" s="30" t="s">
        <v>144</v>
      </c>
      <c r="D83" s="30" t="s">
        <v>145</v>
      </c>
      <c r="E83" s="70" t="str">
        <f t="shared" si="8"/>
        <v/>
      </c>
      <c r="F83" s="71" t="str">
        <f t="shared" si="9"/>
        <v/>
      </c>
      <c r="G83" s="26"/>
      <c r="H83" s="26"/>
      <c r="I83" s="26"/>
      <c r="J83" s="26"/>
      <c r="K83" s="26"/>
      <c r="L83" s="26"/>
      <c r="M83" s="26"/>
      <c r="N83" s="26"/>
      <c r="O83" s="27"/>
    </row>
    <row r="84" ht="15.75" customHeight="1">
      <c r="A84" s="47"/>
      <c r="B84" s="29">
        <v>80.0</v>
      </c>
      <c r="C84" s="22" t="s">
        <v>146</v>
      </c>
      <c r="D84" s="22" t="s">
        <v>147</v>
      </c>
      <c r="E84" s="70" t="str">
        <f t="shared" si="8"/>
        <v>8번 중 7번 참여</v>
      </c>
      <c r="F84" s="71">
        <f t="shared" si="9"/>
        <v>0.875</v>
      </c>
      <c r="G84" s="26"/>
      <c r="H84" s="26" t="s">
        <v>25</v>
      </c>
      <c r="I84" s="26" t="s">
        <v>25</v>
      </c>
      <c r="J84" s="26" t="s">
        <v>25</v>
      </c>
      <c r="K84" s="26" t="s">
        <v>25</v>
      </c>
      <c r="L84" s="26" t="s">
        <v>25</v>
      </c>
      <c r="M84" s="26" t="s">
        <v>25</v>
      </c>
      <c r="N84" s="26" t="s">
        <v>25</v>
      </c>
      <c r="O84" s="27" t="s">
        <v>25</v>
      </c>
    </row>
    <row r="85" ht="15.75" customHeight="1">
      <c r="A85" s="68"/>
      <c r="B85" s="21">
        <v>81.0</v>
      </c>
      <c r="C85" s="30" t="s">
        <v>148</v>
      </c>
      <c r="D85" s="30" t="s">
        <v>149</v>
      </c>
      <c r="E85" s="70" t="str">
        <f t="shared" si="8"/>
        <v>8번 중 8번 참여</v>
      </c>
      <c r="F85" s="71">
        <f t="shared" si="9"/>
        <v>1</v>
      </c>
      <c r="G85" s="26" t="s">
        <v>25</v>
      </c>
      <c r="H85" s="26" t="s">
        <v>25</v>
      </c>
      <c r="I85" s="26" t="s">
        <v>25</v>
      </c>
      <c r="J85" s="26" t="s">
        <v>25</v>
      </c>
      <c r="K85" s="26" t="s">
        <v>25</v>
      </c>
      <c r="L85" s="26" t="s">
        <v>25</v>
      </c>
      <c r="M85" s="26" t="s">
        <v>25</v>
      </c>
      <c r="N85" s="26" t="s">
        <v>25</v>
      </c>
      <c r="O85" s="27" t="s">
        <v>25</v>
      </c>
    </row>
    <row r="86" ht="15.75" customHeight="1">
      <c r="A86" s="47"/>
      <c r="B86" s="29">
        <v>82.0</v>
      </c>
      <c r="C86" s="30" t="s">
        <v>150</v>
      </c>
      <c r="D86" s="78" t="s">
        <v>151</v>
      </c>
      <c r="E86" s="70" t="str">
        <f t="shared" si="8"/>
        <v/>
      </c>
      <c r="F86" s="71" t="str">
        <f t="shared" si="9"/>
        <v/>
      </c>
      <c r="G86" s="26"/>
      <c r="H86" s="26"/>
      <c r="I86" s="26"/>
      <c r="J86" s="26"/>
      <c r="K86" s="26"/>
      <c r="L86" s="26"/>
      <c r="M86" s="26"/>
      <c r="N86" s="26"/>
      <c r="O86" s="27"/>
    </row>
    <row r="87" ht="15.75" customHeight="1">
      <c r="A87" s="68"/>
      <c r="B87" s="21">
        <v>83.0</v>
      </c>
      <c r="C87" s="22" t="s">
        <v>152</v>
      </c>
      <c r="D87" s="22" t="s">
        <v>153</v>
      </c>
      <c r="E87" s="70" t="str">
        <f t="shared" si="8"/>
        <v/>
      </c>
      <c r="F87" s="71" t="str">
        <f t="shared" si="9"/>
        <v/>
      </c>
      <c r="G87" s="26"/>
      <c r="H87" s="26"/>
      <c r="I87" s="26"/>
      <c r="J87" s="26"/>
      <c r="K87" s="26"/>
      <c r="L87" s="26"/>
      <c r="M87" s="26"/>
      <c r="N87" s="26"/>
      <c r="O87" s="27"/>
    </row>
    <row r="88" ht="15.75" customHeight="1">
      <c r="A88" s="47"/>
      <c r="B88" s="29">
        <v>84.0</v>
      </c>
      <c r="C88" s="30" t="s">
        <v>154</v>
      </c>
      <c r="D88" s="30" t="s">
        <v>155</v>
      </c>
      <c r="E88" s="70" t="str">
        <f t="shared" si="8"/>
        <v>8번 중 8번 참여</v>
      </c>
      <c r="F88" s="71">
        <f t="shared" si="9"/>
        <v>1</v>
      </c>
      <c r="G88" s="26" t="s">
        <v>25</v>
      </c>
      <c r="H88" s="26" t="s">
        <v>25</v>
      </c>
      <c r="I88" s="26" t="s">
        <v>25</v>
      </c>
      <c r="J88" s="26" t="s">
        <v>25</v>
      </c>
      <c r="K88" s="26" t="s">
        <v>25</v>
      </c>
      <c r="L88" s="26" t="s">
        <v>25</v>
      </c>
      <c r="M88" s="26" t="s">
        <v>25</v>
      </c>
      <c r="N88" s="26" t="s">
        <v>25</v>
      </c>
      <c r="O88" s="27" t="s">
        <v>25</v>
      </c>
    </row>
    <row r="89" ht="15.75" customHeight="1">
      <c r="A89" s="68"/>
      <c r="B89" s="21">
        <v>85.0</v>
      </c>
      <c r="C89" s="22" t="s">
        <v>156</v>
      </c>
      <c r="D89" s="22" t="s">
        <v>157</v>
      </c>
      <c r="E89" s="70" t="str">
        <f t="shared" si="8"/>
        <v>8번 중 6번 참여</v>
      </c>
      <c r="F89" s="71">
        <f t="shared" si="9"/>
        <v>0.75</v>
      </c>
      <c r="G89" s="26" t="s">
        <v>25</v>
      </c>
      <c r="H89" s="26" t="s">
        <v>25</v>
      </c>
      <c r="I89" s="26" t="s">
        <v>25</v>
      </c>
      <c r="J89" s="26" t="s">
        <v>25</v>
      </c>
      <c r="K89" s="26" t="s">
        <v>25</v>
      </c>
      <c r="L89" s="26"/>
      <c r="M89" s="26" t="s">
        <v>25</v>
      </c>
      <c r="N89" s="26"/>
      <c r="O89" s="27"/>
    </row>
    <row r="90" ht="15.75" customHeight="1">
      <c r="A90" s="47"/>
      <c r="B90" s="29">
        <v>86.0</v>
      </c>
      <c r="C90" s="42" t="s">
        <v>158</v>
      </c>
      <c r="D90" s="42" t="s">
        <v>159</v>
      </c>
      <c r="E90" s="70" t="str">
        <f t="shared" si="8"/>
        <v>8번 중 7번 참여</v>
      </c>
      <c r="F90" s="71">
        <f t="shared" si="9"/>
        <v>0.875</v>
      </c>
      <c r="G90" s="26" t="s">
        <v>25</v>
      </c>
      <c r="H90" s="26" t="s">
        <v>25</v>
      </c>
      <c r="I90" s="26" t="s">
        <v>25</v>
      </c>
      <c r="J90" s="26" t="s">
        <v>25</v>
      </c>
      <c r="K90" s="85" t="s">
        <v>25</v>
      </c>
      <c r="L90" s="26" t="s">
        <v>25</v>
      </c>
      <c r="M90" s="26" t="s">
        <v>25</v>
      </c>
      <c r="N90" s="26"/>
      <c r="O90" s="27" t="s">
        <v>25</v>
      </c>
    </row>
    <row r="91" ht="15.75" customHeight="1">
      <c r="A91" s="68"/>
      <c r="B91" s="21">
        <v>87.0</v>
      </c>
      <c r="C91" s="42" t="s">
        <v>160</v>
      </c>
      <c r="D91" s="42" t="s">
        <v>161</v>
      </c>
      <c r="E91" s="70" t="str">
        <f t="shared" si="8"/>
        <v>8번 중 8번 참여</v>
      </c>
      <c r="F91" s="71">
        <f t="shared" si="9"/>
        <v>1</v>
      </c>
      <c r="G91" s="26" t="s">
        <v>25</v>
      </c>
      <c r="H91" s="26" t="s">
        <v>25</v>
      </c>
      <c r="I91" s="26" t="s">
        <v>25</v>
      </c>
      <c r="J91" s="26" t="s">
        <v>25</v>
      </c>
      <c r="K91" s="26" t="s">
        <v>25</v>
      </c>
      <c r="L91" s="26" t="s">
        <v>25</v>
      </c>
      <c r="M91" s="26" t="s">
        <v>25</v>
      </c>
      <c r="N91" s="26" t="s">
        <v>25</v>
      </c>
      <c r="O91" s="27"/>
    </row>
    <row r="92" ht="15.75" customHeight="1">
      <c r="A92" s="47"/>
      <c r="B92" s="29">
        <v>88.0</v>
      </c>
      <c r="C92" s="30" t="s">
        <v>162</v>
      </c>
      <c r="D92" s="30" t="s">
        <v>163</v>
      </c>
      <c r="E92" s="70" t="str">
        <f t="shared" si="8"/>
        <v>8번 중 6번 참여</v>
      </c>
      <c r="F92" s="71">
        <f t="shared" si="9"/>
        <v>0.75</v>
      </c>
      <c r="G92" s="26"/>
      <c r="H92" s="26"/>
      <c r="I92" s="26" t="s">
        <v>25</v>
      </c>
      <c r="J92" s="26" t="s">
        <v>25</v>
      </c>
      <c r="K92" s="26" t="s">
        <v>25</v>
      </c>
      <c r="L92" s="26" t="s">
        <v>25</v>
      </c>
      <c r="M92" s="26" t="s">
        <v>25</v>
      </c>
      <c r="N92" s="26" t="s">
        <v>25</v>
      </c>
      <c r="O92" s="27" t="s">
        <v>25</v>
      </c>
    </row>
    <row r="93" ht="15.75" customHeight="1">
      <c r="A93" s="68"/>
      <c r="B93" s="21">
        <v>89.0</v>
      </c>
      <c r="C93" s="22" t="s">
        <v>164</v>
      </c>
      <c r="D93" s="22" t="s">
        <v>165</v>
      </c>
      <c r="E93" s="70" t="str">
        <f t="shared" si="8"/>
        <v/>
      </c>
      <c r="F93" s="71" t="str">
        <f t="shared" si="9"/>
        <v/>
      </c>
      <c r="G93" s="26"/>
      <c r="H93" s="26"/>
      <c r="I93" s="26"/>
      <c r="J93" s="26"/>
      <c r="K93" s="26"/>
      <c r="L93" s="26"/>
      <c r="M93" s="26"/>
      <c r="N93" s="26"/>
      <c r="O93" s="27"/>
    </row>
    <row r="94" ht="15.75" customHeight="1">
      <c r="A94" s="47"/>
      <c r="B94" s="29">
        <v>90.0</v>
      </c>
      <c r="C94" s="42" t="s">
        <v>166</v>
      </c>
      <c r="D94" s="42" t="s">
        <v>167</v>
      </c>
      <c r="E94" s="70" t="str">
        <f t="shared" si="8"/>
        <v>8번 중 6번 참여</v>
      </c>
      <c r="F94" s="71">
        <f t="shared" si="9"/>
        <v>0.75</v>
      </c>
      <c r="G94" s="26" t="s">
        <v>25</v>
      </c>
      <c r="H94" s="26" t="s">
        <v>25</v>
      </c>
      <c r="I94" s="26"/>
      <c r="J94" s="26"/>
      <c r="K94" s="26" t="s">
        <v>25</v>
      </c>
      <c r="L94" s="26" t="s">
        <v>25</v>
      </c>
      <c r="M94" s="26" t="s">
        <v>25</v>
      </c>
      <c r="N94" s="26" t="s">
        <v>25</v>
      </c>
      <c r="O94" s="27" t="s">
        <v>25</v>
      </c>
    </row>
    <row r="95" ht="15.75" customHeight="1">
      <c r="A95" s="68"/>
      <c r="B95" s="21">
        <v>91.0</v>
      </c>
      <c r="C95" s="22" t="s">
        <v>168</v>
      </c>
      <c r="D95" s="74" t="s">
        <v>169</v>
      </c>
      <c r="E95" s="70" t="str">
        <f t="shared" si="8"/>
        <v>8번 중 4번 참여</v>
      </c>
      <c r="F95" s="71">
        <f t="shared" si="9"/>
        <v>0.5</v>
      </c>
      <c r="G95" s="26" t="s">
        <v>25</v>
      </c>
      <c r="H95" s="26"/>
      <c r="I95" s="26"/>
      <c r="J95" s="26" t="s">
        <v>25</v>
      </c>
      <c r="K95" s="26" t="s">
        <v>25</v>
      </c>
      <c r="L95" s="26"/>
      <c r="M95" s="26" t="s">
        <v>25</v>
      </c>
      <c r="N95" s="26"/>
      <c r="O95" s="27"/>
    </row>
    <row r="96" ht="15.75" customHeight="1">
      <c r="A96" s="47"/>
      <c r="B96" s="29">
        <v>92.0</v>
      </c>
      <c r="C96" s="30" t="s">
        <v>170</v>
      </c>
      <c r="D96" s="30" t="s">
        <v>171</v>
      </c>
      <c r="E96" s="70" t="str">
        <f t="shared" si="8"/>
        <v>8번 중 8번 참여</v>
      </c>
      <c r="F96" s="71">
        <f t="shared" si="9"/>
        <v>1</v>
      </c>
      <c r="G96" s="26" t="s">
        <v>25</v>
      </c>
      <c r="H96" s="26" t="s">
        <v>25</v>
      </c>
      <c r="I96" s="26" t="s">
        <v>25</v>
      </c>
      <c r="J96" s="26" t="s">
        <v>25</v>
      </c>
      <c r="K96" s="26" t="s">
        <v>25</v>
      </c>
      <c r="L96" s="26" t="s">
        <v>25</v>
      </c>
      <c r="M96" s="26" t="s">
        <v>25</v>
      </c>
      <c r="N96" s="26" t="s">
        <v>25</v>
      </c>
      <c r="O96" s="27"/>
    </row>
    <row r="97" ht="15.75" customHeight="1">
      <c r="A97" s="68"/>
      <c r="B97" s="21">
        <v>93.0</v>
      </c>
      <c r="C97" s="22" t="s">
        <v>172</v>
      </c>
      <c r="D97" s="74" t="s">
        <v>173</v>
      </c>
      <c r="E97" s="70" t="str">
        <f t="shared" si="8"/>
        <v>8번 중 8번 참여</v>
      </c>
      <c r="F97" s="71">
        <f t="shared" si="9"/>
        <v>1</v>
      </c>
      <c r="G97" s="26" t="s">
        <v>25</v>
      </c>
      <c r="H97" s="26" t="s">
        <v>25</v>
      </c>
      <c r="I97" s="26" t="s">
        <v>25</v>
      </c>
      <c r="J97" s="26" t="s">
        <v>25</v>
      </c>
      <c r="K97" s="26" t="s">
        <v>25</v>
      </c>
      <c r="L97" s="26" t="s">
        <v>25</v>
      </c>
      <c r="M97" s="26" t="s">
        <v>25</v>
      </c>
      <c r="N97" s="26" t="s">
        <v>25</v>
      </c>
      <c r="O97" s="27"/>
    </row>
    <row r="98" ht="15.75" customHeight="1">
      <c r="A98" s="47"/>
      <c r="B98" s="29">
        <v>94.0</v>
      </c>
      <c r="C98" s="30" t="s">
        <v>174</v>
      </c>
      <c r="D98" s="78" t="s">
        <v>175</v>
      </c>
      <c r="E98" s="70" t="str">
        <f t="shared" si="8"/>
        <v/>
      </c>
      <c r="F98" s="71" t="str">
        <f t="shared" si="9"/>
        <v/>
      </c>
      <c r="G98" s="26"/>
      <c r="H98" s="26"/>
      <c r="I98" s="26"/>
      <c r="J98" s="26"/>
      <c r="K98" s="26"/>
      <c r="L98" s="26"/>
      <c r="M98" s="26"/>
      <c r="N98" s="26"/>
      <c r="O98" s="27"/>
    </row>
    <row r="99" ht="15.75" customHeight="1">
      <c r="A99" s="68"/>
      <c r="B99" s="21">
        <v>95.0</v>
      </c>
      <c r="C99" s="39" t="s">
        <v>176</v>
      </c>
      <c r="D99" s="79" t="s">
        <v>177</v>
      </c>
      <c r="E99" s="70" t="str">
        <f t="shared" si="8"/>
        <v>8번 중 6번 참여</v>
      </c>
      <c r="F99" s="71">
        <f t="shared" si="9"/>
        <v>0.75</v>
      </c>
      <c r="G99" s="26"/>
      <c r="H99" s="26" t="s">
        <v>25</v>
      </c>
      <c r="I99" s="26" t="s">
        <v>25</v>
      </c>
      <c r="J99" s="26" t="s">
        <v>25</v>
      </c>
      <c r="K99" s="26" t="s">
        <v>25</v>
      </c>
      <c r="L99" s="26" t="s">
        <v>25</v>
      </c>
      <c r="M99" s="26" t="s">
        <v>25</v>
      </c>
      <c r="N99" s="26"/>
      <c r="O99" s="27"/>
    </row>
    <row r="100" ht="15.75" customHeight="1">
      <c r="A100" s="47"/>
      <c r="B100" s="29">
        <v>96.0</v>
      </c>
      <c r="C100" s="30" t="s">
        <v>178</v>
      </c>
      <c r="D100" s="72" t="s">
        <v>179</v>
      </c>
      <c r="E100" s="70" t="str">
        <f t="shared" si="8"/>
        <v/>
      </c>
      <c r="F100" s="71" t="str">
        <f t="shared" si="9"/>
        <v/>
      </c>
      <c r="G100" s="26" t="s">
        <v>80</v>
      </c>
      <c r="H100" s="26"/>
      <c r="I100" s="26"/>
      <c r="J100" s="26"/>
      <c r="K100" s="26"/>
      <c r="L100" s="26"/>
      <c r="M100" s="26"/>
      <c r="N100" s="26"/>
      <c r="O100" s="27"/>
    </row>
    <row r="101" ht="15.75" customHeight="1">
      <c r="A101" s="68"/>
      <c r="B101" s="21">
        <v>97.0</v>
      </c>
      <c r="C101" s="22" t="s">
        <v>180</v>
      </c>
      <c r="D101" s="74" t="s">
        <v>181</v>
      </c>
      <c r="E101" s="70" t="str">
        <f t="shared" si="8"/>
        <v>8번 중 8번 참여</v>
      </c>
      <c r="F101" s="71">
        <f t="shared" si="9"/>
        <v>1</v>
      </c>
      <c r="G101" s="26" t="s">
        <v>25</v>
      </c>
      <c r="H101" s="26" t="s">
        <v>25</v>
      </c>
      <c r="I101" s="26" t="s">
        <v>25</v>
      </c>
      <c r="J101" s="26" t="s">
        <v>25</v>
      </c>
      <c r="K101" s="26" t="s">
        <v>25</v>
      </c>
      <c r="L101" s="26" t="s">
        <v>25</v>
      </c>
      <c r="M101" s="26" t="s">
        <v>25</v>
      </c>
      <c r="N101" s="26" t="s">
        <v>25</v>
      </c>
      <c r="O101" s="27" t="s">
        <v>25</v>
      </c>
    </row>
    <row r="102" ht="15.75" customHeight="1">
      <c r="A102" s="47"/>
      <c r="B102" s="29">
        <v>98.0</v>
      </c>
      <c r="C102" s="86" t="s">
        <v>207</v>
      </c>
      <c r="D102" s="44" t="s">
        <v>208</v>
      </c>
      <c r="E102" s="70" t="str">
        <f t="shared" si="8"/>
        <v/>
      </c>
      <c r="F102" s="71" t="str">
        <f t="shared" si="9"/>
        <v/>
      </c>
      <c r="G102" s="26"/>
      <c r="H102" s="26"/>
      <c r="I102" s="26"/>
      <c r="J102" s="26"/>
      <c r="K102" s="26"/>
      <c r="L102" s="26"/>
      <c r="M102" s="26"/>
      <c r="N102" s="26"/>
      <c r="O102" s="27"/>
    </row>
    <row r="103" ht="15.75" customHeight="1">
      <c r="A103" s="68"/>
      <c r="B103" s="21">
        <v>99.0</v>
      </c>
      <c r="C103" s="43" t="s">
        <v>182</v>
      </c>
      <c r="D103" s="87" t="s">
        <v>183</v>
      </c>
      <c r="E103" s="70" t="str">
        <f t="shared" si="8"/>
        <v>8번 중 7번 참여</v>
      </c>
      <c r="F103" s="71">
        <f t="shared" si="9"/>
        <v>0.875</v>
      </c>
      <c r="G103" s="26" t="s">
        <v>25</v>
      </c>
      <c r="H103" s="26" t="s">
        <v>25</v>
      </c>
      <c r="I103" s="26" t="s">
        <v>25</v>
      </c>
      <c r="J103" s="26" t="s">
        <v>25</v>
      </c>
      <c r="K103" s="26" t="s">
        <v>25</v>
      </c>
      <c r="L103" s="26" t="s">
        <v>25</v>
      </c>
      <c r="M103" s="26"/>
      <c r="N103" s="26" t="s">
        <v>25</v>
      </c>
      <c r="O103" s="27" t="s">
        <v>25</v>
      </c>
    </row>
    <row r="104" ht="15.75" customHeight="1">
      <c r="A104" s="47"/>
      <c r="B104" s="29">
        <v>100.0</v>
      </c>
      <c r="C104" s="30" t="s">
        <v>184</v>
      </c>
      <c r="D104" s="30" t="s">
        <v>185</v>
      </c>
      <c r="E104" s="70" t="str">
        <f t="shared" si="8"/>
        <v/>
      </c>
      <c r="F104" s="71" t="str">
        <f t="shared" si="9"/>
        <v/>
      </c>
      <c r="G104" s="26"/>
      <c r="H104" s="26"/>
      <c r="I104" s="26"/>
      <c r="J104" s="26"/>
      <c r="K104" s="26"/>
      <c r="L104" s="26"/>
      <c r="M104" s="26"/>
      <c r="N104" s="26"/>
      <c r="O104" s="27"/>
    </row>
    <row r="105" ht="15.75" customHeight="1">
      <c r="A105" s="68"/>
      <c r="B105" s="21">
        <v>101.0</v>
      </c>
      <c r="C105" s="88"/>
      <c r="D105" s="74"/>
      <c r="E105" s="70" t="str">
        <f t="shared" si="8"/>
        <v/>
      </c>
      <c r="F105" s="71" t="str">
        <f t="shared" si="9"/>
        <v/>
      </c>
      <c r="G105" s="26"/>
      <c r="H105" s="26"/>
      <c r="I105" s="26"/>
      <c r="J105" s="26"/>
      <c r="K105" s="26"/>
      <c r="L105" s="26"/>
      <c r="M105" s="26"/>
      <c r="N105" s="26"/>
      <c r="O105" s="27"/>
    </row>
    <row r="106" ht="15.75" customHeight="1">
      <c r="A106" s="47"/>
      <c r="B106" s="29">
        <v>102.0</v>
      </c>
      <c r="C106" s="88"/>
      <c r="D106" s="22"/>
      <c r="E106" s="70" t="str">
        <f t="shared" si="8"/>
        <v/>
      </c>
      <c r="F106" s="71" t="str">
        <f t="shared" si="9"/>
        <v/>
      </c>
      <c r="G106" s="26"/>
      <c r="H106" s="26"/>
      <c r="I106" s="26"/>
      <c r="J106" s="26"/>
      <c r="K106" s="26"/>
      <c r="L106" s="26"/>
      <c r="M106" s="26"/>
      <c r="N106" s="26"/>
      <c r="O106" s="27"/>
    </row>
    <row r="107" ht="15.75" customHeight="1">
      <c r="A107" s="68"/>
      <c r="B107" s="21">
        <v>103.0</v>
      </c>
      <c r="C107" s="89"/>
      <c r="D107" s="82"/>
      <c r="E107" s="70" t="str">
        <f t="shared" si="8"/>
        <v/>
      </c>
      <c r="F107" s="71" t="str">
        <f t="shared" si="9"/>
        <v/>
      </c>
      <c r="G107" s="26"/>
      <c r="H107" s="26"/>
      <c r="I107" s="26"/>
      <c r="J107" s="26"/>
      <c r="K107" s="26"/>
      <c r="L107" s="26"/>
      <c r="M107" s="26"/>
      <c r="N107" s="26"/>
      <c r="O107" s="27"/>
    </row>
    <row r="108" ht="15.75" customHeight="1">
      <c r="A108" s="47"/>
      <c r="B108" s="29">
        <v>104.0</v>
      </c>
      <c r="C108" s="90"/>
      <c r="D108" s="78"/>
      <c r="E108" s="70" t="str">
        <f t="shared" si="8"/>
        <v/>
      </c>
      <c r="F108" s="71" t="str">
        <f t="shared" si="9"/>
        <v/>
      </c>
      <c r="G108" s="26"/>
      <c r="H108" s="26"/>
      <c r="I108" s="26"/>
      <c r="J108" s="26"/>
      <c r="K108" s="26"/>
      <c r="L108" s="26"/>
      <c r="M108" s="26"/>
      <c r="N108" s="26"/>
      <c r="O108" s="27"/>
    </row>
    <row r="109" ht="15.75" customHeight="1">
      <c r="A109" s="68"/>
      <c r="B109" s="21">
        <v>105.0</v>
      </c>
      <c r="C109" s="33"/>
      <c r="D109" s="33"/>
      <c r="E109" s="70" t="str">
        <f t="shared" si="8"/>
        <v/>
      </c>
      <c r="F109" s="71" t="str">
        <f t="shared" si="9"/>
        <v/>
      </c>
      <c r="G109" s="26"/>
      <c r="H109" s="26"/>
      <c r="I109" s="26"/>
      <c r="J109" s="26"/>
      <c r="K109" s="26"/>
      <c r="L109" s="26"/>
      <c r="M109" s="26"/>
      <c r="N109" s="26"/>
      <c r="O109" s="27"/>
    </row>
    <row r="110" ht="15.75" customHeight="1">
      <c r="A110" s="47"/>
      <c r="B110" s="29">
        <v>106.0</v>
      </c>
      <c r="C110" s="35"/>
      <c r="D110" s="35"/>
      <c r="E110" s="70" t="str">
        <f t="shared" si="8"/>
        <v/>
      </c>
      <c r="F110" s="71" t="str">
        <f t="shared" si="9"/>
        <v/>
      </c>
      <c r="G110" s="26"/>
      <c r="H110" s="26"/>
      <c r="I110" s="26"/>
      <c r="J110" s="26"/>
      <c r="K110" s="26"/>
      <c r="L110" s="26"/>
      <c r="M110" s="26"/>
      <c r="N110" s="26"/>
      <c r="O110" s="27"/>
    </row>
    <row r="111" ht="15.75" customHeight="1">
      <c r="A111" s="68"/>
      <c r="B111" s="21">
        <v>107.0</v>
      </c>
      <c r="C111" s="33"/>
      <c r="D111" s="33"/>
      <c r="E111" s="70" t="str">
        <f t="shared" si="8"/>
        <v/>
      </c>
      <c r="F111" s="71" t="str">
        <f t="shared" si="9"/>
        <v/>
      </c>
      <c r="G111" s="26"/>
      <c r="H111" s="26"/>
      <c r="I111" s="26"/>
      <c r="J111" s="26"/>
      <c r="K111" s="26"/>
      <c r="L111" s="26"/>
      <c r="M111" s="26"/>
      <c r="N111" s="26"/>
      <c r="O111" s="27"/>
    </row>
    <row r="112" ht="15.75" customHeight="1">
      <c r="A112" s="47"/>
      <c r="B112" s="29">
        <v>108.0</v>
      </c>
      <c r="C112" s="35"/>
      <c r="D112" s="35"/>
      <c r="E112" s="70" t="str">
        <f t="shared" si="8"/>
        <v/>
      </c>
      <c r="F112" s="71" t="str">
        <f t="shared" si="9"/>
        <v/>
      </c>
      <c r="G112" s="26"/>
      <c r="H112" s="26"/>
      <c r="I112" s="26"/>
      <c r="J112" s="26"/>
      <c r="K112" s="26"/>
      <c r="L112" s="26"/>
      <c r="M112" s="26"/>
      <c r="N112" s="26"/>
      <c r="O112" s="27"/>
    </row>
    <row r="113" ht="15.75" customHeight="1">
      <c r="A113" s="68"/>
      <c r="B113" s="21">
        <v>109.0</v>
      </c>
      <c r="C113" s="33"/>
      <c r="D113" s="33"/>
      <c r="E113" s="70" t="str">
        <f t="shared" si="8"/>
        <v/>
      </c>
      <c r="F113" s="71" t="str">
        <f t="shared" si="9"/>
        <v/>
      </c>
      <c r="G113" s="26"/>
      <c r="H113" s="26"/>
      <c r="I113" s="26"/>
      <c r="J113" s="26"/>
      <c r="K113" s="26"/>
      <c r="L113" s="26"/>
      <c r="M113" s="26"/>
      <c r="N113" s="26"/>
      <c r="O113" s="27"/>
    </row>
    <row r="114" ht="15.75" customHeight="1">
      <c r="A114" s="47"/>
      <c r="B114" s="29">
        <v>110.0</v>
      </c>
      <c r="C114" s="35"/>
      <c r="D114" s="35"/>
      <c r="E114" s="70" t="str">
        <f t="shared" si="8"/>
        <v/>
      </c>
      <c r="F114" s="71" t="str">
        <f t="shared" si="9"/>
        <v/>
      </c>
      <c r="G114" s="26"/>
      <c r="H114" s="26"/>
      <c r="I114" s="26"/>
      <c r="J114" s="26"/>
      <c r="K114" s="26"/>
      <c r="L114" s="26"/>
      <c r="M114" s="26"/>
      <c r="N114" s="26"/>
      <c r="O114" s="27"/>
    </row>
    <row r="115" ht="15.75" customHeight="1">
      <c r="A115" s="68"/>
      <c r="B115" s="21">
        <v>111.0</v>
      </c>
      <c r="C115" s="33"/>
      <c r="D115" s="33"/>
      <c r="E115" s="70" t="str">
        <f t="shared" si="8"/>
        <v/>
      </c>
      <c r="F115" s="71" t="str">
        <f t="shared" si="9"/>
        <v/>
      </c>
      <c r="G115" s="26"/>
      <c r="H115" s="26"/>
      <c r="I115" s="26"/>
      <c r="J115" s="26"/>
      <c r="K115" s="26"/>
      <c r="L115" s="26"/>
      <c r="M115" s="26"/>
      <c r="N115" s="26"/>
      <c r="O115" s="27"/>
    </row>
    <row r="116" ht="15.75" customHeight="1">
      <c r="A116" s="47"/>
      <c r="B116" s="29">
        <v>112.0</v>
      </c>
      <c r="C116" s="35"/>
      <c r="D116" s="35"/>
      <c r="E116" s="70" t="str">
        <f t="shared" si="8"/>
        <v/>
      </c>
      <c r="F116" s="71" t="str">
        <f t="shared" si="9"/>
        <v/>
      </c>
      <c r="G116" s="26"/>
      <c r="H116" s="26"/>
      <c r="I116" s="26"/>
      <c r="J116" s="26"/>
      <c r="K116" s="26"/>
      <c r="L116" s="26"/>
      <c r="M116" s="26"/>
      <c r="N116" s="26"/>
      <c r="O116" s="27"/>
    </row>
    <row r="117" ht="15.75" customHeight="1">
      <c r="A117" s="68"/>
      <c r="B117" s="21">
        <v>113.0</v>
      </c>
      <c r="C117" s="33"/>
      <c r="D117" s="33"/>
      <c r="E117" s="70" t="str">
        <f t="shared" si="8"/>
        <v/>
      </c>
      <c r="F117" s="71" t="str">
        <f t="shared" si="9"/>
        <v/>
      </c>
      <c r="G117" s="26"/>
      <c r="H117" s="26"/>
      <c r="I117" s="26"/>
      <c r="J117" s="26"/>
      <c r="K117" s="26"/>
      <c r="L117" s="26"/>
      <c r="M117" s="26"/>
      <c r="N117" s="26"/>
      <c r="O117" s="27"/>
    </row>
    <row r="118" ht="15.75" customHeight="1">
      <c r="A118" s="47"/>
      <c r="B118" s="29">
        <v>114.0</v>
      </c>
      <c r="C118" s="35"/>
      <c r="D118" s="35"/>
      <c r="E118" s="70" t="str">
        <f t="shared" si="8"/>
        <v/>
      </c>
      <c r="F118" s="71" t="str">
        <f t="shared" si="9"/>
        <v/>
      </c>
      <c r="G118" s="26"/>
      <c r="H118" s="26"/>
      <c r="I118" s="26"/>
      <c r="J118" s="26"/>
      <c r="K118" s="26"/>
      <c r="L118" s="26"/>
      <c r="M118" s="26"/>
      <c r="N118" s="26"/>
      <c r="O118" s="27"/>
    </row>
    <row r="119" ht="15.75" customHeight="1">
      <c r="A119" s="68"/>
      <c r="B119" s="21">
        <v>115.0</v>
      </c>
      <c r="C119" s="33"/>
      <c r="D119" s="33"/>
      <c r="E119" s="70" t="str">
        <f t="shared" si="8"/>
        <v/>
      </c>
      <c r="F119" s="71" t="str">
        <f t="shared" si="9"/>
        <v/>
      </c>
      <c r="G119" s="26"/>
      <c r="H119" s="26"/>
      <c r="I119" s="26"/>
      <c r="J119" s="26"/>
      <c r="K119" s="26"/>
      <c r="L119" s="26"/>
      <c r="M119" s="26"/>
      <c r="N119" s="26"/>
      <c r="O119" s="27"/>
    </row>
    <row r="120" ht="15.75" customHeight="1">
      <c r="A120" s="47"/>
      <c r="B120" s="29">
        <v>116.0</v>
      </c>
      <c r="C120" s="35"/>
      <c r="D120" s="35"/>
      <c r="E120" s="70" t="str">
        <f t="shared" si="8"/>
        <v/>
      </c>
      <c r="F120" s="71" t="str">
        <f t="shared" si="9"/>
        <v/>
      </c>
      <c r="G120" s="26"/>
      <c r="H120" s="26"/>
      <c r="I120" s="26"/>
      <c r="J120" s="26"/>
      <c r="K120" s="26"/>
      <c r="L120" s="26"/>
      <c r="M120" s="26"/>
      <c r="N120" s="26"/>
      <c r="O120" s="27"/>
    </row>
    <row r="121" ht="15.75" customHeight="1">
      <c r="A121" s="68"/>
      <c r="B121" s="21">
        <v>117.0</v>
      </c>
      <c r="C121" s="33"/>
      <c r="D121" s="33"/>
      <c r="E121" s="70" t="str">
        <f t="shared" si="8"/>
        <v/>
      </c>
      <c r="F121" s="71" t="str">
        <f t="shared" si="9"/>
        <v/>
      </c>
      <c r="G121" s="26"/>
      <c r="H121" s="26"/>
      <c r="I121" s="26"/>
      <c r="J121" s="26"/>
      <c r="K121" s="26"/>
      <c r="L121" s="26"/>
      <c r="M121" s="26"/>
      <c r="N121" s="26"/>
      <c r="O121" s="27"/>
    </row>
    <row r="122" ht="15.75" customHeight="1">
      <c r="A122" s="91"/>
      <c r="B122" s="55">
        <v>118.0</v>
      </c>
      <c r="C122" s="56"/>
      <c r="D122" s="56"/>
      <c r="E122" s="92" t="str">
        <f t="shared" si="8"/>
        <v/>
      </c>
      <c r="F122" s="93" t="str">
        <f t="shared" si="9"/>
        <v/>
      </c>
      <c r="G122" s="17"/>
      <c r="H122" s="17"/>
      <c r="I122" s="17"/>
      <c r="J122" s="17"/>
      <c r="K122" s="17"/>
      <c r="L122" s="17"/>
      <c r="M122" s="17"/>
      <c r="N122" s="17"/>
      <c r="O122" s="1"/>
    </row>
    <row r="123" ht="15.75" customHeight="1">
      <c r="A123" s="91"/>
      <c r="B123" s="55">
        <v>119.0</v>
      </c>
      <c r="C123" s="56"/>
      <c r="D123" s="56"/>
      <c r="E123" s="92" t="str">
        <f t="shared" si="8"/>
        <v/>
      </c>
      <c r="F123" s="93" t="str">
        <f t="shared" si="9"/>
        <v/>
      </c>
      <c r="G123" s="17"/>
      <c r="H123" s="17"/>
      <c r="I123" s="17"/>
      <c r="J123" s="17"/>
      <c r="K123" s="17"/>
      <c r="L123" s="17"/>
      <c r="M123" s="17"/>
      <c r="N123" s="17"/>
      <c r="O123" s="1"/>
    </row>
    <row r="124" ht="15.75" customHeight="1">
      <c r="A124" s="91"/>
      <c r="B124" s="55">
        <v>120.0</v>
      </c>
      <c r="C124" s="56"/>
      <c r="D124" s="56"/>
      <c r="E124" s="92" t="str">
        <f t="shared" si="8"/>
        <v/>
      </c>
      <c r="F124" s="93" t="str">
        <f t="shared" si="9"/>
        <v/>
      </c>
      <c r="G124" s="17"/>
      <c r="H124" s="17"/>
      <c r="I124" s="17"/>
      <c r="J124" s="17"/>
      <c r="K124" s="17"/>
      <c r="L124" s="17"/>
      <c r="M124" s="17"/>
      <c r="N124" s="17"/>
      <c r="O124" s="1"/>
    </row>
    <row r="125" ht="15.75" customHeight="1">
      <c r="A125" s="13"/>
      <c r="B125" s="13"/>
      <c r="C125" s="13"/>
      <c r="D125" s="13"/>
      <c r="E125" s="13"/>
      <c r="F125" s="13"/>
      <c r="G125" s="13"/>
      <c r="H125" s="13"/>
      <c r="I125" s="13"/>
      <c r="J125" s="13"/>
      <c r="K125" s="13"/>
      <c r="L125" s="13"/>
      <c r="M125" s="13"/>
      <c r="N125" s="13"/>
      <c r="O125" s="13"/>
    </row>
    <row r="126" ht="15.75" customHeight="1">
      <c r="A126" s="13"/>
      <c r="B126" s="13"/>
      <c r="C126" s="13"/>
      <c r="D126" s="13"/>
      <c r="E126" s="13"/>
      <c r="F126" s="13"/>
      <c r="G126" s="13"/>
      <c r="H126" s="13"/>
      <c r="I126" s="13"/>
      <c r="J126" s="13"/>
      <c r="K126" s="13"/>
      <c r="L126" s="13"/>
      <c r="M126" s="13"/>
      <c r="N126" s="13"/>
      <c r="O126" s="13"/>
    </row>
    <row r="127" ht="15.75" customHeight="1">
      <c r="A127" s="13"/>
      <c r="B127" s="13"/>
      <c r="C127" s="13"/>
      <c r="D127" s="13"/>
      <c r="E127" s="13"/>
      <c r="F127" s="13"/>
      <c r="G127" s="13"/>
      <c r="H127" s="13"/>
      <c r="I127" s="13"/>
      <c r="J127" s="13"/>
      <c r="K127" s="13"/>
      <c r="L127" s="13"/>
      <c r="M127" s="13"/>
      <c r="N127" s="13"/>
      <c r="O127" s="13"/>
    </row>
    <row r="128" ht="15.75" customHeight="1">
      <c r="A128" s="13"/>
      <c r="B128" s="13"/>
      <c r="C128" s="13"/>
      <c r="D128" s="13"/>
      <c r="E128" s="13"/>
      <c r="F128" s="13"/>
      <c r="G128" s="13"/>
      <c r="H128" s="13"/>
      <c r="I128" s="13"/>
      <c r="J128" s="13"/>
      <c r="K128" s="13"/>
      <c r="L128" s="13"/>
      <c r="M128" s="13"/>
      <c r="N128" s="13"/>
      <c r="O128" s="13"/>
    </row>
    <row r="129" ht="15.75" customHeight="1">
      <c r="A129" s="13"/>
      <c r="B129" s="13"/>
      <c r="C129" s="13"/>
      <c r="D129" s="13"/>
      <c r="E129" s="13"/>
      <c r="F129" s="13"/>
      <c r="G129" s="13"/>
      <c r="H129" s="13"/>
      <c r="I129" s="13"/>
      <c r="J129" s="13"/>
      <c r="K129" s="13"/>
      <c r="L129" s="13"/>
      <c r="M129" s="13"/>
      <c r="N129" s="13"/>
      <c r="O129" s="13"/>
    </row>
    <row r="130" ht="15.75" customHeight="1">
      <c r="A130" s="13"/>
      <c r="B130" s="13"/>
      <c r="C130" s="13"/>
      <c r="D130" s="13"/>
      <c r="E130" s="13"/>
      <c r="F130" s="13"/>
      <c r="G130" s="13"/>
      <c r="H130" s="13"/>
      <c r="I130" s="13"/>
      <c r="J130" s="13"/>
      <c r="K130" s="13"/>
      <c r="L130" s="13"/>
      <c r="M130" s="13"/>
      <c r="N130" s="13"/>
      <c r="O130" s="13"/>
    </row>
    <row r="131" ht="15.75" customHeight="1">
      <c r="A131" s="13"/>
      <c r="B131" s="13"/>
      <c r="C131" s="13"/>
      <c r="D131" s="13"/>
      <c r="E131" s="13"/>
      <c r="F131" s="13"/>
      <c r="G131" s="13"/>
      <c r="H131" s="13"/>
      <c r="I131" s="13"/>
      <c r="J131" s="13"/>
      <c r="K131" s="13"/>
      <c r="L131" s="13"/>
      <c r="M131" s="13"/>
      <c r="N131" s="13"/>
      <c r="O131" s="13"/>
    </row>
    <row r="132" ht="15.75" customHeight="1">
      <c r="A132" s="13"/>
      <c r="B132" s="13"/>
      <c r="C132" s="13"/>
      <c r="D132" s="13"/>
      <c r="E132" s="13"/>
      <c r="F132" s="13"/>
      <c r="G132" s="13"/>
      <c r="H132" s="13"/>
      <c r="I132" s="13"/>
      <c r="J132" s="13"/>
      <c r="K132" s="13"/>
      <c r="L132" s="13"/>
      <c r="M132" s="13"/>
      <c r="N132" s="13"/>
      <c r="O132" s="13"/>
    </row>
    <row r="133" ht="15.75" customHeight="1">
      <c r="A133" s="13"/>
      <c r="B133" s="13"/>
      <c r="C133" s="13"/>
      <c r="D133" s="13"/>
      <c r="E133" s="13"/>
      <c r="F133" s="13"/>
      <c r="G133" s="13"/>
      <c r="H133" s="13"/>
      <c r="I133" s="13"/>
      <c r="J133" s="13"/>
      <c r="K133" s="13"/>
      <c r="L133" s="13"/>
      <c r="M133" s="13"/>
      <c r="N133" s="13"/>
      <c r="O133" s="13"/>
    </row>
    <row r="134" ht="15.75" customHeight="1">
      <c r="A134" s="13"/>
      <c r="B134" s="13"/>
      <c r="C134" s="13"/>
      <c r="D134" s="13"/>
      <c r="E134" s="13"/>
      <c r="F134" s="13"/>
      <c r="G134" s="13"/>
      <c r="H134" s="13"/>
      <c r="I134" s="13"/>
      <c r="J134" s="13"/>
      <c r="K134" s="13"/>
      <c r="L134" s="13"/>
      <c r="M134" s="13"/>
      <c r="N134" s="13"/>
      <c r="O134" s="13"/>
    </row>
    <row r="135" ht="15.75" customHeight="1">
      <c r="A135" s="13"/>
      <c r="B135" s="13"/>
      <c r="C135" s="13"/>
      <c r="D135" s="13"/>
      <c r="E135" s="13"/>
      <c r="F135" s="13"/>
      <c r="G135" s="13"/>
      <c r="H135" s="13"/>
      <c r="I135" s="13"/>
      <c r="J135" s="13"/>
      <c r="K135" s="13"/>
      <c r="L135" s="13"/>
      <c r="M135" s="13"/>
      <c r="N135" s="13"/>
      <c r="O135" s="13"/>
    </row>
    <row r="136" ht="15.75" customHeight="1">
      <c r="A136" s="13"/>
      <c r="B136" s="13"/>
      <c r="C136" s="13"/>
      <c r="D136" s="13"/>
      <c r="E136" s="13"/>
      <c r="F136" s="13"/>
      <c r="G136" s="13"/>
      <c r="H136" s="13"/>
      <c r="I136" s="13"/>
      <c r="J136" s="13"/>
      <c r="K136" s="13"/>
      <c r="L136" s="13"/>
      <c r="M136" s="13"/>
      <c r="N136" s="13"/>
      <c r="O136" s="13"/>
    </row>
    <row r="137" ht="15.75" customHeight="1">
      <c r="A137" s="13"/>
      <c r="B137" s="13"/>
      <c r="C137" s="13"/>
      <c r="D137" s="13"/>
      <c r="E137" s="13"/>
      <c r="F137" s="13"/>
      <c r="G137" s="13"/>
      <c r="H137" s="13"/>
      <c r="I137" s="13"/>
      <c r="J137" s="13"/>
      <c r="K137" s="13"/>
      <c r="L137" s="13"/>
      <c r="M137" s="13"/>
      <c r="N137" s="13"/>
      <c r="O137" s="13"/>
    </row>
    <row r="138" ht="15.75" customHeight="1">
      <c r="A138" s="13"/>
      <c r="B138" s="13"/>
      <c r="C138" s="13"/>
      <c r="D138" s="13"/>
      <c r="E138" s="13"/>
      <c r="F138" s="13"/>
      <c r="G138" s="13"/>
      <c r="H138" s="13"/>
      <c r="I138" s="13"/>
      <c r="J138" s="13"/>
      <c r="K138" s="13"/>
      <c r="L138" s="13"/>
      <c r="M138" s="13"/>
      <c r="N138" s="13"/>
      <c r="O138" s="13"/>
    </row>
    <row r="139" ht="15.75" customHeight="1">
      <c r="A139" s="13"/>
      <c r="B139" s="13"/>
      <c r="C139" s="13"/>
      <c r="D139" s="13"/>
      <c r="E139" s="13"/>
      <c r="F139" s="13"/>
      <c r="G139" s="13"/>
      <c r="H139" s="13"/>
      <c r="I139" s="13"/>
      <c r="J139" s="13"/>
      <c r="K139" s="13"/>
      <c r="L139" s="13"/>
      <c r="M139" s="13"/>
      <c r="N139" s="13"/>
      <c r="O139" s="13"/>
    </row>
    <row r="140" ht="15.75" customHeight="1">
      <c r="A140" s="13"/>
      <c r="B140" s="13"/>
      <c r="C140" s="13"/>
      <c r="D140" s="13"/>
      <c r="E140" s="13"/>
      <c r="F140" s="13"/>
      <c r="G140" s="13"/>
      <c r="H140" s="13"/>
      <c r="I140" s="13"/>
      <c r="J140" s="13"/>
      <c r="K140" s="13"/>
      <c r="L140" s="13"/>
      <c r="M140" s="13"/>
      <c r="N140" s="13"/>
      <c r="O140" s="13"/>
    </row>
    <row r="141" ht="15.75" customHeight="1">
      <c r="A141" s="13"/>
      <c r="B141" s="13"/>
      <c r="C141" s="13"/>
      <c r="D141" s="13"/>
      <c r="E141" s="13"/>
      <c r="F141" s="13"/>
      <c r="G141" s="13"/>
      <c r="H141" s="13"/>
      <c r="I141" s="13"/>
      <c r="J141" s="13"/>
      <c r="K141" s="13"/>
      <c r="L141" s="13"/>
      <c r="M141" s="13"/>
      <c r="N141" s="13"/>
      <c r="O141" s="13"/>
    </row>
    <row r="142" ht="15.75" customHeight="1">
      <c r="A142" s="13"/>
      <c r="B142" s="13"/>
      <c r="C142" s="13"/>
      <c r="D142" s="13"/>
      <c r="E142" s="13"/>
      <c r="F142" s="13"/>
      <c r="G142" s="13"/>
      <c r="H142" s="13"/>
      <c r="I142" s="13"/>
      <c r="J142" s="13"/>
      <c r="K142" s="13"/>
      <c r="L142" s="13"/>
      <c r="M142" s="13"/>
      <c r="N142" s="13"/>
      <c r="O142" s="13"/>
    </row>
    <row r="143" ht="15.75" customHeight="1">
      <c r="A143" s="13"/>
      <c r="B143" s="13"/>
      <c r="C143" s="13"/>
      <c r="D143" s="13"/>
      <c r="E143" s="13"/>
      <c r="F143" s="13"/>
      <c r="G143" s="13"/>
      <c r="H143" s="13"/>
      <c r="I143" s="13"/>
      <c r="J143" s="13"/>
      <c r="K143" s="13"/>
      <c r="L143" s="13"/>
      <c r="M143" s="13"/>
      <c r="N143" s="13"/>
      <c r="O143" s="13"/>
    </row>
    <row r="144" ht="15.75" customHeight="1">
      <c r="A144" s="13"/>
      <c r="B144" s="13"/>
      <c r="C144" s="13"/>
      <c r="D144" s="13"/>
      <c r="E144" s="13"/>
      <c r="F144" s="13"/>
      <c r="G144" s="13"/>
      <c r="H144" s="13"/>
      <c r="I144" s="13"/>
      <c r="J144" s="13"/>
      <c r="K144" s="13"/>
      <c r="L144" s="13"/>
      <c r="M144" s="13"/>
      <c r="N144" s="13"/>
      <c r="O144" s="13"/>
    </row>
    <row r="145" ht="15.75" customHeight="1">
      <c r="A145" s="13"/>
      <c r="B145" s="13"/>
      <c r="C145" s="13"/>
      <c r="D145" s="13"/>
      <c r="E145" s="13"/>
      <c r="F145" s="13"/>
      <c r="G145" s="13"/>
      <c r="H145" s="13"/>
      <c r="I145" s="13"/>
      <c r="J145" s="13"/>
      <c r="K145" s="13"/>
      <c r="L145" s="13"/>
      <c r="M145" s="13"/>
      <c r="N145" s="13"/>
      <c r="O145" s="13"/>
    </row>
    <row r="146" ht="15.75" customHeight="1">
      <c r="A146" s="13"/>
      <c r="B146" s="13"/>
      <c r="C146" s="13"/>
      <c r="D146" s="13"/>
      <c r="E146" s="13"/>
      <c r="F146" s="13"/>
      <c r="G146" s="13"/>
      <c r="H146" s="13"/>
      <c r="I146" s="13"/>
      <c r="J146" s="13"/>
      <c r="K146" s="13"/>
      <c r="L146" s="13"/>
      <c r="M146" s="13"/>
      <c r="N146" s="13"/>
      <c r="O146" s="13"/>
    </row>
    <row r="147" ht="15.75" customHeight="1">
      <c r="A147" s="13"/>
      <c r="B147" s="13"/>
      <c r="C147" s="13"/>
      <c r="D147" s="13"/>
      <c r="E147" s="13"/>
      <c r="F147" s="13"/>
      <c r="G147" s="13"/>
      <c r="H147" s="13"/>
      <c r="I147" s="13"/>
      <c r="J147" s="13"/>
      <c r="K147" s="13"/>
      <c r="L147" s="13"/>
      <c r="M147" s="13"/>
      <c r="N147" s="13"/>
      <c r="O147" s="13"/>
    </row>
    <row r="148" ht="15.75" customHeight="1">
      <c r="A148" s="13"/>
      <c r="B148" s="13"/>
      <c r="C148" s="13"/>
      <c r="D148" s="13"/>
      <c r="E148" s="13"/>
      <c r="F148" s="13"/>
      <c r="G148" s="13"/>
      <c r="H148" s="13"/>
      <c r="I148" s="13"/>
      <c r="J148" s="13"/>
      <c r="K148" s="13"/>
      <c r="L148" s="13"/>
      <c r="M148" s="13"/>
      <c r="N148" s="13"/>
      <c r="O148" s="13"/>
    </row>
    <row r="149" ht="15.75" customHeight="1">
      <c r="A149" s="13"/>
      <c r="B149" s="13"/>
      <c r="C149" s="13"/>
      <c r="D149" s="13"/>
      <c r="E149" s="13"/>
      <c r="F149" s="13"/>
      <c r="G149" s="13"/>
      <c r="H149" s="13"/>
      <c r="I149" s="13"/>
      <c r="J149" s="13"/>
      <c r="K149" s="13"/>
      <c r="L149" s="13"/>
      <c r="M149" s="13"/>
      <c r="N149" s="13"/>
      <c r="O149" s="13"/>
    </row>
    <row r="150" ht="15.75" customHeight="1">
      <c r="A150" s="13"/>
      <c r="B150" s="13"/>
      <c r="C150" s="13"/>
      <c r="D150" s="13"/>
      <c r="E150" s="13"/>
      <c r="F150" s="13"/>
      <c r="G150" s="13"/>
      <c r="H150" s="13"/>
      <c r="I150" s="13"/>
      <c r="J150" s="13"/>
      <c r="K150" s="13"/>
      <c r="L150" s="13"/>
      <c r="M150" s="13"/>
      <c r="N150" s="13"/>
      <c r="O150" s="13"/>
    </row>
    <row r="151" ht="15.75" customHeight="1">
      <c r="A151" s="13"/>
      <c r="B151" s="13"/>
      <c r="C151" s="13"/>
      <c r="D151" s="13"/>
      <c r="E151" s="13"/>
      <c r="F151" s="13"/>
      <c r="G151" s="13"/>
      <c r="H151" s="13"/>
      <c r="I151" s="13"/>
      <c r="J151" s="13"/>
      <c r="K151" s="13"/>
      <c r="L151" s="13"/>
      <c r="M151" s="13"/>
      <c r="N151" s="13"/>
      <c r="O151" s="13"/>
    </row>
    <row r="152" ht="15.75" customHeight="1">
      <c r="A152" s="13"/>
      <c r="B152" s="13"/>
      <c r="C152" s="13"/>
      <c r="D152" s="13"/>
      <c r="E152" s="13"/>
      <c r="F152" s="13"/>
      <c r="G152" s="13"/>
      <c r="H152" s="13"/>
      <c r="I152" s="13"/>
      <c r="J152" s="13"/>
      <c r="K152" s="13"/>
      <c r="L152" s="13"/>
      <c r="M152" s="13"/>
      <c r="N152" s="13"/>
      <c r="O152" s="13"/>
    </row>
    <row r="153" ht="15.75" customHeight="1">
      <c r="A153" s="13"/>
      <c r="B153" s="13"/>
      <c r="C153" s="13"/>
      <c r="D153" s="13"/>
      <c r="E153" s="13"/>
      <c r="F153" s="13"/>
      <c r="G153" s="13"/>
      <c r="H153" s="13"/>
      <c r="I153" s="13"/>
      <c r="J153" s="13"/>
      <c r="K153" s="13"/>
      <c r="L153" s="13"/>
      <c r="M153" s="13"/>
      <c r="N153" s="13"/>
      <c r="O153" s="13"/>
    </row>
    <row r="154" ht="15.75" customHeight="1">
      <c r="A154" s="13"/>
      <c r="B154" s="13"/>
      <c r="C154" s="13"/>
      <c r="D154" s="13"/>
      <c r="E154" s="13"/>
      <c r="F154" s="13"/>
      <c r="G154" s="13"/>
      <c r="H154" s="13"/>
      <c r="I154" s="13"/>
      <c r="J154" s="13"/>
      <c r="K154" s="13"/>
      <c r="L154" s="13"/>
      <c r="M154" s="13"/>
      <c r="N154" s="13"/>
      <c r="O154" s="13"/>
    </row>
    <row r="155" ht="15.75" customHeight="1">
      <c r="A155" s="13"/>
      <c r="B155" s="13"/>
      <c r="C155" s="13"/>
      <c r="D155" s="13"/>
      <c r="E155" s="13"/>
      <c r="F155" s="13"/>
      <c r="G155" s="13"/>
      <c r="H155" s="13"/>
      <c r="I155" s="13"/>
      <c r="J155" s="13"/>
      <c r="K155" s="13"/>
      <c r="L155" s="13"/>
      <c r="M155" s="13"/>
      <c r="N155" s="13"/>
      <c r="O155" s="13"/>
    </row>
    <row r="156" ht="15.75" customHeight="1">
      <c r="A156" s="13"/>
      <c r="B156" s="13"/>
      <c r="C156" s="13"/>
      <c r="D156" s="13"/>
      <c r="E156" s="13"/>
      <c r="F156" s="13"/>
      <c r="G156" s="13"/>
      <c r="H156" s="13"/>
      <c r="I156" s="13"/>
      <c r="J156" s="13"/>
      <c r="K156" s="13"/>
      <c r="L156" s="13"/>
      <c r="M156" s="13"/>
      <c r="N156" s="13"/>
      <c r="O156" s="13"/>
    </row>
    <row r="157" ht="15.75" customHeight="1">
      <c r="A157" s="13"/>
      <c r="B157" s="13"/>
      <c r="C157" s="13"/>
      <c r="D157" s="13"/>
      <c r="E157" s="13"/>
      <c r="F157" s="13"/>
      <c r="G157" s="13"/>
      <c r="H157" s="13"/>
      <c r="I157" s="13"/>
      <c r="J157" s="13"/>
      <c r="K157" s="13"/>
      <c r="L157" s="13"/>
      <c r="M157" s="13"/>
      <c r="N157" s="13"/>
      <c r="O157" s="13"/>
    </row>
    <row r="158" ht="15.75" customHeight="1">
      <c r="A158" s="13"/>
      <c r="B158" s="13"/>
      <c r="C158" s="13"/>
      <c r="D158" s="13"/>
      <c r="E158" s="13"/>
      <c r="F158" s="13"/>
      <c r="G158" s="13"/>
      <c r="H158" s="13"/>
      <c r="I158" s="13"/>
      <c r="J158" s="13"/>
      <c r="K158" s="13"/>
      <c r="L158" s="13"/>
      <c r="M158" s="13"/>
      <c r="N158" s="13"/>
      <c r="O158" s="13"/>
    </row>
    <row r="159" ht="15.75" customHeight="1">
      <c r="A159" s="13"/>
      <c r="B159" s="13"/>
      <c r="C159" s="13"/>
      <c r="D159" s="13"/>
      <c r="E159" s="13"/>
      <c r="F159" s="13"/>
      <c r="G159" s="13"/>
      <c r="H159" s="13"/>
      <c r="I159" s="13"/>
      <c r="J159" s="13"/>
      <c r="K159" s="13"/>
      <c r="L159" s="13"/>
      <c r="M159" s="13"/>
      <c r="N159" s="13"/>
      <c r="O159" s="13"/>
    </row>
    <row r="160" ht="15.75" customHeight="1">
      <c r="A160" s="13"/>
      <c r="B160" s="13"/>
      <c r="C160" s="13"/>
      <c r="D160" s="13"/>
      <c r="E160" s="13"/>
      <c r="F160" s="13"/>
      <c r="G160" s="13"/>
      <c r="H160" s="13"/>
      <c r="I160" s="13"/>
      <c r="J160" s="13"/>
      <c r="K160" s="13"/>
      <c r="L160" s="13"/>
      <c r="M160" s="13"/>
      <c r="N160" s="13"/>
      <c r="O160" s="13"/>
    </row>
    <row r="161" ht="15.75" customHeight="1">
      <c r="A161" s="13"/>
      <c r="B161" s="13"/>
      <c r="C161" s="13"/>
      <c r="D161" s="13"/>
      <c r="E161" s="13"/>
      <c r="F161" s="13"/>
      <c r="G161" s="13"/>
      <c r="H161" s="13"/>
      <c r="I161" s="13"/>
      <c r="J161" s="13"/>
      <c r="K161" s="13"/>
      <c r="L161" s="13"/>
      <c r="M161" s="13"/>
      <c r="N161" s="13"/>
      <c r="O161" s="13"/>
    </row>
    <row r="162" ht="15.75" customHeight="1">
      <c r="A162" s="13"/>
      <c r="B162" s="13"/>
      <c r="C162" s="13"/>
      <c r="D162" s="13"/>
      <c r="E162" s="13"/>
      <c r="F162" s="13"/>
      <c r="G162" s="13"/>
      <c r="H162" s="13"/>
      <c r="I162" s="13"/>
      <c r="J162" s="13"/>
      <c r="K162" s="13"/>
      <c r="L162" s="13"/>
      <c r="M162" s="13"/>
      <c r="N162" s="13"/>
      <c r="O162" s="13"/>
    </row>
    <row r="163" ht="15.75" customHeight="1">
      <c r="A163" s="13"/>
      <c r="B163" s="13"/>
      <c r="C163" s="13"/>
      <c r="D163" s="13"/>
      <c r="E163" s="13"/>
      <c r="F163" s="13"/>
      <c r="G163" s="13"/>
      <c r="H163" s="13"/>
      <c r="I163" s="13"/>
      <c r="J163" s="13"/>
      <c r="K163" s="13"/>
      <c r="L163" s="13"/>
      <c r="M163" s="13"/>
      <c r="N163" s="13"/>
      <c r="O163" s="13"/>
    </row>
    <row r="164" ht="15.75" customHeight="1">
      <c r="A164" s="13"/>
      <c r="B164" s="13"/>
      <c r="C164" s="13"/>
      <c r="D164" s="13"/>
      <c r="E164" s="13"/>
      <c r="F164" s="13"/>
      <c r="G164" s="13"/>
      <c r="H164" s="13"/>
      <c r="I164" s="13"/>
      <c r="J164" s="13"/>
      <c r="K164" s="13"/>
      <c r="L164" s="13"/>
      <c r="M164" s="13"/>
      <c r="N164" s="13"/>
      <c r="O164" s="13"/>
    </row>
    <row r="165" ht="15.75" customHeight="1">
      <c r="A165" s="13"/>
      <c r="B165" s="13"/>
      <c r="C165" s="13"/>
      <c r="D165" s="13"/>
      <c r="E165" s="13"/>
      <c r="F165" s="13"/>
      <c r="G165" s="13"/>
      <c r="H165" s="13"/>
      <c r="I165" s="13"/>
      <c r="J165" s="13"/>
      <c r="K165" s="13"/>
      <c r="L165" s="13"/>
      <c r="M165" s="13"/>
      <c r="N165" s="13"/>
      <c r="O165" s="13"/>
    </row>
    <row r="166" ht="15.75" customHeight="1">
      <c r="A166" s="13"/>
      <c r="B166" s="13"/>
      <c r="C166" s="13"/>
      <c r="D166" s="13"/>
      <c r="E166" s="13"/>
      <c r="F166" s="13"/>
      <c r="G166" s="13"/>
      <c r="H166" s="13"/>
      <c r="I166" s="13"/>
      <c r="J166" s="13"/>
      <c r="K166" s="13"/>
      <c r="L166" s="13"/>
      <c r="M166" s="13"/>
      <c r="N166" s="13"/>
      <c r="O166" s="13"/>
    </row>
    <row r="167" ht="15.75" customHeight="1">
      <c r="A167" s="13"/>
      <c r="B167" s="13"/>
      <c r="C167" s="13"/>
      <c r="D167" s="13"/>
      <c r="E167" s="13"/>
      <c r="F167" s="13"/>
      <c r="G167" s="13"/>
      <c r="H167" s="13"/>
      <c r="I167" s="13"/>
      <c r="J167" s="13"/>
      <c r="K167" s="13"/>
      <c r="L167" s="13"/>
      <c r="M167" s="13"/>
      <c r="N167" s="13"/>
      <c r="O167" s="13"/>
    </row>
    <row r="168" ht="15.75" customHeight="1">
      <c r="A168" s="13"/>
      <c r="B168" s="13"/>
      <c r="C168" s="13"/>
      <c r="D168" s="13"/>
      <c r="E168" s="13"/>
      <c r="F168" s="13"/>
      <c r="G168" s="13"/>
      <c r="H168" s="13"/>
      <c r="I168" s="13"/>
      <c r="J168" s="13"/>
      <c r="K168" s="13"/>
      <c r="L168" s="13"/>
      <c r="M168" s="13"/>
      <c r="N168" s="13"/>
      <c r="O168" s="13"/>
    </row>
    <row r="169" ht="15.75" customHeight="1">
      <c r="A169" s="13"/>
      <c r="B169" s="13"/>
      <c r="C169" s="13"/>
      <c r="D169" s="13"/>
      <c r="E169" s="13"/>
      <c r="F169" s="13"/>
      <c r="G169" s="13"/>
      <c r="H169" s="13"/>
      <c r="I169" s="13"/>
      <c r="J169" s="13"/>
      <c r="K169" s="13"/>
      <c r="L169" s="13"/>
      <c r="M169" s="13"/>
      <c r="N169" s="13"/>
      <c r="O169" s="13"/>
    </row>
    <row r="170" ht="15.75" customHeight="1">
      <c r="A170" s="13"/>
      <c r="B170" s="13"/>
      <c r="C170" s="13"/>
      <c r="D170" s="13"/>
      <c r="E170" s="13"/>
      <c r="F170" s="13"/>
      <c r="G170" s="13"/>
      <c r="H170" s="13"/>
      <c r="I170" s="13"/>
      <c r="J170" s="13"/>
      <c r="K170" s="13"/>
      <c r="L170" s="13"/>
      <c r="M170" s="13"/>
      <c r="N170" s="13"/>
      <c r="O170" s="13"/>
    </row>
    <row r="171" ht="15.75" customHeight="1">
      <c r="A171" s="13"/>
      <c r="B171" s="13"/>
      <c r="C171" s="13"/>
      <c r="D171" s="13"/>
      <c r="E171" s="13"/>
      <c r="F171" s="13"/>
      <c r="G171" s="13"/>
      <c r="H171" s="13"/>
      <c r="I171" s="13"/>
      <c r="J171" s="13"/>
      <c r="K171" s="13"/>
      <c r="L171" s="13"/>
      <c r="M171" s="13"/>
      <c r="N171" s="13"/>
      <c r="O171" s="13"/>
    </row>
    <row r="172" ht="15.75" customHeight="1">
      <c r="A172" s="13"/>
      <c r="B172" s="13"/>
      <c r="C172" s="13"/>
      <c r="D172" s="13"/>
      <c r="E172" s="13"/>
      <c r="F172" s="13"/>
      <c r="G172" s="13"/>
      <c r="H172" s="13"/>
      <c r="I172" s="13"/>
      <c r="J172" s="13"/>
      <c r="K172" s="13"/>
      <c r="L172" s="13"/>
      <c r="M172" s="13"/>
      <c r="N172" s="13"/>
      <c r="O172" s="13"/>
    </row>
    <row r="173" ht="15.75" customHeight="1">
      <c r="A173" s="13"/>
      <c r="B173" s="13"/>
      <c r="C173" s="13"/>
      <c r="D173" s="13"/>
      <c r="E173" s="13"/>
      <c r="F173" s="13"/>
      <c r="G173" s="13"/>
      <c r="H173" s="13"/>
      <c r="I173" s="13"/>
      <c r="J173" s="13"/>
      <c r="K173" s="13"/>
      <c r="L173" s="13"/>
      <c r="M173" s="13"/>
      <c r="N173" s="13"/>
      <c r="O173" s="13"/>
    </row>
    <row r="174" ht="15.75" customHeight="1">
      <c r="A174" s="13"/>
      <c r="B174" s="13"/>
      <c r="C174" s="13"/>
      <c r="D174" s="13"/>
      <c r="E174" s="13"/>
      <c r="F174" s="13"/>
      <c r="G174" s="13"/>
      <c r="H174" s="13"/>
      <c r="I174" s="13"/>
      <c r="J174" s="13"/>
      <c r="K174" s="13"/>
      <c r="L174" s="13"/>
      <c r="M174" s="13"/>
      <c r="N174" s="13"/>
      <c r="O174" s="13"/>
    </row>
    <row r="175" ht="15.75" customHeight="1">
      <c r="A175" s="13"/>
      <c r="B175" s="13"/>
      <c r="C175" s="13"/>
      <c r="D175" s="13"/>
      <c r="E175" s="13"/>
      <c r="F175" s="13"/>
      <c r="G175" s="13"/>
      <c r="H175" s="13"/>
      <c r="I175" s="13"/>
      <c r="J175" s="13"/>
      <c r="K175" s="13"/>
      <c r="L175" s="13"/>
      <c r="M175" s="13"/>
      <c r="N175" s="13"/>
      <c r="O175" s="13"/>
    </row>
    <row r="176" ht="15.75" customHeight="1">
      <c r="A176" s="13"/>
      <c r="B176" s="13"/>
      <c r="C176" s="13"/>
      <c r="D176" s="13"/>
      <c r="E176" s="13"/>
      <c r="F176" s="13"/>
      <c r="G176" s="13"/>
      <c r="H176" s="13"/>
      <c r="I176" s="13"/>
      <c r="J176" s="13"/>
      <c r="K176" s="13"/>
      <c r="L176" s="13"/>
      <c r="M176" s="13"/>
      <c r="N176" s="13"/>
      <c r="O176" s="13"/>
    </row>
    <row r="177" ht="15.75" customHeight="1">
      <c r="A177" s="13"/>
      <c r="B177" s="13"/>
      <c r="C177" s="13"/>
      <c r="D177" s="13"/>
      <c r="E177" s="13"/>
      <c r="F177" s="13"/>
      <c r="G177" s="13"/>
      <c r="H177" s="13"/>
      <c r="I177" s="13"/>
      <c r="J177" s="13"/>
      <c r="K177" s="13"/>
      <c r="L177" s="13"/>
      <c r="M177" s="13"/>
      <c r="N177" s="13"/>
      <c r="O177" s="13"/>
    </row>
    <row r="178" ht="15.75" customHeight="1">
      <c r="A178" s="13"/>
      <c r="B178" s="13"/>
      <c r="C178" s="13"/>
      <c r="D178" s="13"/>
      <c r="E178" s="13"/>
      <c r="F178" s="13"/>
      <c r="G178" s="13"/>
      <c r="H178" s="13"/>
      <c r="I178" s="13"/>
      <c r="J178" s="13"/>
      <c r="K178" s="13"/>
      <c r="L178" s="13"/>
      <c r="M178" s="13"/>
      <c r="N178" s="13"/>
      <c r="O178" s="13"/>
    </row>
    <row r="179" ht="15.75" customHeight="1">
      <c r="A179" s="13"/>
      <c r="B179" s="13"/>
      <c r="C179" s="13"/>
      <c r="D179" s="13"/>
      <c r="E179" s="13"/>
      <c r="F179" s="13"/>
      <c r="G179" s="13"/>
      <c r="H179" s="13"/>
      <c r="I179" s="13"/>
      <c r="J179" s="13"/>
      <c r="K179" s="13"/>
      <c r="L179" s="13"/>
      <c r="M179" s="13"/>
      <c r="N179" s="13"/>
      <c r="O179" s="13"/>
    </row>
    <row r="180" ht="15.75" customHeight="1">
      <c r="A180" s="13"/>
      <c r="B180" s="13"/>
      <c r="C180" s="13"/>
      <c r="D180" s="13"/>
      <c r="E180" s="13"/>
      <c r="F180" s="13"/>
      <c r="G180" s="13"/>
      <c r="H180" s="13"/>
      <c r="I180" s="13"/>
      <c r="J180" s="13"/>
      <c r="K180" s="13"/>
      <c r="L180" s="13"/>
      <c r="M180" s="13"/>
      <c r="N180" s="13"/>
      <c r="O180" s="13"/>
    </row>
    <row r="181" ht="15.75" customHeight="1">
      <c r="A181" s="13"/>
      <c r="B181" s="13"/>
      <c r="C181" s="13"/>
      <c r="D181" s="13"/>
      <c r="E181" s="13"/>
      <c r="F181" s="13"/>
      <c r="G181" s="13"/>
      <c r="H181" s="13"/>
      <c r="I181" s="13"/>
      <c r="J181" s="13"/>
      <c r="K181" s="13"/>
      <c r="L181" s="13"/>
      <c r="M181" s="13"/>
      <c r="N181" s="13"/>
      <c r="O181" s="13"/>
    </row>
    <row r="182" ht="15.75" customHeight="1">
      <c r="A182" s="13"/>
      <c r="B182" s="13"/>
      <c r="C182" s="13"/>
      <c r="D182" s="13"/>
      <c r="E182" s="13"/>
      <c r="F182" s="13"/>
      <c r="G182" s="13"/>
      <c r="H182" s="13"/>
      <c r="I182" s="13"/>
      <c r="J182" s="13"/>
      <c r="K182" s="13"/>
      <c r="L182" s="13"/>
      <c r="M182" s="13"/>
      <c r="N182" s="13"/>
      <c r="O182" s="13"/>
    </row>
    <row r="183" ht="15.75" customHeight="1">
      <c r="A183" s="13"/>
      <c r="B183" s="13"/>
      <c r="C183" s="13"/>
      <c r="D183" s="13"/>
      <c r="E183" s="13"/>
      <c r="F183" s="13"/>
      <c r="G183" s="13"/>
      <c r="H183" s="13"/>
      <c r="I183" s="13"/>
      <c r="J183" s="13"/>
      <c r="K183" s="13"/>
      <c r="L183" s="13"/>
      <c r="M183" s="13"/>
      <c r="N183" s="13"/>
      <c r="O183" s="13"/>
    </row>
    <row r="184" ht="15.75" customHeight="1">
      <c r="A184" s="13"/>
      <c r="B184" s="13"/>
      <c r="C184" s="13"/>
      <c r="D184" s="13"/>
      <c r="E184" s="13"/>
      <c r="F184" s="13"/>
      <c r="G184" s="13"/>
      <c r="H184" s="13"/>
      <c r="I184" s="13"/>
      <c r="J184" s="13"/>
      <c r="K184" s="13"/>
      <c r="L184" s="13"/>
      <c r="M184" s="13"/>
      <c r="N184" s="13"/>
      <c r="O184" s="13"/>
    </row>
    <row r="185" ht="15.75" customHeight="1">
      <c r="A185" s="13"/>
      <c r="B185" s="13"/>
      <c r="C185" s="13"/>
      <c r="D185" s="13"/>
      <c r="E185" s="13"/>
      <c r="F185" s="13"/>
      <c r="G185" s="13"/>
      <c r="H185" s="13"/>
      <c r="I185" s="13"/>
      <c r="J185" s="13"/>
      <c r="K185" s="13"/>
      <c r="L185" s="13"/>
      <c r="M185" s="13"/>
      <c r="N185" s="13"/>
      <c r="O185" s="13"/>
    </row>
    <row r="186" ht="15.75" customHeight="1">
      <c r="A186" s="13"/>
      <c r="B186" s="13"/>
      <c r="C186" s="13"/>
      <c r="D186" s="13"/>
      <c r="E186" s="13"/>
      <c r="F186" s="13"/>
      <c r="G186" s="13"/>
      <c r="H186" s="13"/>
      <c r="I186" s="13"/>
      <c r="J186" s="13"/>
      <c r="K186" s="13"/>
      <c r="L186" s="13"/>
      <c r="M186" s="13"/>
      <c r="N186" s="13"/>
      <c r="O186" s="13"/>
    </row>
    <row r="187" ht="15.75" customHeight="1">
      <c r="A187" s="13"/>
      <c r="B187" s="13"/>
      <c r="C187" s="13"/>
      <c r="D187" s="13"/>
      <c r="E187" s="13"/>
      <c r="F187" s="13"/>
      <c r="G187" s="13"/>
      <c r="H187" s="13"/>
      <c r="I187" s="13"/>
      <c r="J187" s="13"/>
      <c r="K187" s="13"/>
      <c r="L187" s="13"/>
      <c r="M187" s="13"/>
      <c r="N187" s="13"/>
      <c r="O187" s="13"/>
    </row>
    <row r="188" ht="15.75" customHeight="1">
      <c r="A188" s="13"/>
      <c r="B188" s="13"/>
      <c r="C188" s="13"/>
      <c r="D188" s="13"/>
      <c r="E188" s="13"/>
      <c r="F188" s="13"/>
      <c r="G188" s="13"/>
      <c r="H188" s="13"/>
      <c r="I188" s="13"/>
      <c r="J188" s="13"/>
      <c r="K188" s="13"/>
      <c r="L188" s="13"/>
      <c r="M188" s="13"/>
      <c r="N188" s="13"/>
      <c r="O188" s="13"/>
    </row>
    <row r="189" ht="15.75" customHeight="1">
      <c r="A189" s="13"/>
      <c r="B189" s="13"/>
      <c r="C189" s="13"/>
      <c r="D189" s="13"/>
      <c r="E189" s="13"/>
      <c r="F189" s="13"/>
      <c r="G189" s="13"/>
      <c r="H189" s="13"/>
      <c r="I189" s="13"/>
      <c r="J189" s="13"/>
      <c r="K189" s="13"/>
      <c r="L189" s="13"/>
      <c r="M189" s="13"/>
      <c r="N189" s="13"/>
      <c r="O189" s="13"/>
    </row>
    <row r="190" ht="15.75" customHeight="1">
      <c r="A190" s="13"/>
      <c r="B190" s="13"/>
      <c r="C190" s="13"/>
      <c r="D190" s="13"/>
      <c r="E190" s="13"/>
      <c r="F190" s="13"/>
      <c r="G190" s="13"/>
      <c r="H190" s="13"/>
      <c r="I190" s="13"/>
      <c r="J190" s="13"/>
      <c r="K190" s="13"/>
      <c r="L190" s="13"/>
      <c r="M190" s="13"/>
      <c r="N190" s="13"/>
      <c r="O190" s="13"/>
    </row>
    <row r="191" ht="15.75" customHeight="1">
      <c r="A191" s="13"/>
      <c r="B191" s="13"/>
      <c r="C191" s="13"/>
      <c r="D191" s="13"/>
      <c r="E191" s="13"/>
      <c r="F191" s="13"/>
      <c r="G191" s="13"/>
      <c r="H191" s="13"/>
      <c r="I191" s="13"/>
      <c r="J191" s="13"/>
      <c r="K191" s="13"/>
      <c r="L191" s="13"/>
      <c r="M191" s="13"/>
      <c r="N191" s="13"/>
      <c r="O191" s="13"/>
    </row>
    <row r="192" ht="15.75" customHeight="1">
      <c r="A192" s="13"/>
      <c r="B192" s="13"/>
      <c r="C192" s="13"/>
      <c r="D192" s="13"/>
      <c r="E192" s="13"/>
      <c r="F192" s="13"/>
      <c r="G192" s="13"/>
      <c r="H192" s="13"/>
      <c r="I192" s="13"/>
      <c r="J192" s="13"/>
      <c r="K192" s="13"/>
      <c r="L192" s="13"/>
      <c r="M192" s="13"/>
      <c r="N192" s="13"/>
      <c r="O192" s="13"/>
    </row>
    <row r="193" ht="15.75" customHeight="1">
      <c r="A193" s="13"/>
      <c r="B193" s="13"/>
      <c r="C193" s="13"/>
      <c r="D193" s="13"/>
      <c r="E193" s="13"/>
      <c r="F193" s="13"/>
      <c r="G193" s="13"/>
      <c r="H193" s="13"/>
      <c r="I193" s="13"/>
      <c r="J193" s="13"/>
      <c r="K193" s="13"/>
      <c r="L193" s="13"/>
      <c r="M193" s="13"/>
      <c r="N193" s="13"/>
      <c r="O193" s="13"/>
    </row>
    <row r="194" ht="15.75" customHeight="1">
      <c r="A194" s="13"/>
      <c r="B194" s="13"/>
      <c r="C194" s="13"/>
      <c r="D194" s="13"/>
      <c r="E194" s="13"/>
      <c r="F194" s="13"/>
      <c r="G194" s="13"/>
      <c r="H194" s="13"/>
      <c r="I194" s="13"/>
      <c r="J194" s="13"/>
      <c r="K194" s="13"/>
      <c r="L194" s="13"/>
      <c r="M194" s="13"/>
      <c r="N194" s="13"/>
      <c r="O194" s="13"/>
    </row>
    <row r="195" ht="15.75" customHeight="1">
      <c r="A195" s="13"/>
      <c r="B195" s="13"/>
      <c r="C195" s="13"/>
      <c r="D195" s="13"/>
      <c r="E195" s="13"/>
      <c r="F195" s="13"/>
      <c r="G195" s="13"/>
      <c r="H195" s="13"/>
      <c r="I195" s="13"/>
      <c r="J195" s="13"/>
      <c r="K195" s="13"/>
      <c r="L195" s="13"/>
      <c r="M195" s="13"/>
      <c r="N195" s="13"/>
      <c r="O195" s="13"/>
    </row>
    <row r="196" ht="15.75" customHeight="1">
      <c r="A196" s="13"/>
      <c r="B196" s="13"/>
      <c r="C196" s="13"/>
      <c r="D196" s="13"/>
      <c r="E196" s="13"/>
      <c r="F196" s="13"/>
      <c r="G196" s="13"/>
      <c r="H196" s="13"/>
      <c r="I196" s="13"/>
      <c r="J196" s="13"/>
      <c r="K196" s="13"/>
      <c r="L196" s="13"/>
      <c r="M196" s="13"/>
      <c r="N196" s="13"/>
      <c r="O196" s="13"/>
    </row>
    <row r="197" ht="15.75" customHeight="1">
      <c r="A197" s="13"/>
      <c r="B197" s="13"/>
      <c r="C197" s="13"/>
      <c r="D197" s="13"/>
      <c r="E197" s="13"/>
      <c r="F197" s="13"/>
      <c r="G197" s="13"/>
      <c r="H197" s="13"/>
      <c r="I197" s="13"/>
      <c r="J197" s="13"/>
      <c r="K197" s="13"/>
      <c r="L197" s="13"/>
      <c r="M197" s="13"/>
      <c r="N197" s="13"/>
      <c r="O197" s="13"/>
    </row>
    <row r="198" ht="15.75" customHeight="1">
      <c r="A198" s="13"/>
      <c r="B198" s="13"/>
      <c r="C198" s="13"/>
      <c r="D198" s="13"/>
      <c r="E198" s="13"/>
      <c r="F198" s="13"/>
      <c r="G198" s="13"/>
      <c r="H198" s="13"/>
      <c r="I198" s="13"/>
      <c r="J198" s="13"/>
      <c r="K198" s="13"/>
      <c r="L198" s="13"/>
      <c r="M198" s="13"/>
      <c r="N198" s="13"/>
      <c r="O198" s="13"/>
    </row>
    <row r="199" ht="15.75" customHeight="1">
      <c r="A199" s="13"/>
      <c r="B199" s="13"/>
      <c r="C199" s="13"/>
      <c r="D199" s="13"/>
      <c r="E199" s="13"/>
      <c r="F199" s="13"/>
      <c r="G199" s="13"/>
      <c r="H199" s="13"/>
      <c r="I199" s="13"/>
      <c r="J199" s="13"/>
      <c r="K199" s="13"/>
      <c r="L199" s="13"/>
      <c r="M199" s="13"/>
      <c r="N199" s="13"/>
      <c r="O199" s="13"/>
    </row>
    <row r="200" ht="15.75" customHeight="1">
      <c r="A200" s="13"/>
      <c r="B200" s="13"/>
      <c r="C200" s="13"/>
      <c r="D200" s="13"/>
      <c r="E200" s="13"/>
      <c r="F200" s="13"/>
      <c r="G200" s="13"/>
      <c r="H200" s="13"/>
      <c r="I200" s="13"/>
      <c r="J200" s="13"/>
      <c r="K200" s="13"/>
      <c r="L200" s="13"/>
      <c r="M200" s="13"/>
      <c r="N200" s="13"/>
      <c r="O200" s="13"/>
    </row>
    <row r="201" ht="15.75" customHeight="1">
      <c r="A201" s="13"/>
      <c r="B201" s="13"/>
      <c r="C201" s="13"/>
      <c r="D201" s="13"/>
      <c r="E201" s="13"/>
      <c r="F201" s="13"/>
      <c r="G201" s="13"/>
      <c r="H201" s="13"/>
      <c r="I201" s="13"/>
      <c r="J201" s="13"/>
      <c r="K201" s="13"/>
      <c r="L201" s="13"/>
      <c r="M201" s="13"/>
      <c r="N201" s="13"/>
      <c r="O201" s="13"/>
    </row>
    <row r="202" ht="15.75" customHeight="1">
      <c r="A202" s="13"/>
      <c r="B202" s="13"/>
      <c r="C202" s="13"/>
      <c r="D202" s="13"/>
      <c r="E202" s="13"/>
      <c r="F202" s="13"/>
      <c r="G202" s="13"/>
      <c r="H202" s="13"/>
      <c r="I202" s="13"/>
      <c r="J202" s="13"/>
      <c r="K202" s="13"/>
      <c r="L202" s="13"/>
      <c r="M202" s="13"/>
      <c r="N202" s="13"/>
      <c r="O202" s="13"/>
    </row>
    <row r="203" ht="15.75" customHeight="1">
      <c r="A203" s="13"/>
      <c r="B203" s="13"/>
      <c r="C203" s="13"/>
      <c r="D203" s="13"/>
      <c r="E203" s="13"/>
      <c r="F203" s="13"/>
      <c r="G203" s="13"/>
      <c r="H203" s="13"/>
      <c r="I203" s="13"/>
      <c r="J203" s="13"/>
      <c r="K203" s="13"/>
      <c r="L203" s="13"/>
      <c r="M203" s="13"/>
      <c r="N203" s="13"/>
      <c r="O203" s="13"/>
    </row>
    <row r="204" ht="15.75" customHeight="1">
      <c r="A204" s="13"/>
      <c r="B204" s="13"/>
      <c r="C204" s="13"/>
      <c r="D204" s="13"/>
      <c r="E204" s="13"/>
      <c r="F204" s="13"/>
      <c r="G204" s="13"/>
      <c r="H204" s="13"/>
      <c r="I204" s="13"/>
      <c r="J204" s="13"/>
      <c r="K204" s="13"/>
      <c r="L204" s="13"/>
      <c r="M204" s="13"/>
      <c r="N204" s="13"/>
      <c r="O204" s="13"/>
    </row>
    <row r="205" ht="15.75" customHeight="1">
      <c r="A205" s="13"/>
      <c r="B205" s="13"/>
      <c r="C205" s="13"/>
      <c r="D205" s="13"/>
      <c r="E205" s="13"/>
      <c r="F205" s="13"/>
      <c r="G205" s="13"/>
      <c r="H205" s="13"/>
      <c r="I205" s="13"/>
      <c r="J205" s="13"/>
      <c r="K205" s="13"/>
      <c r="L205" s="13"/>
      <c r="M205" s="13"/>
      <c r="N205" s="13"/>
      <c r="O205" s="13"/>
    </row>
    <row r="206" ht="15.75" customHeight="1">
      <c r="A206" s="13"/>
      <c r="B206" s="13"/>
      <c r="C206" s="13"/>
      <c r="D206" s="13"/>
      <c r="E206" s="13"/>
      <c r="F206" s="13"/>
      <c r="G206" s="13"/>
      <c r="H206" s="13"/>
      <c r="I206" s="13"/>
      <c r="J206" s="13"/>
      <c r="K206" s="13"/>
      <c r="L206" s="13"/>
      <c r="M206" s="13"/>
      <c r="N206" s="13"/>
      <c r="O206" s="13"/>
    </row>
    <row r="207" ht="15.75" customHeight="1">
      <c r="A207" s="13"/>
      <c r="B207" s="13"/>
      <c r="C207" s="13"/>
      <c r="D207" s="13"/>
      <c r="E207" s="13"/>
      <c r="F207" s="13"/>
      <c r="G207" s="13"/>
      <c r="H207" s="13"/>
      <c r="I207" s="13"/>
      <c r="J207" s="13"/>
      <c r="K207" s="13"/>
      <c r="L207" s="13"/>
      <c r="M207" s="13"/>
      <c r="N207" s="13"/>
      <c r="O207" s="13"/>
    </row>
    <row r="208" ht="15.75" customHeight="1">
      <c r="A208" s="13"/>
      <c r="B208" s="13"/>
      <c r="C208" s="13"/>
      <c r="D208" s="13"/>
      <c r="E208" s="13"/>
      <c r="F208" s="13"/>
      <c r="G208" s="13"/>
      <c r="H208" s="13"/>
      <c r="I208" s="13"/>
      <c r="J208" s="13"/>
      <c r="K208" s="13"/>
      <c r="L208" s="13"/>
      <c r="M208" s="13"/>
      <c r="N208" s="13"/>
      <c r="O208" s="13"/>
    </row>
    <row r="209" ht="15.75" customHeight="1">
      <c r="A209" s="13"/>
      <c r="B209" s="13"/>
      <c r="C209" s="13"/>
      <c r="D209" s="13"/>
      <c r="E209" s="13"/>
      <c r="F209" s="13"/>
      <c r="G209" s="13"/>
      <c r="H209" s="13"/>
      <c r="I209" s="13"/>
      <c r="J209" s="13"/>
      <c r="K209" s="13"/>
      <c r="L209" s="13"/>
      <c r="M209" s="13"/>
      <c r="N209" s="13"/>
      <c r="O209" s="13"/>
    </row>
    <row r="210" ht="15.75" customHeight="1">
      <c r="A210" s="13"/>
      <c r="B210" s="13"/>
      <c r="C210" s="13"/>
      <c r="D210" s="13"/>
      <c r="E210" s="13"/>
      <c r="F210" s="13"/>
      <c r="G210" s="13"/>
      <c r="H210" s="13"/>
      <c r="I210" s="13"/>
      <c r="J210" s="13"/>
      <c r="K210" s="13"/>
      <c r="L210" s="13"/>
      <c r="M210" s="13"/>
      <c r="N210" s="13"/>
      <c r="O210" s="13"/>
    </row>
    <row r="211" ht="15.75" customHeight="1">
      <c r="A211" s="13"/>
      <c r="B211" s="13"/>
      <c r="C211" s="13"/>
      <c r="D211" s="13"/>
      <c r="E211" s="13"/>
      <c r="F211" s="13"/>
      <c r="G211" s="13"/>
      <c r="H211" s="13"/>
      <c r="I211" s="13"/>
      <c r="J211" s="13"/>
      <c r="K211" s="13"/>
      <c r="L211" s="13"/>
      <c r="M211" s="13"/>
      <c r="N211" s="13"/>
      <c r="O211" s="13"/>
    </row>
    <row r="212" ht="15.75" customHeight="1">
      <c r="A212" s="13"/>
      <c r="B212" s="13"/>
      <c r="C212" s="13"/>
      <c r="D212" s="13"/>
      <c r="E212" s="13"/>
      <c r="F212" s="13"/>
      <c r="G212" s="13"/>
      <c r="H212" s="13"/>
      <c r="I212" s="13"/>
      <c r="J212" s="13"/>
      <c r="K212" s="13"/>
      <c r="L212" s="13"/>
      <c r="M212" s="13"/>
      <c r="N212" s="13"/>
      <c r="O212" s="13"/>
    </row>
    <row r="213" ht="15.75" customHeight="1">
      <c r="A213" s="13"/>
      <c r="B213" s="13"/>
      <c r="C213" s="13"/>
      <c r="D213" s="13"/>
      <c r="E213" s="13"/>
      <c r="F213" s="13"/>
      <c r="G213" s="13"/>
      <c r="H213" s="13"/>
      <c r="I213" s="13"/>
      <c r="J213" s="13"/>
      <c r="K213" s="13"/>
      <c r="L213" s="13"/>
      <c r="M213" s="13"/>
      <c r="N213" s="13"/>
      <c r="O213" s="13"/>
    </row>
    <row r="214" ht="15.75" customHeight="1">
      <c r="A214" s="13"/>
      <c r="B214" s="13"/>
      <c r="C214" s="13"/>
      <c r="D214" s="13"/>
      <c r="E214" s="13"/>
      <c r="F214" s="13"/>
      <c r="G214" s="13"/>
      <c r="H214" s="13"/>
      <c r="I214" s="13"/>
      <c r="J214" s="13"/>
      <c r="K214" s="13"/>
      <c r="L214" s="13"/>
      <c r="M214" s="13"/>
      <c r="N214" s="13"/>
      <c r="O214" s="13"/>
    </row>
    <row r="215" ht="15.75" customHeight="1">
      <c r="A215" s="13"/>
      <c r="B215" s="13"/>
      <c r="C215" s="13"/>
      <c r="D215" s="13"/>
      <c r="E215" s="13"/>
      <c r="F215" s="13"/>
      <c r="G215" s="13"/>
      <c r="H215" s="13"/>
      <c r="I215" s="13"/>
      <c r="J215" s="13"/>
      <c r="K215" s="13"/>
      <c r="L215" s="13"/>
      <c r="M215" s="13"/>
      <c r="N215" s="13"/>
      <c r="O215" s="13"/>
    </row>
    <row r="216" ht="15.75" customHeight="1">
      <c r="A216" s="13"/>
      <c r="B216" s="13"/>
      <c r="C216" s="13"/>
      <c r="D216" s="13"/>
      <c r="E216" s="13"/>
      <c r="F216" s="13"/>
      <c r="G216" s="13"/>
      <c r="H216" s="13"/>
      <c r="I216" s="13"/>
      <c r="J216" s="13"/>
      <c r="K216" s="13"/>
      <c r="L216" s="13"/>
      <c r="M216" s="13"/>
      <c r="N216" s="13"/>
      <c r="O216" s="13"/>
    </row>
    <row r="217" ht="15.75" customHeight="1">
      <c r="A217" s="13"/>
      <c r="B217" s="13"/>
      <c r="C217" s="13"/>
      <c r="D217" s="13"/>
      <c r="E217" s="13"/>
      <c r="F217" s="13"/>
      <c r="G217" s="13"/>
      <c r="H217" s="13"/>
      <c r="I217" s="13"/>
      <c r="J217" s="13"/>
      <c r="K217" s="13"/>
      <c r="L217" s="13"/>
      <c r="M217" s="13"/>
      <c r="N217" s="13"/>
      <c r="O217" s="13"/>
    </row>
    <row r="218" ht="15.75" customHeight="1">
      <c r="A218" s="13"/>
      <c r="B218" s="13"/>
      <c r="C218" s="13"/>
      <c r="D218" s="13"/>
      <c r="E218" s="13"/>
      <c r="F218" s="13"/>
      <c r="G218" s="13"/>
      <c r="H218" s="13"/>
      <c r="I218" s="13"/>
      <c r="J218" s="13"/>
      <c r="K218" s="13"/>
      <c r="L218" s="13"/>
      <c r="M218" s="13"/>
      <c r="N218" s="13"/>
      <c r="O218" s="13"/>
    </row>
    <row r="219" ht="15.75" customHeight="1">
      <c r="A219" s="13"/>
      <c r="B219" s="13"/>
      <c r="C219" s="13"/>
      <c r="D219" s="13"/>
      <c r="E219" s="13"/>
      <c r="F219" s="13"/>
      <c r="G219" s="13"/>
      <c r="H219" s="13"/>
      <c r="I219" s="13"/>
      <c r="J219" s="13"/>
      <c r="K219" s="13"/>
      <c r="L219" s="13"/>
      <c r="M219" s="13"/>
      <c r="N219" s="13"/>
      <c r="O219" s="13"/>
    </row>
    <row r="220" ht="15.75" customHeight="1">
      <c r="A220" s="13"/>
      <c r="B220" s="13"/>
      <c r="C220" s="13"/>
      <c r="D220" s="13"/>
      <c r="E220" s="13"/>
      <c r="F220" s="13"/>
      <c r="G220" s="13"/>
      <c r="H220" s="13"/>
      <c r="I220" s="13"/>
      <c r="J220" s="13"/>
      <c r="K220" s="13"/>
      <c r="L220" s="13"/>
      <c r="M220" s="13"/>
      <c r="N220" s="13"/>
      <c r="O220" s="13"/>
    </row>
    <row r="221" ht="15.75" customHeight="1">
      <c r="A221" s="13"/>
      <c r="B221" s="13"/>
      <c r="C221" s="13"/>
      <c r="D221" s="13"/>
      <c r="E221" s="13"/>
      <c r="F221" s="13"/>
      <c r="G221" s="13"/>
      <c r="H221" s="13"/>
      <c r="I221" s="13"/>
      <c r="J221" s="13"/>
      <c r="K221" s="13"/>
      <c r="L221" s="13"/>
      <c r="M221" s="13"/>
      <c r="N221" s="13"/>
      <c r="O221" s="13"/>
    </row>
    <row r="222" ht="15.75" customHeight="1">
      <c r="A222" s="13"/>
      <c r="B222" s="13"/>
      <c r="C222" s="13"/>
      <c r="D222" s="13"/>
      <c r="E222" s="13"/>
      <c r="F222" s="13"/>
      <c r="G222" s="13"/>
      <c r="H222" s="13"/>
      <c r="I222" s="13"/>
      <c r="J222" s="13"/>
      <c r="K222" s="13"/>
      <c r="L222" s="13"/>
      <c r="M222" s="13"/>
      <c r="N222" s="13"/>
      <c r="O222" s="13"/>
    </row>
    <row r="223" ht="15.75" customHeight="1">
      <c r="A223" s="13"/>
      <c r="B223" s="13"/>
      <c r="C223" s="13"/>
      <c r="D223" s="13"/>
      <c r="E223" s="13"/>
      <c r="F223" s="13"/>
      <c r="G223" s="13"/>
      <c r="H223" s="13"/>
      <c r="I223" s="13"/>
      <c r="J223" s="13"/>
      <c r="K223" s="13"/>
      <c r="L223" s="13"/>
      <c r="M223" s="13"/>
      <c r="N223" s="13"/>
      <c r="O223" s="13"/>
    </row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B1:D2"/>
    <mergeCell ref="E1:F2"/>
  </mergeCells>
  <dataValidations>
    <dataValidation type="list" allowBlank="1" showErrorMessage="1" sqref="G4:O124">
      <formula1>"선택,완료"</formula1>
    </dataValidation>
  </dataValidations>
  <hyperlinks>
    <hyperlink r:id="rId1" ref="D5"/>
    <hyperlink r:id="rId2" ref="D22"/>
    <hyperlink r:id="rId3" ref="D23"/>
    <hyperlink r:id="rId4" ref="D27"/>
    <hyperlink r:id="rId5" ref="D44"/>
    <hyperlink r:id="rId6" ref="D50"/>
    <hyperlink r:id="rId7" ref="D51"/>
    <hyperlink r:id="rId8" ref="D55"/>
    <hyperlink r:id="rId9" ref="D64"/>
    <hyperlink r:id="rId10" ref="D69"/>
    <hyperlink r:id="rId11" ref="D86"/>
    <hyperlink r:id="rId12" ref="D98"/>
  </hyperlinks>
  <drawing r:id="rId13"/>
  <tableParts count="1">
    <tablePart r:id="rId15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0"/>
  <cols>
    <col customWidth="1" min="1" max="1" width="6.13"/>
    <col customWidth="1" min="2" max="2" width="4.88"/>
    <col customWidth="1" min="3" max="3" width="18.63"/>
    <col customWidth="1" min="4" max="4" width="21.13"/>
    <col customWidth="1" min="5" max="6" width="12.63"/>
  </cols>
  <sheetData>
    <row r="1" ht="15.75" customHeight="1">
      <c r="A1" s="59"/>
      <c r="B1" s="60" t="s">
        <v>0</v>
      </c>
      <c r="E1" s="3" t="s">
        <v>1</v>
      </c>
      <c r="G1" s="5" t="s">
        <v>229</v>
      </c>
      <c r="H1" s="5" t="s">
        <v>230</v>
      </c>
      <c r="I1" s="5" t="s">
        <v>231</v>
      </c>
      <c r="J1" s="5" t="s">
        <v>232</v>
      </c>
      <c r="K1" s="5" t="s">
        <v>233</v>
      </c>
      <c r="L1" s="5" t="s">
        <v>234</v>
      </c>
      <c r="M1" s="94" t="s">
        <v>235</v>
      </c>
      <c r="N1" s="5" t="s">
        <v>236</v>
      </c>
      <c r="O1" s="5"/>
    </row>
    <row r="2" ht="15.75" customHeight="1">
      <c r="A2" s="61"/>
      <c r="G2" s="7" t="s">
        <v>237</v>
      </c>
      <c r="H2" s="7" t="s">
        <v>238</v>
      </c>
      <c r="I2" s="7" t="s">
        <v>239</v>
      </c>
      <c r="J2" s="7" t="s">
        <v>221</v>
      </c>
      <c r="K2" s="7" t="s">
        <v>240</v>
      </c>
      <c r="L2" s="7" t="s">
        <v>223</v>
      </c>
      <c r="M2" s="7" t="s">
        <v>241</v>
      </c>
      <c r="N2" s="7" t="s">
        <v>242</v>
      </c>
      <c r="O2" s="5"/>
    </row>
    <row r="3" ht="15.75" customHeight="1">
      <c r="A3" s="1"/>
      <c r="B3" s="1"/>
      <c r="C3" s="1"/>
      <c r="D3" s="1"/>
      <c r="E3" s="8"/>
      <c r="F3" s="8"/>
      <c r="G3" s="10" t="str">
        <f t="shared" ref="G3:N3" si="1">COUNTIF(G5:G200, "완료") &amp; "명 완료"
</f>
        <v>46명 완료</v>
      </c>
      <c r="H3" s="10" t="str">
        <f t="shared" si="1"/>
        <v>49명 완료</v>
      </c>
      <c r="I3" s="10" t="str">
        <f t="shared" si="1"/>
        <v>47명 완료</v>
      </c>
      <c r="J3" s="10" t="str">
        <f t="shared" si="1"/>
        <v>49명 완료</v>
      </c>
      <c r="K3" s="10" t="str">
        <f t="shared" si="1"/>
        <v>45명 완료</v>
      </c>
      <c r="L3" s="10" t="str">
        <f t="shared" si="1"/>
        <v>46명 완료</v>
      </c>
      <c r="M3" s="10" t="str">
        <f t="shared" si="1"/>
        <v>36명 완료</v>
      </c>
      <c r="N3" s="10" t="str">
        <f t="shared" si="1"/>
        <v>30명 완료</v>
      </c>
      <c r="O3" s="11"/>
    </row>
    <row r="4" ht="15.75" customHeight="1">
      <c r="A4" s="62"/>
      <c r="B4" s="63" t="s">
        <v>20</v>
      </c>
      <c r="C4" s="64" t="s">
        <v>21</v>
      </c>
      <c r="D4" s="64" t="s">
        <v>22</v>
      </c>
      <c r="E4" s="65" t="s">
        <v>23</v>
      </c>
      <c r="F4" s="65" t="s">
        <v>24</v>
      </c>
      <c r="G4" s="66" t="s">
        <v>25</v>
      </c>
      <c r="H4" s="66" t="s">
        <v>25</v>
      </c>
      <c r="I4" s="66" t="s">
        <v>25</v>
      </c>
      <c r="J4" s="66" t="s">
        <v>25</v>
      </c>
      <c r="K4" s="66" t="s">
        <v>25</v>
      </c>
      <c r="L4" s="66" t="s">
        <v>25</v>
      </c>
      <c r="M4" s="66" t="s">
        <v>80</v>
      </c>
      <c r="N4" s="66" t="s">
        <v>80</v>
      </c>
      <c r="O4" s="67"/>
    </row>
    <row r="5" ht="15.75" customHeight="1">
      <c r="A5" s="68"/>
      <c r="B5" s="21">
        <v>1.0</v>
      </c>
      <c r="C5" s="22" t="s">
        <v>26</v>
      </c>
      <c r="D5" s="69" t="s">
        <v>27</v>
      </c>
      <c r="E5" s="70" t="str">
        <f t="shared" ref="E5:E64" si="2">IF(COUNTIF(G5:N5, "완료")=0, "", COUNTIF($G$4:$N$4, "완료") &amp; "번 중 " &amp; COUNTIF(G5:N5, "완료") &amp; "번 참여")
</f>
        <v>6번 중 8번 참여</v>
      </c>
      <c r="F5" s="71">
        <f t="shared" ref="F5:F64" si="3">IF(COUNTIF($G$4:$N$4, "완료")=0, "", IF(COUNTIF(G5:N5, "완료")=0, "", COUNTIF(G5:N5, "완료") / COUNTIF($G$4:$N$4, "완료")))
</f>
        <v>1.333333333</v>
      </c>
      <c r="G5" s="26" t="s">
        <v>25</v>
      </c>
      <c r="H5" s="26" t="s">
        <v>25</v>
      </c>
      <c r="I5" s="26" t="s">
        <v>25</v>
      </c>
      <c r="J5" s="26" t="s">
        <v>25</v>
      </c>
      <c r="K5" s="26" t="s">
        <v>25</v>
      </c>
      <c r="L5" s="26" t="s">
        <v>25</v>
      </c>
      <c r="M5" s="26" t="s">
        <v>25</v>
      </c>
      <c r="N5" s="26" t="s">
        <v>25</v>
      </c>
      <c r="O5" s="27"/>
    </row>
    <row r="6" ht="15.75" customHeight="1">
      <c r="A6" s="47"/>
      <c r="B6" s="29">
        <v>2.0</v>
      </c>
      <c r="C6" s="30" t="s">
        <v>28</v>
      </c>
      <c r="D6" s="30" t="s">
        <v>227</v>
      </c>
      <c r="E6" s="70" t="str">
        <f t="shared" si="2"/>
        <v>6번 중 8번 참여</v>
      </c>
      <c r="F6" s="71">
        <f t="shared" si="3"/>
        <v>1.333333333</v>
      </c>
      <c r="G6" s="26" t="s">
        <v>25</v>
      </c>
      <c r="H6" s="26" t="s">
        <v>25</v>
      </c>
      <c r="I6" s="26" t="s">
        <v>25</v>
      </c>
      <c r="J6" s="26" t="s">
        <v>25</v>
      </c>
      <c r="K6" s="26" t="s">
        <v>25</v>
      </c>
      <c r="L6" s="26" t="s">
        <v>25</v>
      </c>
      <c r="M6" s="26" t="s">
        <v>25</v>
      </c>
      <c r="N6" s="26" t="s">
        <v>25</v>
      </c>
      <c r="O6" s="27"/>
    </row>
    <row r="7" ht="15.75" customHeight="1">
      <c r="A7" s="68"/>
      <c r="B7" s="21">
        <v>3.0</v>
      </c>
      <c r="C7" s="30" t="s">
        <v>30</v>
      </c>
      <c r="D7" s="30" t="s">
        <v>31</v>
      </c>
      <c r="E7" s="70" t="str">
        <f t="shared" si="2"/>
        <v>6번 중 7번 참여</v>
      </c>
      <c r="F7" s="71">
        <f t="shared" si="3"/>
        <v>1.166666667</v>
      </c>
      <c r="G7" s="26" t="s">
        <v>80</v>
      </c>
      <c r="H7" s="26" t="s">
        <v>25</v>
      </c>
      <c r="I7" s="26" t="s">
        <v>25</v>
      </c>
      <c r="J7" s="26" t="s">
        <v>25</v>
      </c>
      <c r="K7" s="26" t="s">
        <v>25</v>
      </c>
      <c r="L7" s="26" t="s">
        <v>25</v>
      </c>
      <c r="M7" s="26" t="s">
        <v>25</v>
      </c>
      <c r="N7" s="26" t="s">
        <v>25</v>
      </c>
      <c r="O7" s="27"/>
    </row>
    <row r="8" ht="15.75" customHeight="1">
      <c r="A8" s="47"/>
      <c r="B8" s="29">
        <v>4.0</v>
      </c>
      <c r="C8" s="22" t="s">
        <v>32</v>
      </c>
      <c r="D8" s="22" t="s">
        <v>33</v>
      </c>
      <c r="E8" s="70" t="str">
        <f t="shared" si="2"/>
        <v>6번 중 7번 참여</v>
      </c>
      <c r="F8" s="71">
        <f t="shared" si="3"/>
        <v>1.166666667</v>
      </c>
      <c r="G8" s="26" t="s">
        <v>80</v>
      </c>
      <c r="H8" s="26" t="s">
        <v>25</v>
      </c>
      <c r="I8" s="26" t="s">
        <v>25</v>
      </c>
      <c r="J8" s="26" t="s">
        <v>25</v>
      </c>
      <c r="K8" s="26" t="s">
        <v>25</v>
      </c>
      <c r="L8" s="26" t="s">
        <v>25</v>
      </c>
      <c r="M8" s="26" t="s">
        <v>25</v>
      </c>
      <c r="N8" s="26" t="s">
        <v>25</v>
      </c>
      <c r="O8" s="27"/>
    </row>
    <row r="9" ht="15.75" customHeight="1">
      <c r="A9" s="68"/>
      <c r="B9" s="21">
        <v>5.0</v>
      </c>
      <c r="C9" s="30" t="s">
        <v>34</v>
      </c>
      <c r="D9" s="30" t="s">
        <v>35</v>
      </c>
      <c r="E9" s="70" t="str">
        <f t="shared" si="2"/>
        <v>6번 중 7번 참여</v>
      </c>
      <c r="F9" s="71">
        <f t="shared" si="3"/>
        <v>1.166666667</v>
      </c>
      <c r="G9" s="26" t="s">
        <v>25</v>
      </c>
      <c r="H9" s="26" t="s">
        <v>25</v>
      </c>
      <c r="I9" s="26" t="s">
        <v>25</v>
      </c>
      <c r="J9" s="26" t="s">
        <v>25</v>
      </c>
      <c r="K9" s="26" t="s">
        <v>25</v>
      </c>
      <c r="L9" s="26" t="s">
        <v>25</v>
      </c>
      <c r="M9" s="26" t="s">
        <v>25</v>
      </c>
      <c r="N9" s="26"/>
      <c r="O9" s="27"/>
    </row>
    <row r="10" ht="15.75" customHeight="1">
      <c r="A10" s="47"/>
      <c r="B10" s="29">
        <v>6.0</v>
      </c>
      <c r="C10" s="22" t="s">
        <v>36</v>
      </c>
      <c r="D10" s="22" t="s">
        <v>37</v>
      </c>
      <c r="E10" s="70" t="str">
        <f t="shared" si="2"/>
        <v>6번 중 8번 참여</v>
      </c>
      <c r="F10" s="71">
        <f t="shared" si="3"/>
        <v>1.333333333</v>
      </c>
      <c r="G10" s="26" t="s">
        <v>25</v>
      </c>
      <c r="H10" s="26" t="s">
        <v>25</v>
      </c>
      <c r="I10" s="26" t="s">
        <v>25</v>
      </c>
      <c r="J10" s="26" t="s">
        <v>25</v>
      </c>
      <c r="K10" s="26" t="s">
        <v>25</v>
      </c>
      <c r="L10" s="26" t="s">
        <v>25</v>
      </c>
      <c r="M10" s="26" t="s">
        <v>25</v>
      </c>
      <c r="N10" s="26" t="s">
        <v>25</v>
      </c>
      <c r="O10" s="27"/>
    </row>
    <row r="11" ht="15.75" customHeight="1">
      <c r="A11" s="68"/>
      <c r="B11" s="21">
        <v>7.0</v>
      </c>
      <c r="C11" s="30" t="s">
        <v>38</v>
      </c>
      <c r="D11" s="30" t="s">
        <v>39</v>
      </c>
      <c r="E11" s="70" t="str">
        <f t="shared" si="2"/>
        <v>6번 중 8번 참여</v>
      </c>
      <c r="F11" s="71">
        <f t="shared" si="3"/>
        <v>1.333333333</v>
      </c>
      <c r="G11" s="26" t="s">
        <v>25</v>
      </c>
      <c r="H11" s="26" t="s">
        <v>25</v>
      </c>
      <c r="I11" s="26" t="s">
        <v>25</v>
      </c>
      <c r="J11" s="26" t="s">
        <v>25</v>
      </c>
      <c r="K11" s="26" t="s">
        <v>25</v>
      </c>
      <c r="L11" s="26" t="s">
        <v>25</v>
      </c>
      <c r="M11" s="26" t="s">
        <v>25</v>
      </c>
      <c r="N11" s="26" t="s">
        <v>25</v>
      </c>
      <c r="O11" s="27"/>
    </row>
    <row r="12" ht="15.75" customHeight="1">
      <c r="A12" s="47"/>
      <c r="B12" s="29">
        <v>8.0</v>
      </c>
      <c r="C12" s="22" t="s">
        <v>40</v>
      </c>
      <c r="D12" s="22" t="s">
        <v>41</v>
      </c>
      <c r="E12" s="70" t="str">
        <f t="shared" si="2"/>
        <v>6번 중 8번 참여</v>
      </c>
      <c r="F12" s="71">
        <f t="shared" si="3"/>
        <v>1.333333333</v>
      </c>
      <c r="G12" s="26" t="s">
        <v>25</v>
      </c>
      <c r="H12" s="26" t="s">
        <v>25</v>
      </c>
      <c r="I12" s="26" t="s">
        <v>25</v>
      </c>
      <c r="J12" s="26" t="s">
        <v>25</v>
      </c>
      <c r="K12" s="26" t="s">
        <v>25</v>
      </c>
      <c r="L12" s="26" t="s">
        <v>25</v>
      </c>
      <c r="M12" s="26" t="s">
        <v>25</v>
      </c>
      <c r="N12" s="26" t="s">
        <v>25</v>
      </c>
      <c r="O12" s="27"/>
    </row>
    <row r="13" ht="15.75" customHeight="1">
      <c r="A13" s="68"/>
      <c r="B13" s="21">
        <v>9.0</v>
      </c>
      <c r="C13" s="30" t="s">
        <v>42</v>
      </c>
      <c r="D13" s="30" t="s">
        <v>43</v>
      </c>
      <c r="E13" s="70" t="str">
        <f t="shared" si="2"/>
        <v>6번 중 4번 참여</v>
      </c>
      <c r="F13" s="71">
        <f t="shared" si="3"/>
        <v>0.6666666667</v>
      </c>
      <c r="G13" s="26" t="s">
        <v>80</v>
      </c>
      <c r="H13" s="26" t="s">
        <v>25</v>
      </c>
      <c r="I13" s="26"/>
      <c r="J13" s="26" t="s">
        <v>25</v>
      </c>
      <c r="K13" s="26"/>
      <c r="L13" s="26" t="s">
        <v>25</v>
      </c>
      <c r="M13" s="26"/>
      <c r="N13" s="26" t="s">
        <v>25</v>
      </c>
      <c r="O13" s="27"/>
    </row>
    <row r="14" ht="15.75" customHeight="1">
      <c r="A14" s="47"/>
      <c r="B14" s="29">
        <v>10.0</v>
      </c>
      <c r="C14" s="22" t="s">
        <v>44</v>
      </c>
      <c r="D14" s="22" t="s">
        <v>45</v>
      </c>
      <c r="E14" s="70" t="str">
        <f t="shared" si="2"/>
        <v>6번 중 8번 참여</v>
      </c>
      <c r="F14" s="71">
        <f t="shared" si="3"/>
        <v>1.333333333</v>
      </c>
      <c r="G14" s="26" t="s">
        <v>25</v>
      </c>
      <c r="H14" s="26" t="s">
        <v>25</v>
      </c>
      <c r="I14" s="26" t="s">
        <v>25</v>
      </c>
      <c r="J14" s="26" t="s">
        <v>25</v>
      </c>
      <c r="K14" s="26" t="s">
        <v>25</v>
      </c>
      <c r="L14" s="26" t="s">
        <v>25</v>
      </c>
      <c r="M14" s="26" t="s">
        <v>25</v>
      </c>
      <c r="N14" s="26" t="s">
        <v>25</v>
      </c>
      <c r="O14" s="27"/>
    </row>
    <row r="15" ht="15.75" customHeight="1">
      <c r="A15" s="68"/>
      <c r="B15" s="21">
        <v>11.0</v>
      </c>
      <c r="C15" s="30" t="s">
        <v>46</v>
      </c>
      <c r="D15" s="30" t="s">
        <v>47</v>
      </c>
      <c r="E15" s="70" t="str">
        <f t="shared" si="2"/>
        <v>6번 중 8번 참여</v>
      </c>
      <c r="F15" s="71">
        <f t="shared" si="3"/>
        <v>1.333333333</v>
      </c>
      <c r="G15" s="26" t="s">
        <v>25</v>
      </c>
      <c r="H15" s="26" t="s">
        <v>25</v>
      </c>
      <c r="I15" s="26" t="s">
        <v>25</v>
      </c>
      <c r="J15" s="26" t="s">
        <v>25</v>
      </c>
      <c r="K15" s="26" t="s">
        <v>25</v>
      </c>
      <c r="L15" s="26" t="s">
        <v>25</v>
      </c>
      <c r="M15" s="26" t="s">
        <v>25</v>
      </c>
      <c r="N15" s="26" t="s">
        <v>25</v>
      </c>
      <c r="O15" s="27"/>
    </row>
    <row r="16" ht="15.75" customHeight="1">
      <c r="A16" s="47"/>
      <c r="B16" s="29">
        <v>12.0</v>
      </c>
      <c r="C16" s="22" t="s">
        <v>48</v>
      </c>
      <c r="D16" s="22" t="s">
        <v>49</v>
      </c>
      <c r="E16" s="70" t="str">
        <f t="shared" si="2"/>
        <v>6번 중 7번 참여</v>
      </c>
      <c r="F16" s="71">
        <f t="shared" si="3"/>
        <v>1.166666667</v>
      </c>
      <c r="G16" s="26" t="s">
        <v>25</v>
      </c>
      <c r="H16" s="26" t="s">
        <v>25</v>
      </c>
      <c r="I16" s="26"/>
      <c r="J16" s="26" t="s">
        <v>25</v>
      </c>
      <c r="K16" s="26" t="s">
        <v>25</v>
      </c>
      <c r="L16" s="26" t="s">
        <v>25</v>
      </c>
      <c r="M16" s="26" t="s">
        <v>25</v>
      </c>
      <c r="N16" s="26" t="s">
        <v>25</v>
      </c>
      <c r="O16" s="27"/>
    </row>
    <row r="17" ht="15.75" customHeight="1">
      <c r="A17" s="68"/>
      <c r="B17" s="21">
        <v>13.0</v>
      </c>
      <c r="C17" s="30" t="s">
        <v>50</v>
      </c>
      <c r="D17" s="30" t="s">
        <v>51</v>
      </c>
      <c r="E17" s="70" t="str">
        <f t="shared" si="2"/>
        <v>6번 중 5번 참여</v>
      </c>
      <c r="F17" s="71">
        <f t="shared" si="3"/>
        <v>0.8333333333</v>
      </c>
      <c r="G17" s="26" t="s">
        <v>80</v>
      </c>
      <c r="H17" s="26" t="s">
        <v>25</v>
      </c>
      <c r="I17" s="26" t="s">
        <v>25</v>
      </c>
      <c r="J17" s="26" t="s">
        <v>25</v>
      </c>
      <c r="K17" s="26" t="s">
        <v>25</v>
      </c>
      <c r="L17" s="26" t="s">
        <v>25</v>
      </c>
      <c r="M17" s="26"/>
      <c r="N17" s="26"/>
      <c r="O17" s="27"/>
    </row>
    <row r="18" ht="15.75" customHeight="1">
      <c r="A18" s="47"/>
      <c r="B18" s="29">
        <v>14.0</v>
      </c>
      <c r="C18" s="22" t="s">
        <v>52</v>
      </c>
      <c r="D18" s="22" t="s">
        <v>53</v>
      </c>
      <c r="E18" s="70" t="str">
        <f t="shared" si="2"/>
        <v/>
      </c>
      <c r="F18" s="71" t="str">
        <f t="shared" si="3"/>
        <v/>
      </c>
      <c r="G18" s="26" t="s">
        <v>80</v>
      </c>
      <c r="H18" s="26"/>
      <c r="I18" s="26"/>
      <c r="J18" s="26"/>
      <c r="K18" s="26"/>
      <c r="L18" s="26"/>
      <c r="M18" s="26"/>
      <c r="N18" s="26"/>
      <c r="O18" s="27"/>
    </row>
    <row r="19" ht="15.75" customHeight="1">
      <c r="A19" s="68"/>
      <c r="B19" s="21">
        <v>15.0</v>
      </c>
      <c r="C19" s="22" t="s">
        <v>54</v>
      </c>
      <c r="D19" s="22" t="s">
        <v>55</v>
      </c>
      <c r="E19" s="70" t="str">
        <f t="shared" si="2"/>
        <v>6번 중 5번 참여</v>
      </c>
      <c r="F19" s="71">
        <f t="shared" si="3"/>
        <v>0.8333333333</v>
      </c>
      <c r="G19" s="26" t="s">
        <v>25</v>
      </c>
      <c r="H19" s="26" t="s">
        <v>25</v>
      </c>
      <c r="I19" s="26" t="s">
        <v>25</v>
      </c>
      <c r="J19" s="26" t="s">
        <v>25</v>
      </c>
      <c r="K19" s="26"/>
      <c r="L19" s="26"/>
      <c r="M19" s="26"/>
      <c r="N19" s="26" t="s">
        <v>25</v>
      </c>
      <c r="O19" s="27"/>
    </row>
    <row r="20" ht="15.75" customHeight="1">
      <c r="A20" s="47"/>
      <c r="B20" s="29">
        <v>16.0</v>
      </c>
      <c r="C20" s="22" t="s">
        <v>56</v>
      </c>
      <c r="D20" s="22" t="s">
        <v>57</v>
      </c>
      <c r="E20" s="70" t="str">
        <f t="shared" si="2"/>
        <v>6번 중 8번 참여</v>
      </c>
      <c r="F20" s="71">
        <f t="shared" si="3"/>
        <v>1.333333333</v>
      </c>
      <c r="G20" s="26" t="s">
        <v>25</v>
      </c>
      <c r="H20" s="26" t="s">
        <v>25</v>
      </c>
      <c r="I20" s="26" t="s">
        <v>25</v>
      </c>
      <c r="J20" s="26" t="s">
        <v>25</v>
      </c>
      <c r="K20" s="26" t="s">
        <v>25</v>
      </c>
      <c r="L20" s="26" t="s">
        <v>25</v>
      </c>
      <c r="M20" s="26" t="s">
        <v>25</v>
      </c>
      <c r="N20" s="26" t="s">
        <v>25</v>
      </c>
      <c r="O20" s="27"/>
    </row>
    <row r="21" ht="15.75" customHeight="1">
      <c r="A21" s="68"/>
      <c r="B21" s="21">
        <v>17.0</v>
      </c>
      <c r="C21" s="30" t="s">
        <v>58</v>
      </c>
      <c r="D21" s="72" t="s">
        <v>59</v>
      </c>
      <c r="E21" s="70" t="str">
        <f t="shared" si="2"/>
        <v/>
      </c>
      <c r="F21" s="71" t="str">
        <f t="shared" si="3"/>
        <v/>
      </c>
      <c r="G21" s="26" t="s">
        <v>80</v>
      </c>
      <c r="H21" s="26"/>
      <c r="I21" s="26"/>
      <c r="J21" s="26"/>
      <c r="K21" s="26"/>
      <c r="L21" s="26"/>
      <c r="M21" s="26"/>
      <c r="N21" s="26"/>
      <c r="O21" s="27"/>
    </row>
    <row r="22" ht="15.75" customHeight="1">
      <c r="A22" s="47"/>
      <c r="B22" s="29">
        <v>18.0</v>
      </c>
      <c r="C22" s="22" t="s">
        <v>60</v>
      </c>
      <c r="D22" s="69" t="s">
        <v>61</v>
      </c>
      <c r="E22" s="70" t="str">
        <f t="shared" si="2"/>
        <v>6번 중 1번 참여</v>
      </c>
      <c r="F22" s="71">
        <f t="shared" si="3"/>
        <v>0.1666666667</v>
      </c>
      <c r="G22" s="26" t="s">
        <v>80</v>
      </c>
      <c r="H22" s="26"/>
      <c r="I22" s="26"/>
      <c r="J22" s="26" t="s">
        <v>25</v>
      </c>
      <c r="K22" s="26"/>
      <c r="L22" s="26"/>
      <c r="M22" s="26"/>
      <c r="N22" s="26"/>
      <c r="O22" s="27"/>
    </row>
    <row r="23" ht="15.75" customHeight="1">
      <c r="A23" s="68"/>
      <c r="B23" s="21">
        <v>19.0</v>
      </c>
      <c r="C23" s="42" t="s">
        <v>62</v>
      </c>
      <c r="D23" s="73" t="s">
        <v>63</v>
      </c>
      <c r="E23" s="70" t="str">
        <f t="shared" si="2"/>
        <v/>
      </c>
      <c r="F23" s="71" t="str">
        <f t="shared" si="3"/>
        <v/>
      </c>
      <c r="G23" s="26" t="s">
        <v>80</v>
      </c>
      <c r="H23" s="26"/>
      <c r="I23" s="26"/>
      <c r="J23" s="26"/>
      <c r="K23" s="26"/>
      <c r="L23" s="26"/>
      <c r="M23" s="26"/>
      <c r="N23" s="26"/>
      <c r="O23" s="27"/>
    </row>
    <row r="24" ht="15.75" customHeight="1">
      <c r="A24" s="47"/>
      <c r="B24" s="29">
        <v>20.0</v>
      </c>
      <c r="C24" s="22" t="s">
        <v>64</v>
      </c>
      <c r="D24" s="74" t="s">
        <v>65</v>
      </c>
      <c r="E24" s="70" t="str">
        <f t="shared" si="2"/>
        <v/>
      </c>
      <c r="F24" s="71" t="str">
        <f t="shared" si="3"/>
        <v/>
      </c>
      <c r="G24" s="26" t="s">
        <v>80</v>
      </c>
      <c r="H24" s="26"/>
      <c r="I24" s="26"/>
      <c r="J24" s="26"/>
      <c r="K24" s="26"/>
      <c r="L24" s="26"/>
      <c r="M24" s="26"/>
      <c r="N24" s="26"/>
      <c r="O24" s="27"/>
    </row>
    <row r="25" ht="15.75" customHeight="1">
      <c r="A25" s="68"/>
      <c r="B25" s="21">
        <v>21.0</v>
      </c>
      <c r="C25" s="30" t="s">
        <v>66</v>
      </c>
      <c r="D25" s="72" t="s">
        <v>67</v>
      </c>
      <c r="E25" s="70" t="str">
        <f t="shared" si="2"/>
        <v>6번 중 8번 참여</v>
      </c>
      <c r="F25" s="71">
        <f t="shared" si="3"/>
        <v>1.333333333</v>
      </c>
      <c r="G25" s="26" t="s">
        <v>25</v>
      </c>
      <c r="H25" s="26" t="s">
        <v>25</v>
      </c>
      <c r="I25" s="26" t="s">
        <v>25</v>
      </c>
      <c r="J25" s="26" t="s">
        <v>25</v>
      </c>
      <c r="K25" s="26" t="s">
        <v>25</v>
      </c>
      <c r="L25" s="26" t="s">
        <v>25</v>
      </c>
      <c r="M25" s="26" t="s">
        <v>25</v>
      </c>
      <c r="N25" s="26" t="s">
        <v>25</v>
      </c>
      <c r="O25" s="27"/>
    </row>
    <row r="26" ht="15.75" customHeight="1">
      <c r="A26" s="47"/>
      <c r="B26" s="29">
        <v>22.0</v>
      </c>
      <c r="C26" s="75" t="s">
        <v>68</v>
      </c>
      <c r="D26" s="76" t="s">
        <v>69</v>
      </c>
      <c r="E26" s="70" t="str">
        <f t="shared" si="2"/>
        <v/>
      </c>
      <c r="F26" s="71" t="str">
        <f t="shared" si="3"/>
        <v/>
      </c>
      <c r="G26" s="26" t="s">
        <v>80</v>
      </c>
      <c r="H26" s="26"/>
      <c r="I26" s="26"/>
      <c r="J26" s="26"/>
      <c r="K26" s="26"/>
      <c r="L26" s="26"/>
      <c r="M26" s="26"/>
      <c r="N26" s="26"/>
      <c r="O26" s="27"/>
    </row>
    <row r="27" ht="15.75" customHeight="1">
      <c r="A27" s="68"/>
      <c r="B27" s="21">
        <v>23.0</v>
      </c>
      <c r="C27" s="22" t="s">
        <v>26</v>
      </c>
      <c r="D27" s="69" t="s">
        <v>27</v>
      </c>
      <c r="E27" s="70" t="str">
        <f t="shared" si="2"/>
        <v/>
      </c>
      <c r="F27" s="71" t="str">
        <f t="shared" si="3"/>
        <v/>
      </c>
      <c r="G27" s="26" t="s">
        <v>80</v>
      </c>
      <c r="H27" s="26" t="s">
        <v>80</v>
      </c>
      <c r="I27" s="26" t="s">
        <v>80</v>
      </c>
      <c r="J27" s="26" t="s">
        <v>80</v>
      </c>
      <c r="K27" s="26"/>
      <c r="L27" s="26"/>
      <c r="M27" s="26"/>
      <c r="N27" s="26"/>
      <c r="O27" s="27"/>
    </row>
    <row r="28" ht="15.75" customHeight="1">
      <c r="A28" s="47"/>
      <c r="B28" s="29">
        <v>24.0</v>
      </c>
      <c r="C28" s="30" t="s">
        <v>28</v>
      </c>
      <c r="D28" s="30" t="s">
        <v>70</v>
      </c>
      <c r="E28" s="70" t="str">
        <f t="shared" si="2"/>
        <v>6번 중 7번 참여</v>
      </c>
      <c r="F28" s="71">
        <f t="shared" si="3"/>
        <v>1.166666667</v>
      </c>
      <c r="G28" s="26" t="s">
        <v>80</v>
      </c>
      <c r="H28" s="26" t="s">
        <v>25</v>
      </c>
      <c r="I28" s="26" t="s">
        <v>25</v>
      </c>
      <c r="J28" s="26" t="s">
        <v>25</v>
      </c>
      <c r="K28" s="26" t="s">
        <v>25</v>
      </c>
      <c r="L28" s="26" t="s">
        <v>25</v>
      </c>
      <c r="M28" s="26" t="s">
        <v>25</v>
      </c>
      <c r="N28" s="26" t="s">
        <v>25</v>
      </c>
      <c r="O28" s="27"/>
    </row>
    <row r="29" ht="15.75" customHeight="1">
      <c r="A29" s="68"/>
      <c r="B29" s="21">
        <v>25.0</v>
      </c>
      <c r="C29" s="30" t="s">
        <v>30</v>
      </c>
      <c r="D29" s="30" t="s">
        <v>31</v>
      </c>
      <c r="E29" s="70" t="str">
        <f t="shared" si="2"/>
        <v/>
      </c>
      <c r="F29" s="71" t="str">
        <f t="shared" si="3"/>
        <v/>
      </c>
      <c r="G29" s="26"/>
      <c r="H29" s="26"/>
      <c r="I29" s="26"/>
      <c r="J29" s="26"/>
      <c r="K29" s="26"/>
      <c r="L29" s="26"/>
      <c r="M29" s="26"/>
      <c r="N29" s="26"/>
      <c r="O29" s="27"/>
    </row>
    <row r="30" ht="15.75" customHeight="1">
      <c r="A30" s="47"/>
      <c r="B30" s="29">
        <v>26.0</v>
      </c>
      <c r="C30" s="22" t="s">
        <v>32</v>
      </c>
      <c r="D30" s="22" t="s">
        <v>33</v>
      </c>
      <c r="E30" s="70" t="str">
        <f t="shared" si="2"/>
        <v/>
      </c>
      <c r="F30" s="71" t="str">
        <f t="shared" si="3"/>
        <v/>
      </c>
      <c r="G30" s="26"/>
      <c r="H30" s="26"/>
      <c r="I30" s="26"/>
      <c r="J30" s="26"/>
      <c r="K30" s="26"/>
      <c r="L30" s="26"/>
      <c r="M30" s="26"/>
      <c r="N30" s="26"/>
      <c r="O30" s="27"/>
    </row>
    <row r="31" ht="15.75" customHeight="1">
      <c r="A31" s="68"/>
      <c r="B31" s="21">
        <v>27.0</v>
      </c>
      <c r="C31" s="30" t="s">
        <v>34</v>
      </c>
      <c r="D31" s="30" t="s">
        <v>35</v>
      </c>
      <c r="E31" s="70" t="str">
        <f t="shared" si="2"/>
        <v/>
      </c>
      <c r="F31" s="71" t="str">
        <f t="shared" si="3"/>
        <v/>
      </c>
      <c r="G31" s="26"/>
      <c r="H31" s="26"/>
      <c r="I31" s="26"/>
      <c r="J31" s="26"/>
      <c r="K31" s="26"/>
      <c r="L31" s="26"/>
      <c r="M31" s="26"/>
      <c r="N31" s="26"/>
      <c r="O31" s="27"/>
    </row>
    <row r="32" ht="15.75" customHeight="1">
      <c r="A32" s="47"/>
      <c r="B32" s="29">
        <v>28.0</v>
      </c>
      <c r="C32" s="22" t="s">
        <v>36</v>
      </c>
      <c r="D32" s="22" t="s">
        <v>72</v>
      </c>
      <c r="E32" s="70" t="str">
        <f t="shared" si="2"/>
        <v/>
      </c>
      <c r="F32" s="71" t="str">
        <f t="shared" si="3"/>
        <v/>
      </c>
      <c r="G32" s="26"/>
      <c r="H32" s="26"/>
      <c r="I32" s="26"/>
      <c r="J32" s="26"/>
      <c r="K32" s="26"/>
      <c r="L32" s="26"/>
      <c r="M32" s="26"/>
      <c r="N32" s="26"/>
      <c r="O32" s="27"/>
    </row>
    <row r="33" ht="15.75" customHeight="1">
      <c r="A33" s="68"/>
      <c r="B33" s="21">
        <v>29.0</v>
      </c>
      <c r="C33" s="30" t="s">
        <v>38</v>
      </c>
      <c r="D33" s="30" t="s">
        <v>39</v>
      </c>
      <c r="E33" s="70" t="str">
        <f t="shared" si="2"/>
        <v/>
      </c>
      <c r="F33" s="71" t="str">
        <f t="shared" si="3"/>
        <v/>
      </c>
      <c r="G33" s="26"/>
      <c r="H33" s="26"/>
      <c r="I33" s="26"/>
      <c r="J33" s="26"/>
      <c r="K33" s="26"/>
      <c r="L33" s="26"/>
      <c r="M33" s="26"/>
      <c r="N33" s="26"/>
      <c r="O33" s="27"/>
    </row>
    <row r="34" ht="15.75" customHeight="1">
      <c r="A34" s="47"/>
      <c r="B34" s="29">
        <v>30.0</v>
      </c>
      <c r="C34" s="22" t="s">
        <v>40</v>
      </c>
      <c r="D34" s="22" t="s">
        <v>41</v>
      </c>
      <c r="E34" s="70" t="str">
        <f t="shared" si="2"/>
        <v/>
      </c>
      <c r="F34" s="71" t="str">
        <f t="shared" si="3"/>
        <v/>
      </c>
      <c r="G34" s="26"/>
      <c r="H34" s="26"/>
      <c r="I34" s="26"/>
      <c r="J34" s="26"/>
      <c r="K34" s="26"/>
      <c r="L34" s="26"/>
      <c r="M34" s="26"/>
      <c r="N34" s="26"/>
      <c r="O34" s="27"/>
    </row>
    <row r="35" ht="15.75" customHeight="1">
      <c r="A35" s="68"/>
      <c r="B35" s="21">
        <v>31.0</v>
      </c>
      <c r="C35" s="30" t="s">
        <v>42</v>
      </c>
      <c r="D35" s="30" t="s">
        <v>73</v>
      </c>
      <c r="E35" s="70" t="str">
        <f t="shared" si="2"/>
        <v/>
      </c>
      <c r="F35" s="71" t="str">
        <f t="shared" si="3"/>
        <v/>
      </c>
      <c r="G35" s="26"/>
      <c r="H35" s="26"/>
      <c r="I35" s="26"/>
      <c r="J35" s="26"/>
      <c r="K35" s="26"/>
      <c r="L35" s="26"/>
      <c r="M35" s="26"/>
      <c r="N35" s="26"/>
      <c r="O35" s="27"/>
    </row>
    <row r="36" ht="15.75" customHeight="1">
      <c r="A36" s="47"/>
      <c r="B36" s="29">
        <v>32.0</v>
      </c>
      <c r="C36" s="22" t="s">
        <v>44</v>
      </c>
      <c r="D36" s="22" t="s">
        <v>45</v>
      </c>
      <c r="E36" s="70" t="str">
        <f t="shared" si="2"/>
        <v/>
      </c>
      <c r="F36" s="71" t="str">
        <f t="shared" si="3"/>
        <v/>
      </c>
      <c r="G36" s="26"/>
      <c r="H36" s="26"/>
      <c r="I36" s="26"/>
      <c r="J36" s="26"/>
      <c r="K36" s="26"/>
      <c r="L36" s="26"/>
      <c r="M36" s="26"/>
      <c r="N36" s="26"/>
      <c r="O36" s="27"/>
    </row>
    <row r="37" ht="15.75" customHeight="1">
      <c r="A37" s="68"/>
      <c r="B37" s="21">
        <v>33.0</v>
      </c>
      <c r="C37" s="30" t="s">
        <v>46</v>
      </c>
      <c r="D37" s="30" t="s">
        <v>47</v>
      </c>
      <c r="E37" s="70" t="str">
        <f t="shared" si="2"/>
        <v/>
      </c>
      <c r="F37" s="71" t="str">
        <f t="shared" si="3"/>
        <v/>
      </c>
      <c r="G37" s="26"/>
      <c r="H37" s="26"/>
      <c r="I37" s="26"/>
      <c r="J37" s="26"/>
      <c r="K37" s="26"/>
      <c r="L37" s="26"/>
      <c r="M37" s="26"/>
      <c r="N37" s="26"/>
      <c r="O37" s="27"/>
    </row>
    <row r="38" ht="15.75" customHeight="1">
      <c r="A38" s="47"/>
      <c r="B38" s="29">
        <v>34.0</v>
      </c>
      <c r="C38" s="22" t="s">
        <v>48</v>
      </c>
      <c r="D38" s="22" t="s">
        <v>49</v>
      </c>
      <c r="E38" s="70" t="str">
        <f t="shared" si="2"/>
        <v/>
      </c>
      <c r="F38" s="71" t="str">
        <f t="shared" si="3"/>
        <v/>
      </c>
      <c r="G38" s="26"/>
      <c r="H38" s="26"/>
      <c r="I38" s="26"/>
      <c r="J38" s="26"/>
      <c r="K38" s="26"/>
      <c r="L38" s="26"/>
      <c r="M38" s="26"/>
      <c r="N38" s="26"/>
      <c r="O38" s="27"/>
    </row>
    <row r="39" ht="15.75" customHeight="1">
      <c r="A39" s="68"/>
      <c r="B39" s="21">
        <v>35.0</v>
      </c>
      <c r="C39" s="30" t="s">
        <v>50</v>
      </c>
      <c r="D39" s="30" t="s">
        <v>51</v>
      </c>
      <c r="E39" s="70" t="str">
        <f t="shared" si="2"/>
        <v/>
      </c>
      <c r="F39" s="71" t="str">
        <f t="shared" si="3"/>
        <v/>
      </c>
      <c r="G39" s="26"/>
      <c r="H39" s="26"/>
      <c r="I39" s="26"/>
      <c r="J39" s="26"/>
      <c r="K39" s="26"/>
      <c r="L39" s="26"/>
      <c r="M39" s="26"/>
      <c r="N39" s="26"/>
      <c r="O39" s="27"/>
    </row>
    <row r="40" ht="15.75" customHeight="1">
      <c r="A40" s="47"/>
      <c r="B40" s="29">
        <v>36.0</v>
      </c>
      <c r="C40" s="22" t="s">
        <v>52</v>
      </c>
      <c r="D40" s="22" t="s">
        <v>53</v>
      </c>
      <c r="E40" s="70" t="str">
        <f t="shared" si="2"/>
        <v/>
      </c>
      <c r="F40" s="71" t="str">
        <f t="shared" si="3"/>
        <v/>
      </c>
      <c r="G40" s="26"/>
      <c r="H40" s="26"/>
      <c r="I40" s="26"/>
      <c r="J40" s="26"/>
      <c r="K40" s="26"/>
      <c r="L40" s="26"/>
      <c r="M40" s="26"/>
      <c r="N40" s="26"/>
      <c r="O40" s="27"/>
    </row>
    <row r="41" ht="15.75" customHeight="1">
      <c r="A41" s="68"/>
      <c r="B41" s="21">
        <v>37.0</v>
      </c>
      <c r="C41" s="22" t="s">
        <v>54</v>
      </c>
      <c r="D41" s="22" t="s">
        <v>55</v>
      </c>
      <c r="E41" s="70" t="str">
        <f t="shared" si="2"/>
        <v/>
      </c>
      <c r="F41" s="71" t="str">
        <f t="shared" si="3"/>
        <v/>
      </c>
      <c r="G41" s="26"/>
      <c r="H41" s="26"/>
      <c r="I41" s="26"/>
      <c r="J41" s="26"/>
      <c r="K41" s="26"/>
      <c r="L41" s="26"/>
      <c r="M41" s="26"/>
      <c r="N41" s="26"/>
      <c r="O41" s="27"/>
    </row>
    <row r="42" ht="15.75" customHeight="1">
      <c r="A42" s="47"/>
      <c r="B42" s="29">
        <v>38.0</v>
      </c>
      <c r="C42" s="22" t="s">
        <v>56</v>
      </c>
      <c r="D42" s="22" t="s">
        <v>57</v>
      </c>
      <c r="E42" s="70" t="str">
        <f t="shared" si="2"/>
        <v/>
      </c>
      <c r="F42" s="71" t="str">
        <f t="shared" si="3"/>
        <v/>
      </c>
      <c r="G42" s="26"/>
      <c r="H42" s="26"/>
      <c r="I42" s="26"/>
      <c r="J42" s="26"/>
      <c r="K42" s="26"/>
      <c r="L42" s="26"/>
      <c r="M42" s="26"/>
      <c r="N42" s="26"/>
      <c r="O42" s="27"/>
    </row>
    <row r="43" ht="15.75" customHeight="1">
      <c r="A43" s="68"/>
      <c r="B43" s="21">
        <v>39.0</v>
      </c>
      <c r="C43" s="30" t="s">
        <v>58</v>
      </c>
      <c r="D43" s="72" t="s">
        <v>59</v>
      </c>
      <c r="E43" s="70" t="str">
        <f t="shared" si="2"/>
        <v/>
      </c>
      <c r="F43" s="71" t="str">
        <f t="shared" si="3"/>
        <v/>
      </c>
      <c r="G43" s="26"/>
      <c r="H43" s="26"/>
      <c r="I43" s="26"/>
      <c r="J43" s="26"/>
      <c r="K43" s="26"/>
      <c r="L43" s="26"/>
      <c r="M43" s="26"/>
      <c r="N43" s="26"/>
      <c r="O43" s="27"/>
    </row>
    <row r="44" ht="15.75" customHeight="1">
      <c r="A44" s="47"/>
      <c r="B44" s="29">
        <v>40.0</v>
      </c>
      <c r="C44" s="22" t="s">
        <v>60</v>
      </c>
      <c r="D44" s="69" t="s">
        <v>61</v>
      </c>
      <c r="E44" s="70" t="str">
        <f t="shared" si="2"/>
        <v/>
      </c>
      <c r="F44" s="71" t="str">
        <f t="shared" si="3"/>
        <v/>
      </c>
      <c r="G44" s="26"/>
      <c r="H44" s="26"/>
      <c r="I44" s="26"/>
      <c r="J44" s="26"/>
      <c r="K44" s="26"/>
      <c r="L44" s="26"/>
      <c r="M44" s="26"/>
      <c r="N44" s="26"/>
      <c r="O44" s="27"/>
    </row>
    <row r="45" ht="15.75" customHeight="1">
      <c r="A45" s="68"/>
      <c r="B45" s="21">
        <v>41.0</v>
      </c>
      <c r="C45" s="42" t="s">
        <v>62</v>
      </c>
      <c r="D45" s="73" t="s">
        <v>63</v>
      </c>
      <c r="E45" s="70" t="str">
        <f t="shared" si="2"/>
        <v/>
      </c>
      <c r="F45" s="71" t="str">
        <f t="shared" si="3"/>
        <v/>
      </c>
      <c r="G45" s="26"/>
      <c r="H45" s="26"/>
      <c r="I45" s="26"/>
      <c r="J45" s="26"/>
      <c r="K45" s="26"/>
      <c r="L45" s="26"/>
      <c r="M45" s="26"/>
      <c r="N45" s="26"/>
      <c r="O45" s="27"/>
    </row>
    <row r="46" ht="15.75" customHeight="1">
      <c r="A46" s="47"/>
      <c r="B46" s="29">
        <v>42.0</v>
      </c>
      <c r="C46" s="22" t="s">
        <v>64</v>
      </c>
      <c r="D46" s="74" t="s">
        <v>65</v>
      </c>
      <c r="E46" s="70" t="str">
        <f t="shared" si="2"/>
        <v/>
      </c>
      <c r="F46" s="71" t="str">
        <f t="shared" si="3"/>
        <v/>
      </c>
      <c r="G46" s="26"/>
      <c r="H46" s="26"/>
      <c r="I46" s="26"/>
      <c r="J46" s="26"/>
      <c r="K46" s="26"/>
      <c r="L46" s="26"/>
      <c r="M46" s="26"/>
      <c r="N46" s="26"/>
      <c r="O46" s="27"/>
    </row>
    <row r="47" ht="15.75" customHeight="1">
      <c r="A47" s="68"/>
      <c r="B47" s="21">
        <v>43.0</v>
      </c>
      <c r="C47" s="30" t="s">
        <v>66</v>
      </c>
      <c r="D47" s="72" t="s">
        <v>67</v>
      </c>
      <c r="E47" s="70" t="str">
        <f t="shared" si="2"/>
        <v>6번 중 2번 참여</v>
      </c>
      <c r="F47" s="71">
        <f t="shared" si="3"/>
        <v>0.3333333333</v>
      </c>
      <c r="G47" s="26" t="s">
        <v>25</v>
      </c>
      <c r="H47" s="26" t="s">
        <v>25</v>
      </c>
      <c r="I47" s="26" t="s">
        <v>80</v>
      </c>
      <c r="J47" s="26"/>
      <c r="K47" s="26"/>
      <c r="L47" s="26"/>
      <c r="M47" s="26"/>
      <c r="N47" s="26"/>
      <c r="O47" s="27"/>
    </row>
    <row r="48" ht="15.75" customHeight="1">
      <c r="A48" s="47"/>
      <c r="B48" s="29">
        <v>44.0</v>
      </c>
      <c r="C48" s="75" t="s">
        <v>68</v>
      </c>
      <c r="D48" s="76" t="s">
        <v>69</v>
      </c>
      <c r="E48" s="70" t="str">
        <f t="shared" si="2"/>
        <v/>
      </c>
      <c r="F48" s="71" t="str">
        <f t="shared" si="3"/>
        <v/>
      </c>
      <c r="G48" s="26"/>
      <c r="H48" s="26"/>
      <c r="I48" s="26"/>
      <c r="J48" s="26"/>
      <c r="K48" s="26"/>
      <c r="L48" s="26"/>
      <c r="M48" s="26"/>
      <c r="N48" s="26"/>
      <c r="O48" s="27"/>
    </row>
    <row r="49" ht="15.75" customHeight="1">
      <c r="A49" s="68"/>
      <c r="B49" s="21">
        <v>45.0</v>
      </c>
      <c r="C49" s="30" t="s">
        <v>74</v>
      </c>
      <c r="D49" s="72" t="s">
        <v>75</v>
      </c>
      <c r="E49" s="70" t="str">
        <f t="shared" si="2"/>
        <v/>
      </c>
      <c r="F49" s="71" t="str">
        <f t="shared" si="3"/>
        <v/>
      </c>
      <c r="G49" s="26"/>
      <c r="H49" s="26"/>
      <c r="I49" s="26"/>
      <c r="J49" s="26"/>
      <c r="K49" s="26"/>
      <c r="L49" s="26"/>
      <c r="M49" s="26"/>
      <c r="N49" s="26"/>
      <c r="O49" s="27"/>
    </row>
    <row r="50" ht="15.75" customHeight="1">
      <c r="A50" s="47"/>
      <c r="B50" s="29">
        <v>46.0</v>
      </c>
      <c r="C50" s="22" t="s">
        <v>76</v>
      </c>
      <c r="D50" s="69" t="s">
        <v>77</v>
      </c>
      <c r="E50" s="70" t="str">
        <f t="shared" si="2"/>
        <v/>
      </c>
      <c r="F50" s="71" t="str">
        <f t="shared" si="3"/>
        <v/>
      </c>
      <c r="G50" s="26"/>
      <c r="H50" s="26"/>
      <c r="I50" s="26"/>
      <c r="J50" s="26"/>
      <c r="K50" s="26"/>
      <c r="L50" s="26"/>
      <c r="M50" s="26"/>
      <c r="N50" s="26"/>
      <c r="O50" s="27"/>
    </row>
    <row r="51" ht="15.75" customHeight="1">
      <c r="A51" s="68"/>
      <c r="B51" s="21">
        <v>47.0</v>
      </c>
      <c r="C51" s="30" t="s">
        <v>78</v>
      </c>
      <c r="D51" s="78" t="s">
        <v>79</v>
      </c>
      <c r="E51" s="70" t="str">
        <f t="shared" si="2"/>
        <v>6번 중 8번 참여</v>
      </c>
      <c r="F51" s="71">
        <f t="shared" si="3"/>
        <v>1.333333333</v>
      </c>
      <c r="G51" s="26" t="s">
        <v>25</v>
      </c>
      <c r="H51" s="26" t="s">
        <v>25</v>
      </c>
      <c r="I51" s="26" t="s">
        <v>25</v>
      </c>
      <c r="J51" s="26" t="s">
        <v>25</v>
      </c>
      <c r="K51" s="26" t="s">
        <v>25</v>
      </c>
      <c r="L51" s="26" t="s">
        <v>25</v>
      </c>
      <c r="M51" s="26" t="s">
        <v>25</v>
      </c>
      <c r="N51" s="26" t="s">
        <v>25</v>
      </c>
      <c r="O51" s="27"/>
    </row>
    <row r="52" ht="15.75" customHeight="1">
      <c r="A52" s="47"/>
      <c r="B52" s="29">
        <v>48.0</v>
      </c>
      <c r="C52" s="30" t="s">
        <v>81</v>
      </c>
      <c r="D52" s="30" t="s">
        <v>82</v>
      </c>
      <c r="E52" s="70" t="str">
        <f t="shared" si="2"/>
        <v>6번 중 6번 참여</v>
      </c>
      <c r="F52" s="71">
        <f t="shared" si="3"/>
        <v>1</v>
      </c>
      <c r="G52" s="26" t="s">
        <v>25</v>
      </c>
      <c r="H52" s="26"/>
      <c r="I52" s="26" t="s">
        <v>25</v>
      </c>
      <c r="J52" s="26" t="s">
        <v>25</v>
      </c>
      <c r="K52" s="26" t="s">
        <v>25</v>
      </c>
      <c r="L52" s="26" t="s">
        <v>25</v>
      </c>
      <c r="M52" s="26" t="s">
        <v>80</v>
      </c>
      <c r="N52" s="26" t="s">
        <v>25</v>
      </c>
      <c r="O52" s="27"/>
    </row>
    <row r="53" ht="15.75" customHeight="1">
      <c r="A53" s="68"/>
      <c r="B53" s="21">
        <v>49.0</v>
      </c>
      <c r="C53" s="30" t="s">
        <v>83</v>
      </c>
      <c r="D53" s="72" t="s">
        <v>84</v>
      </c>
      <c r="E53" s="70" t="str">
        <f t="shared" si="2"/>
        <v>6번 중 1번 참여</v>
      </c>
      <c r="F53" s="71">
        <f t="shared" si="3"/>
        <v>0.1666666667</v>
      </c>
      <c r="G53" s="26"/>
      <c r="H53" s="26"/>
      <c r="I53" s="26"/>
      <c r="J53" s="26"/>
      <c r="K53" s="26" t="s">
        <v>25</v>
      </c>
      <c r="L53" s="26"/>
      <c r="M53" s="26"/>
      <c r="N53" s="26"/>
      <c r="O53" s="27"/>
    </row>
    <row r="54" ht="15.75" customHeight="1">
      <c r="A54" s="47"/>
      <c r="B54" s="29">
        <v>50.0</v>
      </c>
      <c r="C54" s="30" t="s">
        <v>85</v>
      </c>
      <c r="D54" s="72" t="s">
        <v>86</v>
      </c>
      <c r="E54" s="70" t="str">
        <f t="shared" si="2"/>
        <v>6번 중 5번 참여</v>
      </c>
      <c r="F54" s="71">
        <f t="shared" si="3"/>
        <v>0.8333333333</v>
      </c>
      <c r="G54" s="26" t="s">
        <v>25</v>
      </c>
      <c r="H54" s="26"/>
      <c r="I54" s="26" t="s">
        <v>25</v>
      </c>
      <c r="J54" s="26" t="s">
        <v>25</v>
      </c>
      <c r="K54" s="26" t="s">
        <v>25</v>
      </c>
      <c r="L54" s="26" t="s">
        <v>80</v>
      </c>
      <c r="M54" s="26" t="s">
        <v>25</v>
      </c>
      <c r="N54" s="26" t="s">
        <v>80</v>
      </c>
      <c r="O54" s="27"/>
    </row>
    <row r="55" ht="15.75" customHeight="1">
      <c r="A55" s="68"/>
      <c r="B55" s="21">
        <v>51.0</v>
      </c>
      <c r="C55" s="22" t="s">
        <v>87</v>
      </c>
      <c r="D55" s="69" t="s">
        <v>88</v>
      </c>
      <c r="E55" s="70" t="str">
        <f t="shared" si="2"/>
        <v/>
      </c>
      <c r="F55" s="71" t="str">
        <f t="shared" si="3"/>
        <v/>
      </c>
      <c r="G55" s="26"/>
      <c r="H55" s="26"/>
      <c r="I55" s="26"/>
      <c r="J55" s="26"/>
      <c r="K55" s="26"/>
      <c r="L55" s="26"/>
      <c r="M55" s="26"/>
      <c r="N55" s="26"/>
      <c r="O55" s="27"/>
    </row>
    <row r="56" ht="15.75" customHeight="1">
      <c r="A56" s="47"/>
      <c r="B56" s="29">
        <v>52.0</v>
      </c>
      <c r="C56" s="39" t="s">
        <v>89</v>
      </c>
      <c r="D56" s="79" t="s">
        <v>90</v>
      </c>
      <c r="E56" s="70" t="str">
        <f t="shared" si="2"/>
        <v/>
      </c>
      <c r="F56" s="71" t="str">
        <f t="shared" si="3"/>
        <v/>
      </c>
      <c r="G56" s="26"/>
      <c r="H56" s="26"/>
      <c r="I56" s="26"/>
      <c r="J56" s="26"/>
      <c r="K56" s="26"/>
      <c r="L56" s="26"/>
      <c r="M56" s="26"/>
      <c r="N56" s="26"/>
      <c r="O56" s="27"/>
    </row>
    <row r="57" ht="15.75" customHeight="1">
      <c r="A57" s="68"/>
      <c r="B57" s="21">
        <v>53.0</v>
      </c>
      <c r="C57" s="44" t="s">
        <v>91</v>
      </c>
      <c r="D57" s="44" t="s">
        <v>92</v>
      </c>
      <c r="E57" s="70" t="str">
        <f t="shared" si="2"/>
        <v>6번 중 6번 참여</v>
      </c>
      <c r="F57" s="71">
        <f t="shared" si="3"/>
        <v>1</v>
      </c>
      <c r="G57" s="26" t="s">
        <v>25</v>
      </c>
      <c r="H57" s="26" t="s">
        <v>25</v>
      </c>
      <c r="I57" s="26"/>
      <c r="J57" s="26" t="s">
        <v>25</v>
      </c>
      <c r="K57" s="26" t="s">
        <v>25</v>
      </c>
      <c r="L57" s="26" t="s">
        <v>25</v>
      </c>
      <c r="M57" s="26" t="s">
        <v>25</v>
      </c>
      <c r="N57" s="26"/>
      <c r="O57" s="27"/>
    </row>
    <row r="58" ht="15.75" customHeight="1">
      <c r="A58" s="47"/>
      <c r="B58" s="29">
        <v>54.0</v>
      </c>
      <c r="C58" s="30" t="s">
        <v>93</v>
      </c>
      <c r="D58" s="30" t="s">
        <v>94</v>
      </c>
      <c r="E58" s="70" t="str">
        <f t="shared" si="2"/>
        <v/>
      </c>
      <c r="F58" s="71" t="str">
        <f t="shared" si="3"/>
        <v/>
      </c>
      <c r="G58" s="26"/>
      <c r="H58" s="26"/>
      <c r="I58" s="26"/>
      <c r="J58" s="26"/>
      <c r="K58" s="26"/>
      <c r="L58" s="26"/>
      <c r="M58" s="26"/>
      <c r="N58" s="26"/>
      <c r="O58" s="27"/>
    </row>
    <row r="59" ht="15.75" customHeight="1">
      <c r="A59" s="68"/>
      <c r="B59" s="21">
        <v>55.0</v>
      </c>
      <c r="C59" s="22" t="s">
        <v>95</v>
      </c>
      <c r="D59" s="22" t="s">
        <v>96</v>
      </c>
      <c r="E59" s="70" t="str">
        <f t="shared" si="2"/>
        <v>6번 중 6번 참여</v>
      </c>
      <c r="F59" s="71">
        <f t="shared" si="3"/>
        <v>1</v>
      </c>
      <c r="G59" s="26" t="s">
        <v>25</v>
      </c>
      <c r="H59" s="26" t="s">
        <v>25</v>
      </c>
      <c r="I59" s="26" t="s">
        <v>25</v>
      </c>
      <c r="J59" s="26" t="s">
        <v>25</v>
      </c>
      <c r="K59" s="26"/>
      <c r="L59" s="26" t="s">
        <v>25</v>
      </c>
      <c r="M59" s="26" t="s">
        <v>25</v>
      </c>
      <c r="N59" s="26"/>
      <c r="O59" s="27"/>
    </row>
    <row r="60" ht="15.75" customHeight="1">
      <c r="A60" s="47"/>
      <c r="B60" s="29">
        <v>56.0</v>
      </c>
      <c r="C60" s="30" t="s">
        <v>97</v>
      </c>
      <c r="D60" s="30" t="s">
        <v>98</v>
      </c>
      <c r="E60" s="70" t="str">
        <f t="shared" si="2"/>
        <v>6번 중 8번 참여</v>
      </c>
      <c r="F60" s="71">
        <f t="shared" si="3"/>
        <v>1.333333333</v>
      </c>
      <c r="G60" s="26" t="s">
        <v>25</v>
      </c>
      <c r="H60" s="26" t="s">
        <v>25</v>
      </c>
      <c r="I60" s="26" t="s">
        <v>25</v>
      </c>
      <c r="J60" s="26" t="s">
        <v>25</v>
      </c>
      <c r="K60" s="26" t="s">
        <v>25</v>
      </c>
      <c r="L60" s="26" t="s">
        <v>25</v>
      </c>
      <c r="M60" s="26" t="s">
        <v>25</v>
      </c>
      <c r="N60" s="26" t="s">
        <v>25</v>
      </c>
      <c r="O60" s="27"/>
    </row>
    <row r="61" ht="15.75" customHeight="1">
      <c r="A61" s="68"/>
      <c r="B61" s="21">
        <v>57.0</v>
      </c>
      <c r="C61" s="22" t="s">
        <v>99</v>
      </c>
      <c r="D61" s="22" t="s">
        <v>100</v>
      </c>
      <c r="E61" s="70" t="str">
        <f t="shared" si="2"/>
        <v>6번 중 4번 참여</v>
      </c>
      <c r="F61" s="71">
        <f t="shared" si="3"/>
        <v>0.6666666667</v>
      </c>
      <c r="G61" s="26" t="s">
        <v>25</v>
      </c>
      <c r="H61" s="26" t="s">
        <v>25</v>
      </c>
      <c r="I61" s="26"/>
      <c r="J61" s="26"/>
      <c r="K61" s="26" t="s">
        <v>25</v>
      </c>
      <c r="L61" s="26" t="s">
        <v>25</v>
      </c>
      <c r="M61" s="26"/>
      <c r="N61" s="26"/>
      <c r="O61" s="27"/>
    </row>
    <row r="62" ht="15.75" customHeight="1">
      <c r="A62" s="47"/>
      <c r="B62" s="29">
        <v>58.0</v>
      </c>
      <c r="C62" s="30" t="s">
        <v>101</v>
      </c>
      <c r="D62" s="72" t="s">
        <v>102</v>
      </c>
      <c r="E62" s="70" t="str">
        <f t="shared" si="2"/>
        <v>6번 중 8번 참여</v>
      </c>
      <c r="F62" s="71">
        <f t="shared" si="3"/>
        <v>1.333333333</v>
      </c>
      <c r="G62" s="26" t="s">
        <v>25</v>
      </c>
      <c r="H62" s="26" t="s">
        <v>25</v>
      </c>
      <c r="I62" s="26" t="s">
        <v>25</v>
      </c>
      <c r="J62" s="26" t="s">
        <v>25</v>
      </c>
      <c r="K62" s="26" t="s">
        <v>25</v>
      </c>
      <c r="L62" s="26" t="s">
        <v>25</v>
      </c>
      <c r="M62" s="26" t="s">
        <v>25</v>
      </c>
      <c r="N62" s="26" t="s">
        <v>25</v>
      </c>
      <c r="O62" s="27"/>
    </row>
    <row r="63" ht="15.75" customHeight="1">
      <c r="A63" s="68"/>
      <c r="B63" s="21">
        <v>59.0</v>
      </c>
      <c r="C63" s="22" t="s">
        <v>103</v>
      </c>
      <c r="D63" s="22" t="s">
        <v>104</v>
      </c>
      <c r="E63" s="70" t="str">
        <f t="shared" si="2"/>
        <v>6번 중 6번 참여</v>
      </c>
      <c r="F63" s="71">
        <f t="shared" si="3"/>
        <v>1</v>
      </c>
      <c r="G63" s="26" t="s">
        <v>25</v>
      </c>
      <c r="H63" s="26" t="s">
        <v>25</v>
      </c>
      <c r="I63" s="26" t="s">
        <v>25</v>
      </c>
      <c r="J63" s="26" t="s">
        <v>25</v>
      </c>
      <c r="K63" s="26" t="s">
        <v>25</v>
      </c>
      <c r="L63" s="26" t="s">
        <v>25</v>
      </c>
      <c r="M63" s="26" t="s">
        <v>80</v>
      </c>
      <c r="N63" s="26"/>
      <c r="O63" s="27"/>
    </row>
    <row r="64" ht="15.75" customHeight="1">
      <c r="A64" s="47"/>
      <c r="B64" s="29">
        <v>60.0</v>
      </c>
      <c r="C64" s="43" t="s">
        <v>105</v>
      </c>
      <c r="D64" s="80" t="s">
        <v>106</v>
      </c>
      <c r="E64" s="70" t="str">
        <f t="shared" si="2"/>
        <v>6번 중 6번 참여</v>
      </c>
      <c r="F64" s="71">
        <f t="shared" si="3"/>
        <v>1</v>
      </c>
      <c r="G64" s="26" t="s">
        <v>25</v>
      </c>
      <c r="H64" s="26" t="s">
        <v>25</v>
      </c>
      <c r="I64" s="26" t="s">
        <v>25</v>
      </c>
      <c r="J64" s="26" t="s">
        <v>25</v>
      </c>
      <c r="K64" s="26" t="s">
        <v>25</v>
      </c>
      <c r="L64" s="26" t="s">
        <v>25</v>
      </c>
      <c r="M64" s="26"/>
      <c r="N64" s="26"/>
      <c r="O64" s="27"/>
    </row>
    <row r="65" ht="15.75" customHeight="1">
      <c r="A65" s="68"/>
      <c r="B65" s="21">
        <v>61.0</v>
      </c>
      <c r="C65" s="44" t="s">
        <v>107</v>
      </c>
      <c r="D65" s="81" t="s">
        <v>108</v>
      </c>
      <c r="E65" s="70" t="str">
        <f t="shared" ref="E65:E66" si="4">IF(COUNTIF(G65:I65, "완료")=0, "", COUNTIF($G$4:$N$4, "완료") &amp; "번 중 " &amp; COUNTIF(G65:I65, "완료") &amp; "번 참여")
</f>
        <v/>
      </c>
      <c r="F65" s="71" t="str">
        <f t="shared" ref="F65:F66" si="5">IF(COUNTIF($G$4:$N$4, "완료")=0, "", IF(COUNTIF(G65:I65, "완료")=0, "", COUNTIF(G65:I65, "완료") / COUNTIF($G$4:$N$4, "완료")))
</f>
        <v/>
      </c>
      <c r="G65" s="26"/>
      <c r="H65" s="26"/>
      <c r="I65" s="26"/>
      <c r="J65" s="26"/>
      <c r="K65" s="26"/>
      <c r="L65" s="26"/>
      <c r="M65" s="26"/>
      <c r="N65" s="26"/>
      <c r="O65" s="26"/>
    </row>
    <row r="66" ht="15.75" customHeight="1">
      <c r="A66" s="47"/>
      <c r="B66" s="29">
        <v>62.0</v>
      </c>
      <c r="C66" s="22" t="s">
        <v>109</v>
      </c>
      <c r="D66" s="22" t="s">
        <v>110</v>
      </c>
      <c r="E66" s="70" t="str">
        <f t="shared" si="4"/>
        <v>6번 중 2번 참여</v>
      </c>
      <c r="F66" s="71">
        <f t="shared" si="5"/>
        <v>0.3333333333</v>
      </c>
      <c r="G66" s="95" t="s">
        <v>25</v>
      </c>
      <c r="H66" s="96"/>
      <c r="I66" s="95" t="s">
        <v>25</v>
      </c>
      <c r="J66" s="26" t="s">
        <v>25</v>
      </c>
      <c r="K66" s="26" t="s">
        <v>25</v>
      </c>
      <c r="L66" s="26" t="s">
        <v>25</v>
      </c>
      <c r="M66" s="26" t="s">
        <v>25</v>
      </c>
      <c r="N66" s="26" t="s">
        <v>25</v>
      </c>
      <c r="O66" s="26"/>
    </row>
    <row r="67" ht="15.75" customHeight="1">
      <c r="A67" s="68"/>
      <c r="B67" s="21">
        <v>63.0</v>
      </c>
      <c r="C67" s="30" t="s">
        <v>111</v>
      </c>
      <c r="D67" s="30" t="s">
        <v>112</v>
      </c>
      <c r="E67" s="70" t="str">
        <f t="shared" ref="E67:E124" si="6">IF(COUNTIF(G67:N67, "완료")=0, "", COUNTIF($G$4:$N$4, "완료") &amp; "번 중 " &amp; COUNTIF(G67:N67, "완료") &amp; "번 참여")
</f>
        <v/>
      </c>
      <c r="F67" s="71" t="str">
        <f t="shared" ref="F67:F124" si="7">IF(COUNTIF($G$4:$N$4, "완료")=0, "", IF(COUNTIF(G67:N67, "완료")=0, "", COUNTIF(G67:N67, "완료") / COUNTIF($G$4:$N$4, "완료")))
</f>
        <v/>
      </c>
      <c r="G67" s="96"/>
      <c r="H67" s="96"/>
      <c r="I67" s="96"/>
      <c r="J67" s="96"/>
      <c r="K67" s="96"/>
      <c r="L67" s="96"/>
      <c r="M67" s="26"/>
      <c r="N67" s="26"/>
      <c r="O67" s="27"/>
    </row>
    <row r="68" ht="15.75" customHeight="1">
      <c r="A68" s="47"/>
      <c r="B68" s="29">
        <v>64.0</v>
      </c>
      <c r="C68" s="22" t="s">
        <v>113</v>
      </c>
      <c r="D68" s="22" t="s">
        <v>114</v>
      </c>
      <c r="E68" s="70" t="str">
        <f t="shared" si="6"/>
        <v>6번 중 8번 참여</v>
      </c>
      <c r="F68" s="71">
        <f t="shared" si="7"/>
        <v>1.333333333</v>
      </c>
      <c r="G68" s="26" t="s">
        <v>25</v>
      </c>
      <c r="H68" s="26" t="s">
        <v>25</v>
      </c>
      <c r="I68" s="26" t="s">
        <v>25</v>
      </c>
      <c r="J68" s="26" t="s">
        <v>25</v>
      </c>
      <c r="K68" s="26" t="s">
        <v>25</v>
      </c>
      <c r="L68" s="26" t="s">
        <v>25</v>
      </c>
      <c r="M68" s="26" t="s">
        <v>25</v>
      </c>
      <c r="N68" s="26" t="s">
        <v>25</v>
      </c>
      <c r="O68" s="27"/>
    </row>
    <row r="69" ht="15.75" customHeight="1">
      <c r="A69" s="68"/>
      <c r="B69" s="21">
        <v>65.0</v>
      </c>
      <c r="C69" s="82" t="s">
        <v>115</v>
      </c>
      <c r="D69" s="83" t="s">
        <v>116</v>
      </c>
      <c r="E69" s="70" t="str">
        <f t="shared" si="6"/>
        <v/>
      </c>
      <c r="F69" s="71" t="str">
        <f t="shared" si="7"/>
        <v/>
      </c>
      <c r="G69" s="26"/>
      <c r="H69" s="26"/>
      <c r="I69" s="26"/>
      <c r="J69" s="26"/>
      <c r="K69" s="26"/>
      <c r="L69" s="26"/>
      <c r="M69" s="26"/>
      <c r="N69" s="26"/>
      <c r="O69" s="27"/>
    </row>
    <row r="70" ht="15.75" customHeight="1">
      <c r="A70" s="47" t="s">
        <v>243</v>
      </c>
      <c r="B70" s="48">
        <v>66.0</v>
      </c>
      <c r="C70" s="84" t="s">
        <v>118</v>
      </c>
      <c r="D70" s="50" t="s">
        <v>119</v>
      </c>
      <c r="E70" s="70" t="str">
        <f t="shared" si="6"/>
        <v>6번 중 7번 참여</v>
      </c>
      <c r="F70" s="71">
        <f t="shared" si="7"/>
        <v>1.166666667</v>
      </c>
      <c r="G70" s="26" t="s">
        <v>25</v>
      </c>
      <c r="H70" s="26" t="s">
        <v>25</v>
      </c>
      <c r="I70" s="26" t="s">
        <v>25</v>
      </c>
      <c r="J70" s="26" t="s">
        <v>25</v>
      </c>
      <c r="K70" s="26" t="s">
        <v>25</v>
      </c>
      <c r="L70" s="26" t="s">
        <v>25</v>
      </c>
      <c r="M70" s="26" t="s">
        <v>25</v>
      </c>
      <c r="N70" s="26"/>
      <c r="O70" s="27"/>
    </row>
    <row r="71" ht="15.75" customHeight="1">
      <c r="A71" s="47"/>
      <c r="B71" s="29">
        <v>67.0</v>
      </c>
      <c r="C71" s="30" t="s">
        <v>120</v>
      </c>
      <c r="D71" s="30" t="s">
        <v>121</v>
      </c>
      <c r="E71" s="70" t="str">
        <f t="shared" si="6"/>
        <v>6번 중 7번 참여</v>
      </c>
      <c r="F71" s="71">
        <f t="shared" si="7"/>
        <v>1.166666667</v>
      </c>
      <c r="G71" s="26" t="s">
        <v>25</v>
      </c>
      <c r="H71" s="26" t="s">
        <v>25</v>
      </c>
      <c r="I71" s="26" t="s">
        <v>25</v>
      </c>
      <c r="J71" s="26" t="s">
        <v>25</v>
      </c>
      <c r="K71" s="26"/>
      <c r="L71" s="26" t="s">
        <v>25</v>
      </c>
      <c r="M71" s="26" t="s">
        <v>25</v>
      </c>
      <c r="N71" s="26" t="s">
        <v>25</v>
      </c>
      <c r="O71" s="27"/>
    </row>
    <row r="72" ht="15.75" customHeight="1">
      <c r="A72" s="47"/>
      <c r="B72" s="29">
        <v>68.0</v>
      </c>
      <c r="C72" s="30" t="s">
        <v>122</v>
      </c>
      <c r="D72" s="78" t="s">
        <v>123</v>
      </c>
      <c r="E72" s="70" t="str">
        <f t="shared" si="6"/>
        <v/>
      </c>
      <c r="F72" s="71" t="str">
        <f t="shared" si="7"/>
        <v/>
      </c>
      <c r="G72" s="26"/>
      <c r="H72" s="26"/>
      <c r="I72" s="26"/>
      <c r="J72" s="26"/>
      <c r="K72" s="26"/>
      <c r="L72" s="26"/>
      <c r="M72" s="26"/>
      <c r="N72" s="26"/>
      <c r="O72" s="27"/>
    </row>
    <row r="73" ht="15.75" customHeight="1">
      <c r="A73" s="68"/>
      <c r="B73" s="21">
        <v>69.0</v>
      </c>
      <c r="C73" s="22" t="s">
        <v>124</v>
      </c>
      <c r="D73" s="22" t="s">
        <v>125</v>
      </c>
      <c r="E73" s="70" t="str">
        <f t="shared" si="6"/>
        <v>6번 중 4번 참여</v>
      </c>
      <c r="F73" s="71">
        <f t="shared" si="7"/>
        <v>0.6666666667</v>
      </c>
      <c r="G73" s="26" t="s">
        <v>25</v>
      </c>
      <c r="H73" s="26" t="s">
        <v>25</v>
      </c>
      <c r="I73" s="26" t="s">
        <v>25</v>
      </c>
      <c r="J73" s="26" t="s">
        <v>25</v>
      </c>
      <c r="K73" s="26"/>
      <c r="L73" s="26"/>
      <c r="M73" s="26"/>
      <c r="N73" s="26"/>
      <c r="O73" s="27"/>
    </row>
    <row r="74" ht="15.75" customHeight="1">
      <c r="A74" s="47"/>
      <c r="B74" s="29">
        <v>70.0</v>
      </c>
      <c r="C74" s="44" t="s">
        <v>126</v>
      </c>
      <c r="D74" s="81" t="s">
        <v>127</v>
      </c>
      <c r="E74" s="70" t="str">
        <f t="shared" si="6"/>
        <v/>
      </c>
      <c r="F74" s="71" t="str">
        <f t="shared" si="7"/>
        <v/>
      </c>
      <c r="G74" s="26"/>
      <c r="H74" s="26"/>
      <c r="I74" s="26"/>
      <c r="J74" s="26"/>
      <c r="K74" s="26"/>
      <c r="L74" s="26"/>
      <c r="M74" s="26"/>
      <c r="N74" s="26"/>
      <c r="O74" s="27"/>
    </row>
    <row r="75" ht="15.75" customHeight="1">
      <c r="A75" s="68"/>
      <c r="B75" s="21">
        <v>71.0</v>
      </c>
      <c r="C75" s="22" t="s">
        <v>128</v>
      </c>
      <c r="D75" s="74" t="s">
        <v>129</v>
      </c>
      <c r="E75" s="70" t="str">
        <f t="shared" si="6"/>
        <v>6번 중 3번 참여</v>
      </c>
      <c r="F75" s="71">
        <f t="shared" si="7"/>
        <v>0.5</v>
      </c>
      <c r="G75" s="26" t="s">
        <v>25</v>
      </c>
      <c r="H75" s="26" t="s">
        <v>25</v>
      </c>
      <c r="I75" s="26" t="s">
        <v>25</v>
      </c>
      <c r="J75" s="26"/>
      <c r="K75" s="26"/>
      <c r="L75" s="26"/>
      <c r="M75" s="26"/>
      <c r="N75" s="26"/>
      <c r="O75" s="27"/>
    </row>
    <row r="76" ht="15.75" customHeight="1">
      <c r="A76" s="50"/>
      <c r="B76" s="30">
        <v>72.0</v>
      </c>
      <c r="C76" s="30" t="s">
        <v>130</v>
      </c>
      <c r="D76" s="30" t="s">
        <v>131</v>
      </c>
      <c r="E76" s="70" t="str">
        <f t="shared" si="6"/>
        <v/>
      </c>
      <c r="F76" s="71" t="str">
        <f t="shared" si="7"/>
        <v/>
      </c>
      <c r="G76" s="26"/>
      <c r="H76" s="26"/>
      <c r="I76" s="26"/>
      <c r="J76" s="26"/>
      <c r="K76" s="26"/>
      <c r="L76" s="26"/>
      <c r="M76" s="26"/>
      <c r="N76" s="26"/>
      <c r="O76" s="27"/>
    </row>
    <row r="77" ht="15.75" customHeight="1">
      <c r="A77" s="30"/>
      <c r="B77" s="30">
        <v>73.0</v>
      </c>
      <c r="C77" s="30" t="s">
        <v>132</v>
      </c>
      <c r="D77" s="22" t="s">
        <v>133</v>
      </c>
      <c r="E77" s="70" t="str">
        <f t="shared" si="6"/>
        <v/>
      </c>
      <c r="F77" s="71" t="str">
        <f t="shared" si="7"/>
        <v/>
      </c>
      <c r="G77" s="26"/>
      <c r="H77" s="26"/>
      <c r="I77" s="26"/>
      <c r="J77" s="26"/>
      <c r="K77" s="26"/>
      <c r="L77" s="26"/>
      <c r="M77" s="26"/>
      <c r="N77" s="26"/>
      <c r="O77" s="27"/>
    </row>
    <row r="78" ht="15.75" customHeight="1">
      <c r="A78" s="47"/>
      <c r="B78" s="29">
        <v>74.0</v>
      </c>
      <c r="C78" s="42" t="s">
        <v>28</v>
      </c>
      <c r="D78" s="42" t="s">
        <v>70</v>
      </c>
      <c r="E78" s="70" t="str">
        <f t="shared" si="6"/>
        <v>6번 중 8번 참여</v>
      </c>
      <c r="F78" s="71">
        <f t="shared" si="7"/>
        <v>1.333333333</v>
      </c>
      <c r="G78" s="26" t="s">
        <v>25</v>
      </c>
      <c r="H78" s="26" t="s">
        <v>25</v>
      </c>
      <c r="I78" s="26" t="s">
        <v>25</v>
      </c>
      <c r="J78" s="26" t="s">
        <v>25</v>
      </c>
      <c r="K78" s="26" t="s">
        <v>25</v>
      </c>
      <c r="L78" s="26" t="s">
        <v>25</v>
      </c>
      <c r="M78" s="26" t="s">
        <v>25</v>
      </c>
      <c r="N78" s="26" t="s">
        <v>25</v>
      </c>
      <c r="O78" s="27"/>
    </row>
    <row r="79" ht="15.75" customHeight="1">
      <c r="A79" s="68"/>
      <c r="B79" s="21">
        <v>75.0</v>
      </c>
      <c r="C79" s="30" t="s">
        <v>136</v>
      </c>
      <c r="D79" s="30" t="s">
        <v>137</v>
      </c>
      <c r="E79" s="70" t="str">
        <f t="shared" si="6"/>
        <v/>
      </c>
      <c r="F79" s="71" t="str">
        <f t="shared" si="7"/>
        <v/>
      </c>
      <c r="G79" s="26"/>
      <c r="H79" s="26"/>
      <c r="I79" s="26"/>
      <c r="J79" s="26"/>
      <c r="K79" s="26"/>
      <c r="L79" s="26"/>
      <c r="M79" s="26"/>
      <c r="N79" s="26"/>
      <c r="O79" s="27"/>
    </row>
    <row r="80" ht="15.75" customHeight="1">
      <c r="A80" s="47"/>
      <c r="B80" s="29">
        <v>76.0</v>
      </c>
      <c r="C80" s="22" t="s">
        <v>138</v>
      </c>
      <c r="D80" s="22" t="s">
        <v>139</v>
      </c>
      <c r="E80" s="70" t="str">
        <f t="shared" si="6"/>
        <v/>
      </c>
      <c r="F80" s="71" t="str">
        <f t="shared" si="7"/>
        <v/>
      </c>
      <c r="G80" s="26"/>
      <c r="H80" s="26"/>
      <c r="I80" s="26"/>
      <c r="J80" s="26"/>
      <c r="K80" s="26"/>
      <c r="L80" s="26"/>
      <c r="M80" s="26"/>
      <c r="N80" s="26"/>
      <c r="O80" s="27"/>
    </row>
    <row r="81" ht="15.75" customHeight="1">
      <c r="A81" s="68"/>
      <c r="B81" s="21">
        <v>77.0</v>
      </c>
      <c r="C81" s="30" t="s">
        <v>140</v>
      </c>
      <c r="D81" s="22" t="s">
        <v>141</v>
      </c>
      <c r="E81" s="70" t="str">
        <f t="shared" si="6"/>
        <v>6번 중 7번 참여</v>
      </c>
      <c r="F81" s="71">
        <f t="shared" si="7"/>
        <v>1.166666667</v>
      </c>
      <c r="G81" s="26" t="s">
        <v>25</v>
      </c>
      <c r="H81" s="26"/>
      <c r="I81" s="26" t="s">
        <v>25</v>
      </c>
      <c r="J81" s="26" t="s">
        <v>25</v>
      </c>
      <c r="K81" s="26" t="s">
        <v>25</v>
      </c>
      <c r="L81" s="26" t="s">
        <v>25</v>
      </c>
      <c r="M81" s="26" t="s">
        <v>25</v>
      </c>
      <c r="N81" s="26" t="s">
        <v>25</v>
      </c>
      <c r="O81" s="27"/>
    </row>
    <row r="82" ht="15.75" customHeight="1">
      <c r="A82" s="47"/>
      <c r="B82" s="29">
        <v>78.0</v>
      </c>
      <c r="C82" s="22" t="s">
        <v>142</v>
      </c>
      <c r="D82" s="22" t="s">
        <v>143</v>
      </c>
      <c r="E82" s="70" t="str">
        <f t="shared" si="6"/>
        <v/>
      </c>
      <c r="F82" s="71" t="str">
        <f t="shared" si="7"/>
        <v/>
      </c>
      <c r="G82" s="26"/>
      <c r="H82" s="26"/>
      <c r="I82" s="26"/>
      <c r="J82" s="26"/>
      <c r="K82" s="26"/>
      <c r="L82" s="26"/>
      <c r="M82" s="26"/>
      <c r="N82" s="26"/>
      <c r="O82" s="27"/>
    </row>
    <row r="83" ht="15.75" customHeight="1">
      <c r="A83" s="68"/>
      <c r="B83" s="21">
        <v>79.0</v>
      </c>
      <c r="C83" s="30" t="s">
        <v>144</v>
      </c>
      <c r="D83" s="30" t="s">
        <v>145</v>
      </c>
      <c r="E83" s="70" t="str">
        <f t="shared" si="6"/>
        <v/>
      </c>
      <c r="F83" s="71" t="str">
        <f t="shared" si="7"/>
        <v/>
      </c>
      <c r="G83" s="26"/>
      <c r="H83" s="26"/>
      <c r="I83" s="26"/>
      <c r="J83" s="26"/>
      <c r="K83" s="26"/>
      <c r="L83" s="26"/>
      <c r="M83" s="26"/>
      <c r="N83" s="26"/>
      <c r="O83" s="27"/>
    </row>
    <row r="84" ht="15.75" customHeight="1">
      <c r="A84" s="47"/>
      <c r="B84" s="29">
        <v>80.0</v>
      </c>
      <c r="C84" s="22" t="s">
        <v>146</v>
      </c>
      <c r="D84" s="22" t="s">
        <v>147</v>
      </c>
      <c r="E84" s="70" t="str">
        <f t="shared" si="6"/>
        <v>6번 중 8번 참여</v>
      </c>
      <c r="F84" s="71">
        <f t="shared" si="7"/>
        <v>1.333333333</v>
      </c>
      <c r="G84" s="26" t="s">
        <v>25</v>
      </c>
      <c r="H84" s="26" t="s">
        <v>25</v>
      </c>
      <c r="I84" s="26" t="s">
        <v>25</v>
      </c>
      <c r="J84" s="26" t="s">
        <v>25</v>
      </c>
      <c r="K84" s="26" t="s">
        <v>25</v>
      </c>
      <c r="L84" s="26" t="s">
        <v>25</v>
      </c>
      <c r="M84" s="26" t="s">
        <v>25</v>
      </c>
      <c r="N84" s="26" t="s">
        <v>25</v>
      </c>
      <c r="O84" s="27"/>
    </row>
    <row r="85" ht="15.75" customHeight="1">
      <c r="A85" s="68"/>
      <c r="B85" s="21">
        <v>81.0</v>
      </c>
      <c r="C85" s="30" t="s">
        <v>148</v>
      </c>
      <c r="D85" s="30" t="s">
        <v>149</v>
      </c>
      <c r="E85" s="70" t="str">
        <f t="shared" si="6"/>
        <v/>
      </c>
      <c r="F85" s="71" t="str">
        <f t="shared" si="7"/>
        <v/>
      </c>
      <c r="G85" s="26"/>
      <c r="H85" s="26"/>
      <c r="I85" s="26"/>
      <c r="J85" s="26"/>
      <c r="K85" s="26"/>
      <c r="L85" s="26"/>
      <c r="M85" s="26"/>
      <c r="N85" s="26"/>
      <c r="O85" s="27"/>
    </row>
    <row r="86" ht="15.75" customHeight="1">
      <c r="A86" s="47"/>
      <c r="B86" s="29">
        <v>82.0</v>
      </c>
      <c r="C86" s="30" t="s">
        <v>150</v>
      </c>
      <c r="D86" s="78" t="s">
        <v>151</v>
      </c>
      <c r="E86" s="70" t="str">
        <f t="shared" si="6"/>
        <v/>
      </c>
      <c r="F86" s="71" t="str">
        <f t="shared" si="7"/>
        <v/>
      </c>
      <c r="G86" s="26"/>
      <c r="H86" s="26"/>
      <c r="I86" s="26"/>
      <c r="J86" s="26"/>
      <c r="K86" s="26"/>
      <c r="L86" s="26"/>
      <c r="M86" s="26"/>
      <c r="N86" s="26"/>
      <c r="O86" s="27"/>
    </row>
    <row r="87" ht="15.75" customHeight="1">
      <c r="A87" s="68"/>
      <c r="B87" s="21">
        <v>83.0</v>
      </c>
      <c r="C87" s="22" t="s">
        <v>152</v>
      </c>
      <c r="D87" s="22" t="s">
        <v>153</v>
      </c>
      <c r="E87" s="70" t="str">
        <f t="shared" si="6"/>
        <v>6번 중 3번 참여</v>
      </c>
      <c r="F87" s="71">
        <f t="shared" si="7"/>
        <v>0.5</v>
      </c>
      <c r="G87" s="26"/>
      <c r="H87" s="26" t="s">
        <v>25</v>
      </c>
      <c r="I87" s="26" t="s">
        <v>25</v>
      </c>
      <c r="J87" s="26" t="s">
        <v>25</v>
      </c>
      <c r="K87" s="26"/>
      <c r="L87" s="26"/>
      <c r="M87" s="26"/>
      <c r="N87" s="26"/>
      <c r="O87" s="27"/>
    </row>
    <row r="88" ht="15.75" customHeight="1">
      <c r="A88" s="47"/>
      <c r="B88" s="29">
        <v>84.0</v>
      </c>
      <c r="C88" s="30" t="s">
        <v>154</v>
      </c>
      <c r="D88" s="30" t="s">
        <v>155</v>
      </c>
      <c r="E88" s="70" t="str">
        <f t="shared" si="6"/>
        <v>6번 중 8번 참여</v>
      </c>
      <c r="F88" s="71">
        <f t="shared" si="7"/>
        <v>1.333333333</v>
      </c>
      <c r="G88" s="26" t="s">
        <v>25</v>
      </c>
      <c r="H88" s="26" t="s">
        <v>25</v>
      </c>
      <c r="I88" s="26" t="s">
        <v>25</v>
      </c>
      <c r="J88" s="26" t="s">
        <v>25</v>
      </c>
      <c r="K88" s="26" t="s">
        <v>25</v>
      </c>
      <c r="L88" s="26" t="s">
        <v>25</v>
      </c>
      <c r="M88" s="26" t="s">
        <v>25</v>
      </c>
      <c r="N88" s="26" t="s">
        <v>25</v>
      </c>
      <c r="O88" s="27"/>
    </row>
    <row r="89" ht="15.75" customHeight="1">
      <c r="A89" s="68"/>
      <c r="B89" s="21">
        <v>85.0</v>
      </c>
      <c r="C89" s="22" t="s">
        <v>156</v>
      </c>
      <c r="D89" s="22" t="s">
        <v>157</v>
      </c>
      <c r="E89" s="70" t="str">
        <f t="shared" si="6"/>
        <v>6번 중 7번 참여</v>
      </c>
      <c r="F89" s="71">
        <f t="shared" si="7"/>
        <v>1.166666667</v>
      </c>
      <c r="G89" s="26"/>
      <c r="H89" s="26" t="s">
        <v>25</v>
      </c>
      <c r="I89" s="26" t="s">
        <v>25</v>
      </c>
      <c r="J89" s="26" t="s">
        <v>25</v>
      </c>
      <c r="K89" s="26" t="s">
        <v>25</v>
      </c>
      <c r="L89" s="26" t="s">
        <v>25</v>
      </c>
      <c r="M89" s="26" t="s">
        <v>25</v>
      </c>
      <c r="N89" s="26" t="s">
        <v>25</v>
      </c>
      <c r="O89" s="27"/>
    </row>
    <row r="90" ht="15.75" customHeight="1">
      <c r="A90" s="47"/>
      <c r="B90" s="29">
        <v>86.0</v>
      </c>
      <c r="C90" s="42" t="s">
        <v>158</v>
      </c>
      <c r="D90" s="42" t="s">
        <v>159</v>
      </c>
      <c r="E90" s="70" t="str">
        <f t="shared" si="6"/>
        <v>6번 중 6번 참여</v>
      </c>
      <c r="F90" s="71">
        <f t="shared" si="7"/>
        <v>1</v>
      </c>
      <c r="G90" s="26" t="s">
        <v>25</v>
      </c>
      <c r="H90" s="26" t="s">
        <v>25</v>
      </c>
      <c r="I90" s="26" t="s">
        <v>25</v>
      </c>
      <c r="J90" s="26" t="s">
        <v>25</v>
      </c>
      <c r="K90" s="26" t="s">
        <v>25</v>
      </c>
      <c r="L90" s="26" t="s">
        <v>25</v>
      </c>
      <c r="M90" s="26" t="s">
        <v>80</v>
      </c>
      <c r="N90" s="26"/>
      <c r="O90" s="27"/>
    </row>
    <row r="91" ht="15.75" customHeight="1">
      <c r="A91" s="68"/>
      <c r="B91" s="21">
        <v>87.0</v>
      </c>
      <c r="C91" s="42" t="s">
        <v>160</v>
      </c>
      <c r="D91" s="42" t="s">
        <v>161</v>
      </c>
      <c r="E91" s="70" t="str">
        <f t="shared" si="6"/>
        <v>6번 중 7번 참여</v>
      </c>
      <c r="F91" s="71">
        <f t="shared" si="7"/>
        <v>1.166666667</v>
      </c>
      <c r="G91" s="26" t="s">
        <v>25</v>
      </c>
      <c r="H91" s="26" t="s">
        <v>25</v>
      </c>
      <c r="I91" s="26" t="s">
        <v>25</v>
      </c>
      <c r="J91" s="26" t="s">
        <v>25</v>
      </c>
      <c r="K91" s="26" t="s">
        <v>25</v>
      </c>
      <c r="L91" s="26" t="s">
        <v>25</v>
      </c>
      <c r="M91" s="26"/>
      <c r="N91" s="26" t="s">
        <v>25</v>
      </c>
      <c r="O91" s="27"/>
    </row>
    <row r="92" ht="15.75" customHeight="1">
      <c r="A92" s="47"/>
      <c r="B92" s="29">
        <v>88.0</v>
      </c>
      <c r="C92" s="30" t="s">
        <v>162</v>
      </c>
      <c r="D92" s="30" t="s">
        <v>163</v>
      </c>
      <c r="E92" s="70" t="str">
        <f t="shared" si="6"/>
        <v>6번 중 5번 참여</v>
      </c>
      <c r="F92" s="71">
        <f t="shared" si="7"/>
        <v>0.8333333333</v>
      </c>
      <c r="G92" s="26" t="s">
        <v>25</v>
      </c>
      <c r="H92" s="26" t="s">
        <v>25</v>
      </c>
      <c r="I92" s="26" t="s">
        <v>25</v>
      </c>
      <c r="J92" s="26"/>
      <c r="K92" s="26" t="s">
        <v>25</v>
      </c>
      <c r="L92" s="26" t="s">
        <v>25</v>
      </c>
      <c r="M92" s="26"/>
      <c r="N92" s="26"/>
      <c r="O92" s="27"/>
    </row>
    <row r="93" ht="15.75" customHeight="1">
      <c r="A93" s="68"/>
      <c r="B93" s="21">
        <v>89.0</v>
      </c>
      <c r="C93" s="22" t="s">
        <v>164</v>
      </c>
      <c r="D93" s="22" t="s">
        <v>165</v>
      </c>
      <c r="E93" s="70" t="str">
        <f t="shared" si="6"/>
        <v>6번 중 6번 참여</v>
      </c>
      <c r="F93" s="71">
        <f t="shared" si="7"/>
        <v>1</v>
      </c>
      <c r="G93" s="26" t="s">
        <v>25</v>
      </c>
      <c r="H93" s="26" t="s">
        <v>25</v>
      </c>
      <c r="I93" s="26" t="s">
        <v>25</v>
      </c>
      <c r="J93" s="26" t="s">
        <v>25</v>
      </c>
      <c r="K93" s="26" t="s">
        <v>25</v>
      </c>
      <c r="L93" s="26" t="s">
        <v>25</v>
      </c>
      <c r="M93" s="26" t="s">
        <v>80</v>
      </c>
      <c r="N93" s="26" t="s">
        <v>80</v>
      </c>
      <c r="O93" s="27"/>
    </row>
    <row r="94" ht="15.75" customHeight="1">
      <c r="A94" s="47"/>
      <c r="B94" s="29">
        <v>90.0</v>
      </c>
      <c r="C94" s="42" t="s">
        <v>166</v>
      </c>
      <c r="D94" s="42" t="s">
        <v>167</v>
      </c>
      <c r="E94" s="70" t="str">
        <f t="shared" si="6"/>
        <v>6번 중 7번 참여</v>
      </c>
      <c r="F94" s="71">
        <f t="shared" si="7"/>
        <v>1.166666667</v>
      </c>
      <c r="G94" s="26" t="s">
        <v>25</v>
      </c>
      <c r="H94" s="26" t="s">
        <v>25</v>
      </c>
      <c r="I94" s="26" t="s">
        <v>25</v>
      </c>
      <c r="J94" s="26" t="s">
        <v>25</v>
      </c>
      <c r="K94" s="26"/>
      <c r="L94" s="26" t="s">
        <v>25</v>
      </c>
      <c r="M94" s="26" t="s">
        <v>25</v>
      </c>
      <c r="N94" s="26" t="s">
        <v>25</v>
      </c>
      <c r="O94" s="27"/>
    </row>
    <row r="95" ht="15.75" customHeight="1">
      <c r="A95" s="68"/>
      <c r="B95" s="21">
        <v>91.0</v>
      </c>
      <c r="C95" s="22" t="s">
        <v>168</v>
      </c>
      <c r="D95" s="74" t="s">
        <v>169</v>
      </c>
      <c r="E95" s="70" t="str">
        <f t="shared" si="6"/>
        <v>6번 중 5번 참여</v>
      </c>
      <c r="F95" s="71">
        <f t="shared" si="7"/>
        <v>0.8333333333</v>
      </c>
      <c r="G95" s="26" t="s">
        <v>25</v>
      </c>
      <c r="H95" s="26" t="s">
        <v>25</v>
      </c>
      <c r="I95" s="26"/>
      <c r="J95" s="26"/>
      <c r="K95" s="26" t="s">
        <v>25</v>
      </c>
      <c r="L95" s="26" t="s">
        <v>25</v>
      </c>
      <c r="M95" s="26" t="s">
        <v>25</v>
      </c>
      <c r="N95" s="26"/>
      <c r="O95" s="27"/>
    </row>
    <row r="96" ht="15.75" customHeight="1">
      <c r="A96" s="47"/>
      <c r="B96" s="29">
        <v>92.0</v>
      </c>
      <c r="C96" s="30" t="s">
        <v>170</v>
      </c>
      <c r="D96" s="30" t="s">
        <v>171</v>
      </c>
      <c r="E96" s="70" t="str">
        <f t="shared" si="6"/>
        <v>6번 중 7번 참여</v>
      </c>
      <c r="F96" s="71">
        <f t="shared" si="7"/>
        <v>1.166666667</v>
      </c>
      <c r="G96" s="26" t="s">
        <v>25</v>
      </c>
      <c r="H96" s="26" t="s">
        <v>25</v>
      </c>
      <c r="I96" s="26" t="s">
        <v>25</v>
      </c>
      <c r="J96" s="26" t="s">
        <v>25</v>
      </c>
      <c r="K96" s="26" t="s">
        <v>25</v>
      </c>
      <c r="L96" s="26" t="s">
        <v>25</v>
      </c>
      <c r="M96" s="26" t="s">
        <v>25</v>
      </c>
      <c r="N96" s="26"/>
      <c r="O96" s="27"/>
    </row>
    <row r="97" ht="15.75" customHeight="1">
      <c r="A97" s="68"/>
      <c r="B97" s="21">
        <v>93.0</v>
      </c>
      <c r="C97" s="22" t="s">
        <v>172</v>
      </c>
      <c r="D97" s="74" t="s">
        <v>173</v>
      </c>
      <c r="E97" s="70" t="str">
        <f t="shared" si="6"/>
        <v>6번 중 7번 참여</v>
      </c>
      <c r="F97" s="71">
        <f t="shared" si="7"/>
        <v>1.166666667</v>
      </c>
      <c r="G97" s="26" t="s">
        <v>25</v>
      </c>
      <c r="H97" s="26" t="s">
        <v>25</v>
      </c>
      <c r="I97" s="26" t="s">
        <v>25</v>
      </c>
      <c r="J97" s="26" t="s">
        <v>25</v>
      </c>
      <c r="K97" s="26" t="s">
        <v>25</v>
      </c>
      <c r="L97" s="26" t="s">
        <v>25</v>
      </c>
      <c r="M97" s="26" t="s">
        <v>25</v>
      </c>
      <c r="N97" s="26"/>
      <c r="O97" s="27"/>
    </row>
    <row r="98" ht="15.75" customHeight="1">
      <c r="A98" s="47"/>
      <c r="B98" s="29">
        <v>94.0</v>
      </c>
      <c r="C98" s="30" t="s">
        <v>174</v>
      </c>
      <c r="D98" s="78" t="s">
        <v>175</v>
      </c>
      <c r="E98" s="70" t="str">
        <f t="shared" si="6"/>
        <v>6번 중 2번 참여</v>
      </c>
      <c r="F98" s="71">
        <f t="shared" si="7"/>
        <v>0.3333333333</v>
      </c>
      <c r="G98" s="26"/>
      <c r="H98" s="26" t="s">
        <v>25</v>
      </c>
      <c r="I98" s="26"/>
      <c r="J98" s="26"/>
      <c r="K98" s="26" t="s">
        <v>25</v>
      </c>
      <c r="L98" s="26"/>
      <c r="M98" s="26"/>
      <c r="N98" s="26"/>
      <c r="O98" s="27"/>
    </row>
    <row r="99" ht="15.75" customHeight="1">
      <c r="A99" s="68"/>
      <c r="B99" s="21">
        <v>95.0</v>
      </c>
      <c r="C99" s="39" t="s">
        <v>176</v>
      </c>
      <c r="D99" s="79" t="s">
        <v>177</v>
      </c>
      <c r="E99" s="70" t="str">
        <f t="shared" si="6"/>
        <v>6번 중 7번 참여</v>
      </c>
      <c r="F99" s="71">
        <f t="shared" si="7"/>
        <v>1.166666667</v>
      </c>
      <c r="G99" s="26" t="s">
        <v>25</v>
      </c>
      <c r="H99" s="26" t="s">
        <v>25</v>
      </c>
      <c r="I99" s="26" t="s">
        <v>25</v>
      </c>
      <c r="J99" s="26" t="s">
        <v>25</v>
      </c>
      <c r="K99" s="26" t="s">
        <v>25</v>
      </c>
      <c r="L99" s="26" t="s">
        <v>25</v>
      </c>
      <c r="M99" s="26" t="s">
        <v>25</v>
      </c>
      <c r="N99" s="26"/>
      <c r="O99" s="27"/>
    </row>
    <row r="100" ht="15.75" customHeight="1">
      <c r="A100" s="47"/>
      <c r="B100" s="29">
        <v>96.0</v>
      </c>
      <c r="C100" s="30" t="s">
        <v>178</v>
      </c>
      <c r="D100" s="72" t="s">
        <v>179</v>
      </c>
      <c r="E100" s="70" t="str">
        <f t="shared" si="6"/>
        <v>6번 중 4번 참여</v>
      </c>
      <c r="F100" s="71">
        <f t="shared" si="7"/>
        <v>0.6666666667</v>
      </c>
      <c r="G100" s="26" t="s">
        <v>25</v>
      </c>
      <c r="H100" s="26" t="s">
        <v>80</v>
      </c>
      <c r="I100" s="26" t="s">
        <v>25</v>
      </c>
      <c r="J100" s="26" t="s">
        <v>25</v>
      </c>
      <c r="K100" s="26" t="s">
        <v>80</v>
      </c>
      <c r="L100" s="26" t="s">
        <v>25</v>
      </c>
      <c r="M100" s="26"/>
      <c r="N100" s="26"/>
      <c r="O100" s="27"/>
    </row>
    <row r="101" ht="15.75" customHeight="1">
      <c r="A101" s="68"/>
      <c r="B101" s="21">
        <v>97.0</v>
      </c>
      <c r="C101" s="22" t="s">
        <v>180</v>
      </c>
      <c r="D101" s="74" t="s">
        <v>181</v>
      </c>
      <c r="E101" s="70" t="str">
        <f t="shared" si="6"/>
        <v>6번 중 8번 참여</v>
      </c>
      <c r="F101" s="71">
        <f t="shared" si="7"/>
        <v>1.333333333</v>
      </c>
      <c r="G101" s="26" t="s">
        <v>25</v>
      </c>
      <c r="H101" s="26" t="s">
        <v>25</v>
      </c>
      <c r="I101" s="26" t="s">
        <v>25</v>
      </c>
      <c r="J101" s="26" t="s">
        <v>25</v>
      </c>
      <c r="K101" s="26" t="s">
        <v>25</v>
      </c>
      <c r="L101" s="26" t="s">
        <v>25</v>
      </c>
      <c r="M101" s="26" t="s">
        <v>25</v>
      </c>
      <c r="N101" s="26" t="s">
        <v>25</v>
      </c>
      <c r="O101" s="27"/>
    </row>
    <row r="102" ht="15.75" customHeight="1">
      <c r="A102" s="47"/>
      <c r="B102" s="29">
        <v>98.0</v>
      </c>
      <c r="C102" s="86" t="s">
        <v>207</v>
      </c>
      <c r="D102" s="44" t="s">
        <v>208</v>
      </c>
      <c r="E102" s="70" t="str">
        <f t="shared" si="6"/>
        <v/>
      </c>
      <c r="F102" s="71" t="str">
        <f t="shared" si="7"/>
        <v/>
      </c>
      <c r="G102" s="26"/>
      <c r="H102" s="26"/>
      <c r="I102" s="26"/>
      <c r="J102" s="26"/>
      <c r="K102" s="26"/>
      <c r="L102" s="26"/>
      <c r="M102" s="26"/>
      <c r="N102" s="26"/>
      <c r="O102" s="27"/>
    </row>
    <row r="103" ht="15.75" customHeight="1">
      <c r="A103" s="68"/>
      <c r="B103" s="21">
        <v>99.0</v>
      </c>
      <c r="C103" s="43" t="s">
        <v>182</v>
      </c>
      <c r="D103" s="87" t="s">
        <v>183</v>
      </c>
      <c r="E103" s="70" t="str">
        <f t="shared" si="6"/>
        <v>6번 중 6번 참여</v>
      </c>
      <c r="F103" s="71">
        <f t="shared" si="7"/>
        <v>1</v>
      </c>
      <c r="G103" s="26" t="s">
        <v>25</v>
      </c>
      <c r="H103" s="26" t="s">
        <v>25</v>
      </c>
      <c r="I103" s="26" t="s">
        <v>25</v>
      </c>
      <c r="J103" s="26" t="s">
        <v>25</v>
      </c>
      <c r="K103" s="26" t="s">
        <v>25</v>
      </c>
      <c r="L103" s="26"/>
      <c r="M103" s="26" t="s">
        <v>25</v>
      </c>
      <c r="N103" s="26"/>
      <c r="O103" s="27"/>
    </row>
    <row r="104" ht="15.75" customHeight="1">
      <c r="A104" s="47"/>
      <c r="B104" s="29">
        <v>100.0</v>
      </c>
      <c r="C104" s="30" t="s">
        <v>184</v>
      </c>
      <c r="D104" s="30" t="s">
        <v>185</v>
      </c>
      <c r="E104" s="70" t="str">
        <f t="shared" si="6"/>
        <v>6번 중 6번 참여</v>
      </c>
      <c r="F104" s="71">
        <f t="shared" si="7"/>
        <v>1</v>
      </c>
      <c r="G104" s="26" t="s">
        <v>25</v>
      </c>
      <c r="H104" s="26" t="s">
        <v>25</v>
      </c>
      <c r="I104" s="26" t="s">
        <v>25</v>
      </c>
      <c r="J104" s="26" t="s">
        <v>25</v>
      </c>
      <c r="K104" s="26" t="s">
        <v>25</v>
      </c>
      <c r="L104" s="26" t="s">
        <v>25</v>
      </c>
      <c r="M104" s="26"/>
      <c r="N104" s="26"/>
      <c r="O104" s="27"/>
    </row>
    <row r="105" ht="15.75" customHeight="1">
      <c r="A105" s="68"/>
      <c r="B105" s="21">
        <v>101.0</v>
      </c>
      <c r="C105" s="88"/>
      <c r="D105" s="74"/>
      <c r="E105" s="70" t="str">
        <f t="shared" si="6"/>
        <v/>
      </c>
      <c r="F105" s="71" t="str">
        <f t="shared" si="7"/>
        <v/>
      </c>
      <c r="G105" s="26"/>
      <c r="H105" s="26"/>
      <c r="I105" s="26"/>
      <c r="J105" s="26"/>
      <c r="K105" s="26"/>
      <c r="L105" s="26"/>
      <c r="M105" s="26"/>
      <c r="N105" s="26"/>
      <c r="O105" s="27"/>
    </row>
    <row r="106" ht="15.75" customHeight="1">
      <c r="A106" s="47"/>
      <c r="B106" s="29">
        <v>102.0</v>
      </c>
      <c r="C106" s="88"/>
      <c r="D106" s="22"/>
      <c r="E106" s="70" t="str">
        <f t="shared" si="6"/>
        <v/>
      </c>
      <c r="F106" s="71" t="str">
        <f t="shared" si="7"/>
        <v/>
      </c>
      <c r="G106" s="26"/>
      <c r="H106" s="26"/>
      <c r="I106" s="26"/>
      <c r="J106" s="26"/>
      <c r="K106" s="26"/>
      <c r="L106" s="26"/>
      <c r="M106" s="26"/>
      <c r="N106" s="26"/>
      <c r="O106" s="27"/>
    </row>
    <row r="107" ht="15.75" customHeight="1">
      <c r="A107" s="68"/>
      <c r="B107" s="21">
        <v>103.0</v>
      </c>
      <c r="C107" s="89"/>
      <c r="D107" s="82"/>
      <c r="E107" s="70" t="str">
        <f t="shared" si="6"/>
        <v/>
      </c>
      <c r="F107" s="71" t="str">
        <f t="shared" si="7"/>
        <v/>
      </c>
      <c r="G107" s="26"/>
      <c r="H107" s="26"/>
      <c r="I107" s="26"/>
      <c r="J107" s="26"/>
      <c r="K107" s="26"/>
      <c r="L107" s="26"/>
      <c r="M107" s="26"/>
      <c r="N107" s="26"/>
      <c r="O107" s="27"/>
    </row>
    <row r="108" ht="15.75" customHeight="1">
      <c r="A108" s="47"/>
      <c r="B108" s="29">
        <v>104.0</v>
      </c>
      <c r="C108" s="90"/>
      <c r="D108" s="78"/>
      <c r="E108" s="70" t="str">
        <f t="shared" si="6"/>
        <v/>
      </c>
      <c r="F108" s="71" t="str">
        <f t="shared" si="7"/>
        <v/>
      </c>
      <c r="G108" s="26"/>
      <c r="H108" s="26"/>
      <c r="I108" s="26"/>
      <c r="J108" s="26"/>
      <c r="K108" s="26"/>
      <c r="L108" s="26"/>
      <c r="M108" s="26"/>
      <c r="N108" s="26"/>
      <c r="O108" s="27"/>
    </row>
    <row r="109" ht="15.75" customHeight="1">
      <c r="A109" s="68"/>
      <c r="B109" s="21">
        <v>105.0</v>
      </c>
      <c r="C109" s="33"/>
      <c r="D109" s="33"/>
      <c r="E109" s="70" t="str">
        <f t="shared" si="6"/>
        <v/>
      </c>
      <c r="F109" s="71" t="str">
        <f t="shared" si="7"/>
        <v/>
      </c>
      <c r="G109" s="26"/>
      <c r="H109" s="26"/>
      <c r="I109" s="26"/>
      <c r="J109" s="26"/>
      <c r="K109" s="26"/>
      <c r="L109" s="26"/>
      <c r="M109" s="26"/>
      <c r="N109" s="26"/>
      <c r="O109" s="27"/>
    </row>
    <row r="110" ht="15.75" customHeight="1">
      <c r="A110" s="47"/>
      <c r="B110" s="29">
        <v>106.0</v>
      </c>
      <c r="C110" s="35"/>
      <c r="D110" s="35"/>
      <c r="E110" s="70" t="str">
        <f t="shared" si="6"/>
        <v/>
      </c>
      <c r="F110" s="71" t="str">
        <f t="shared" si="7"/>
        <v/>
      </c>
      <c r="G110" s="26"/>
      <c r="H110" s="26"/>
      <c r="I110" s="26"/>
      <c r="J110" s="26"/>
      <c r="K110" s="26"/>
      <c r="L110" s="26"/>
      <c r="M110" s="26"/>
      <c r="N110" s="26"/>
      <c r="O110" s="27"/>
    </row>
    <row r="111" ht="15.75" customHeight="1">
      <c r="A111" s="68"/>
      <c r="B111" s="21">
        <v>107.0</v>
      </c>
      <c r="C111" s="33"/>
      <c r="D111" s="33"/>
      <c r="E111" s="70" t="str">
        <f t="shared" si="6"/>
        <v/>
      </c>
      <c r="F111" s="71" t="str">
        <f t="shared" si="7"/>
        <v/>
      </c>
      <c r="G111" s="26"/>
      <c r="H111" s="26"/>
      <c r="I111" s="26"/>
      <c r="J111" s="26"/>
      <c r="K111" s="26"/>
      <c r="L111" s="26"/>
      <c r="M111" s="26"/>
      <c r="N111" s="26"/>
      <c r="O111" s="27"/>
    </row>
    <row r="112" ht="15.75" customHeight="1">
      <c r="A112" s="47"/>
      <c r="B112" s="29">
        <v>108.0</v>
      </c>
      <c r="C112" s="35"/>
      <c r="D112" s="35"/>
      <c r="E112" s="70" t="str">
        <f t="shared" si="6"/>
        <v/>
      </c>
      <c r="F112" s="71" t="str">
        <f t="shared" si="7"/>
        <v/>
      </c>
      <c r="G112" s="26"/>
      <c r="H112" s="26"/>
      <c r="I112" s="26"/>
      <c r="J112" s="26"/>
      <c r="K112" s="26"/>
      <c r="L112" s="26"/>
      <c r="M112" s="26"/>
      <c r="N112" s="26"/>
      <c r="O112" s="27"/>
    </row>
    <row r="113" ht="15.75" customHeight="1">
      <c r="A113" s="68"/>
      <c r="B113" s="21">
        <v>109.0</v>
      </c>
      <c r="C113" s="33"/>
      <c r="D113" s="33"/>
      <c r="E113" s="70" t="str">
        <f t="shared" si="6"/>
        <v/>
      </c>
      <c r="F113" s="71" t="str">
        <f t="shared" si="7"/>
        <v/>
      </c>
      <c r="G113" s="26"/>
      <c r="H113" s="26"/>
      <c r="I113" s="26"/>
      <c r="J113" s="26"/>
      <c r="K113" s="26"/>
      <c r="L113" s="26"/>
      <c r="M113" s="26"/>
      <c r="N113" s="26"/>
      <c r="O113" s="27"/>
    </row>
    <row r="114" ht="15.75" customHeight="1">
      <c r="A114" s="47"/>
      <c r="B114" s="29">
        <v>110.0</v>
      </c>
      <c r="C114" s="35"/>
      <c r="D114" s="35"/>
      <c r="E114" s="70" t="str">
        <f t="shared" si="6"/>
        <v/>
      </c>
      <c r="F114" s="71" t="str">
        <f t="shared" si="7"/>
        <v/>
      </c>
      <c r="G114" s="26"/>
      <c r="H114" s="26"/>
      <c r="I114" s="26"/>
      <c r="J114" s="26"/>
      <c r="K114" s="26"/>
      <c r="L114" s="26"/>
      <c r="M114" s="26"/>
      <c r="N114" s="26"/>
      <c r="O114" s="27"/>
    </row>
    <row r="115" ht="15.75" customHeight="1">
      <c r="A115" s="68"/>
      <c r="B115" s="21">
        <v>111.0</v>
      </c>
      <c r="C115" s="33"/>
      <c r="D115" s="33"/>
      <c r="E115" s="70" t="str">
        <f t="shared" si="6"/>
        <v/>
      </c>
      <c r="F115" s="71" t="str">
        <f t="shared" si="7"/>
        <v/>
      </c>
      <c r="G115" s="26"/>
      <c r="H115" s="26"/>
      <c r="I115" s="26"/>
      <c r="J115" s="26"/>
      <c r="K115" s="26"/>
      <c r="L115" s="26"/>
      <c r="M115" s="26"/>
      <c r="N115" s="26"/>
      <c r="O115" s="27"/>
    </row>
    <row r="116" ht="15.75" customHeight="1">
      <c r="A116" s="47"/>
      <c r="B116" s="29">
        <v>112.0</v>
      </c>
      <c r="C116" s="35"/>
      <c r="D116" s="35"/>
      <c r="E116" s="70" t="str">
        <f t="shared" si="6"/>
        <v/>
      </c>
      <c r="F116" s="71" t="str">
        <f t="shared" si="7"/>
        <v/>
      </c>
      <c r="G116" s="26"/>
      <c r="H116" s="26"/>
      <c r="I116" s="26"/>
      <c r="J116" s="26"/>
      <c r="K116" s="26"/>
      <c r="L116" s="26"/>
      <c r="M116" s="26"/>
      <c r="N116" s="26"/>
      <c r="O116" s="27"/>
    </row>
    <row r="117" ht="15.75" customHeight="1">
      <c r="A117" s="68"/>
      <c r="B117" s="21">
        <v>113.0</v>
      </c>
      <c r="C117" s="33"/>
      <c r="D117" s="33"/>
      <c r="E117" s="70" t="str">
        <f t="shared" si="6"/>
        <v/>
      </c>
      <c r="F117" s="71" t="str">
        <f t="shared" si="7"/>
        <v/>
      </c>
      <c r="G117" s="26"/>
      <c r="H117" s="26"/>
      <c r="I117" s="26"/>
      <c r="J117" s="26"/>
      <c r="K117" s="26"/>
      <c r="L117" s="26"/>
      <c r="M117" s="26"/>
      <c r="N117" s="26"/>
      <c r="O117" s="27"/>
    </row>
    <row r="118" ht="15.75" customHeight="1">
      <c r="A118" s="47"/>
      <c r="B118" s="29">
        <v>114.0</v>
      </c>
      <c r="C118" s="35"/>
      <c r="D118" s="35"/>
      <c r="E118" s="70" t="str">
        <f t="shared" si="6"/>
        <v/>
      </c>
      <c r="F118" s="71" t="str">
        <f t="shared" si="7"/>
        <v/>
      </c>
      <c r="G118" s="26"/>
      <c r="H118" s="26"/>
      <c r="I118" s="26"/>
      <c r="J118" s="26"/>
      <c r="K118" s="26"/>
      <c r="L118" s="26"/>
      <c r="M118" s="26"/>
      <c r="N118" s="26"/>
      <c r="O118" s="27"/>
    </row>
    <row r="119" ht="15.75" customHeight="1">
      <c r="A119" s="68"/>
      <c r="B119" s="21">
        <v>115.0</v>
      </c>
      <c r="C119" s="33"/>
      <c r="D119" s="33"/>
      <c r="E119" s="70" t="str">
        <f t="shared" si="6"/>
        <v/>
      </c>
      <c r="F119" s="71" t="str">
        <f t="shared" si="7"/>
        <v/>
      </c>
      <c r="G119" s="26"/>
      <c r="H119" s="26"/>
      <c r="I119" s="26"/>
      <c r="J119" s="26"/>
      <c r="K119" s="26"/>
      <c r="L119" s="26"/>
      <c r="M119" s="26"/>
      <c r="N119" s="26"/>
      <c r="O119" s="27"/>
    </row>
    <row r="120" ht="15.75" customHeight="1">
      <c r="A120" s="47"/>
      <c r="B120" s="29">
        <v>116.0</v>
      </c>
      <c r="C120" s="35"/>
      <c r="D120" s="35"/>
      <c r="E120" s="70" t="str">
        <f t="shared" si="6"/>
        <v/>
      </c>
      <c r="F120" s="71" t="str">
        <f t="shared" si="7"/>
        <v/>
      </c>
      <c r="G120" s="26"/>
      <c r="H120" s="26"/>
      <c r="I120" s="26"/>
      <c r="J120" s="26"/>
      <c r="K120" s="26"/>
      <c r="L120" s="26"/>
      <c r="M120" s="26"/>
      <c r="N120" s="26"/>
      <c r="O120" s="27"/>
    </row>
    <row r="121" ht="15.75" customHeight="1">
      <c r="A121" s="68"/>
      <c r="B121" s="21">
        <v>117.0</v>
      </c>
      <c r="C121" s="33"/>
      <c r="D121" s="33"/>
      <c r="E121" s="70" t="str">
        <f t="shared" si="6"/>
        <v/>
      </c>
      <c r="F121" s="71" t="str">
        <f t="shared" si="7"/>
        <v/>
      </c>
      <c r="G121" s="26"/>
      <c r="H121" s="26"/>
      <c r="I121" s="26"/>
      <c r="J121" s="26"/>
      <c r="K121" s="26"/>
      <c r="L121" s="26"/>
      <c r="M121" s="26"/>
      <c r="N121" s="26"/>
      <c r="O121" s="27"/>
    </row>
    <row r="122" ht="15.75" customHeight="1">
      <c r="A122" s="91"/>
      <c r="B122" s="55">
        <v>118.0</v>
      </c>
      <c r="C122" s="56"/>
      <c r="D122" s="56"/>
      <c r="E122" s="92" t="str">
        <f t="shared" si="6"/>
        <v/>
      </c>
      <c r="F122" s="93" t="str">
        <f t="shared" si="7"/>
        <v/>
      </c>
      <c r="G122" s="17"/>
      <c r="H122" s="17"/>
      <c r="I122" s="17"/>
      <c r="J122" s="17"/>
      <c r="K122" s="17"/>
      <c r="L122" s="17"/>
      <c r="M122" s="17"/>
      <c r="N122" s="17"/>
      <c r="O122" s="1"/>
    </row>
    <row r="123" ht="15.75" customHeight="1">
      <c r="A123" s="91"/>
      <c r="B123" s="55">
        <v>119.0</v>
      </c>
      <c r="C123" s="56"/>
      <c r="D123" s="56"/>
      <c r="E123" s="92" t="str">
        <f t="shared" si="6"/>
        <v/>
      </c>
      <c r="F123" s="93" t="str">
        <f t="shared" si="7"/>
        <v/>
      </c>
      <c r="G123" s="17"/>
      <c r="H123" s="17"/>
      <c r="I123" s="17"/>
      <c r="J123" s="17"/>
      <c r="K123" s="17"/>
      <c r="L123" s="17"/>
      <c r="M123" s="17"/>
      <c r="N123" s="17"/>
      <c r="O123" s="1"/>
    </row>
    <row r="124" ht="15.75" customHeight="1">
      <c r="A124" s="91"/>
      <c r="B124" s="55">
        <v>120.0</v>
      </c>
      <c r="C124" s="56"/>
      <c r="D124" s="56"/>
      <c r="E124" s="92" t="str">
        <f t="shared" si="6"/>
        <v/>
      </c>
      <c r="F124" s="93" t="str">
        <f t="shared" si="7"/>
        <v/>
      </c>
      <c r="G124" s="17"/>
      <c r="H124" s="17"/>
      <c r="I124" s="17"/>
      <c r="J124" s="17"/>
      <c r="K124" s="17"/>
      <c r="L124" s="17"/>
      <c r="M124" s="17"/>
      <c r="N124" s="17"/>
      <c r="O124" s="1"/>
    </row>
    <row r="125" ht="15.75" customHeight="1">
      <c r="A125" s="13"/>
      <c r="B125" s="13"/>
      <c r="C125" s="13"/>
      <c r="D125" s="13"/>
      <c r="E125" s="13"/>
      <c r="F125" s="13"/>
      <c r="G125" s="13"/>
      <c r="H125" s="13"/>
      <c r="I125" s="13"/>
      <c r="J125" s="13"/>
      <c r="K125" s="13"/>
      <c r="L125" s="13"/>
      <c r="M125" s="13"/>
      <c r="N125" s="13"/>
      <c r="O125" s="13"/>
    </row>
    <row r="126" ht="15.75" customHeight="1">
      <c r="A126" s="13"/>
      <c r="B126" s="13"/>
      <c r="C126" s="13"/>
      <c r="D126" s="13"/>
      <c r="E126" s="13"/>
      <c r="F126" s="13"/>
      <c r="G126" s="13"/>
      <c r="H126" s="13"/>
      <c r="I126" s="13"/>
      <c r="J126" s="13"/>
      <c r="K126" s="13"/>
      <c r="L126" s="13"/>
      <c r="M126" s="13"/>
      <c r="N126" s="13"/>
      <c r="O126" s="13"/>
    </row>
    <row r="127" ht="15.75" customHeight="1">
      <c r="A127" s="13"/>
      <c r="B127" s="13"/>
      <c r="C127" s="13"/>
      <c r="D127" s="13"/>
      <c r="E127" s="13"/>
      <c r="F127" s="13"/>
      <c r="G127" s="13"/>
      <c r="H127" s="13"/>
      <c r="I127" s="13"/>
      <c r="J127" s="13"/>
      <c r="K127" s="13"/>
      <c r="L127" s="13"/>
      <c r="M127" s="13"/>
      <c r="N127" s="13"/>
      <c r="O127" s="13"/>
    </row>
    <row r="128" ht="15.75" customHeight="1">
      <c r="A128" s="13"/>
      <c r="B128" s="13"/>
      <c r="C128" s="13"/>
      <c r="D128" s="13"/>
      <c r="E128" s="13"/>
      <c r="F128" s="13"/>
      <c r="G128" s="13"/>
      <c r="H128" s="13"/>
      <c r="I128" s="13"/>
      <c r="J128" s="13"/>
      <c r="K128" s="13"/>
      <c r="L128" s="13"/>
      <c r="M128" s="13"/>
      <c r="N128" s="13"/>
      <c r="O128" s="13"/>
    </row>
    <row r="129" ht="15.75" customHeight="1">
      <c r="A129" s="13"/>
      <c r="B129" s="13"/>
      <c r="C129" s="13"/>
      <c r="D129" s="13"/>
      <c r="E129" s="13"/>
      <c r="F129" s="13"/>
      <c r="G129" s="13"/>
      <c r="H129" s="13"/>
      <c r="I129" s="13"/>
      <c r="J129" s="13"/>
      <c r="K129" s="13"/>
      <c r="L129" s="13"/>
      <c r="M129" s="13"/>
      <c r="N129" s="13"/>
      <c r="O129" s="13"/>
    </row>
    <row r="130" ht="15.75" customHeight="1">
      <c r="A130" s="13"/>
      <c r="B130" s="13"/>
      <c r="C130" s="13"/>
      <c r="D130" s="13"/>
      <c r="E130" s="13"/>
      <c r="F130" s="13"/>
      <c r="G130" s="13"/>
      <c r="H130" s="13"/>
      <c r="I130" s="13"/>
      <c r="J130" s="13"/>
      <c r="K130" s="13"/>
      <c r="L130" s="13"/>
      <c r="M130" s="13"/>
      <c r="N130" s="13"/>
      <c r="O130" s="13"/>
    </row>
    <row r="131" ht="15.75" customHeight="1">
      <c r="A131" s="13"/>
      <c r="B131" s="13"/>
      <c r="C131" s="13"/>
      <c r="D131" s="13"/>
      <c r="E131" s="13"/>
      <c r="F131" s="13"/>
      <c r="G131" s="13"/>
      <c r="H131" s="13"/>
      <c r="I131" s="13"/>
      <c r="J131" s="13"/>
      <c r="K131" s="13"/>
      <c r="L131" s="13"/>
      <c r="M131" s="13"/>
      <c r="N131" s="13"/>
      <c r="O131" s="13"/>
    </row>
    <row r="132" ht="15.75" customHeight="1">
      <c r="A132" s="13"/>
      <c r="B132" s="13"/>
      <c r="C132" s="13"/>
      <c r="D132" s="13"/>
      <c r="E132" s="13"/>
      <c r="F132" s="13"/>
      <c r="G132" s="13"/>
      <c r="H132" s="13"/>
      <c r="I132" s="13"/>
      <c r="J132" s="13"/>
      <c r="K132" s="13"/>
      <c r="L132" s="13"/>
      <c r="M132" s="13"/>
      <c r="N132" s="13"/>
      <c r="O132" s="13"/>
    </row>
    <row r="133" ht="15.75" customHeight="1">
      <c r="A133" s="13"/>
      <c r="B133" s="13"/>
      <c r="C133" s="13"/>
      <c r="D133" s="13"/>
      <c r="E133" s="13"/>
      <c r="F133" s="13"/>
      <c r="G133" s="13"/>
      <c r="H133" s="13"/>
      <c r="I133" s="13"/>
      <c r="J133" s="13"/>
      <c r="K133" s="13"/>
      <c r="L133" s="13"/>
      <c r="M133" s="13"/>
      <c r="N133" s="13"/>
      <c r="O133" s="13"/>
    </row>
    <row r="134" ht="15.75" customHeight="1">
      <c r="A134" s="13"/>
      <c r="B134" s="13"/>
      <c r="C134" s="13"/>
      <c r="D134" s="13"/>
      <c r="E134" s="13"/>
      <c r="F134" s="13"/>
      <c r="G134" s="13"/>
      <c r="H134" s="13"/>
      <c r="I134" s="13"/>
      <c r="J134" s="13"/>
      <c r="K134" s="13"/>
      <c r="L134" s="13"/>
      <c r="M134" s="13"/>
      <c r="N134" s="13"/>
      <c r="O134" s="13"/>
    </row>
    <row r="135" ht="15.75" customHeight="1">
      <c r="A135" s="13"/>
      <c r="B135" s="13"/>
      <c r="C135" s="13"/>
      <c r="D135" s="13"/>
      <c r="E135" s="13"/>
      <c r="F135" s="13"/>
      <c r="G135" s="13"/>
      <c r="H135" s="13"/>
      <c r="I135" s="13"/>
      <c r="J135" s="13"/>
      <c r="K135" s="13"/>
      <c r="L135" s="13"/>
      <c r="M135" s="13"/>
      <c r="N135" s="13"/>
      <c r="O135" s="13"/>
    </row>
    <row r="136" ht="15.75" customHeight="1">
      <c r="A136" s="13"/>
      <c r="B136" s="13"/>
      <c r="C136" s="13"/>
      <c r="D136" s="13"/>
      <c r="E136" s="13"/>
      <c r="F136" s="13"/>
      <c r="G136" s="13"/>
      <c r="H136" s="13"/>
      <c r="I136" s="13"/>
      <c r="J136" s="13"/>
      <c r="K136" s="13"/>
      <c r="L136" s="13"/>
      <c r="M136" s="13"/>
      <c r="N136" s="13"/>
      <c r="O136" s="13"/>
    </row>
    <row r="137" ht="15.75" customHeight="1">
      <c r="A137" s="13"/>
      <c r="B137" s="13"/>
      <c r="C137" s="13"/>
      <c r="D137" s="13"/>
      <c r="E137" s="13"/>
      <c r="F137" s="13"/>
      <c r="G137" s="13"/>
      <c r="H137" s="13"/>
      <c r="I137" s="13"/>
      <c r="J137" s="13"/>
      <c r="K137" s="13"/>
      <c r="L137" s="13"/>
      <c r="M137" s="13"/>
      <c r="N137" s="13"/>
      <c r="O137" s="13"/>
    </row>
    <row r="138" ht="15.75" customHeight="1">
      <c r="A138" s="13"/>
      <c r="B138" s="13"/>
      <c r="C138" s="13"/>
      <c r="D138" s="13"/>
      <c r="E138" s="13"/>
      <c r="F138" s="13"/>
      <c r="G138" s="13"/>
      <c r="H138" s="13"/>
      <c r="I138" s="13"/>
      <c r="J138" s="13"/>
      <c r="K138" s="13"/>
      <c r="L138" s="13"/>
      <c r="M138" s="13"/>
      <c r="N138" s="13"/>
      <c r="O138" s="13"/>
    </row>
    <row r="139" ht="15.75" customHeight="1">
      <c r="A139" s="13"/>
      <c r="B139" s="13"/>
      <c r="C139" s="13"/>
      <c r="D139" s="13"/>
      <c r="E139" s="13"/>
      <c r="F139" s="13"/>
      <c r="G139" s="13"/>
      <c r="H139" s="13"/>
      <c r="I139" s="13"/>
      <c r="J139" s="13"/>
      <c r="K139" s="13"/>
      <c r="L139" s="13"/>
      <c r="M139" s="13"/>
      <c r="N139" s="13"/>
      <c r="O139" s="13"/>
    </row>
    <row r="140" ht="15.75" customHeight="1">
      <c r="A140" s="13"/>
      <c r="B140" s="13"/>
      <c r="C140" s="13"/>
      <c r="D140" s="13"/>
      <c r="E140" s="13"/>
      <c r="F140" s="13"/>
      <c r="G140" s="13"/>
      <c r="H140" s="13"/>
      <c r="I140" s="13"/>
      <c r="J140" s="13"/>
      <c r="K140" s="13"/>
      <c r="L140" s="13"/>
      <c r="M140" s="13"/>
      <c r="N140" s="13"/>
      <c r="O140" s="13"/>
    </row>
    <row r="141" ht="15.75" customHeight="1">
      <c r="A141" s="13"/>
      <c r="B141" s="13"/>
      <c r="C141" s="13"/>
      <c r="D141" s="13"/>
      <c r="E141" s="13"/>
      <c r="F141" s="13"/>
      <c r="G141" s="13"/>
      <c r="H141" s="13"/>
      <c r="I141" s="13"/>
      <c r="J141" s="13"/>
      <c r="K141" s="13"/>
      <c r="L141" s="13"/>
      <c r="M141" s="13"/>
      <c r="N141" s="13"/>
      <c r="O141" s="13"/>
    </row>
    <row r="142" ht="15.75" customHeight="1">
      <c r="A142" s="13"/>
      <c r="B142" s="13"/>
      <c r="C142" s="13"/>
      <c r="D142" s="13"/>
      <c r="E142" s="13"/>
      <c r="F142" s="13"/>
      <c r="G142" s="13"/>
      <c r="H142" s="13"/>
      <c r="I142" s="13"/>
      <c r="J142" s="13"/>
      <c r="K142" s="13"/>
      <c r="L142" s="13"/>
      <c r="M142" s="13"/>
      <c r="N142" s="13"/>
      <c r="O142" s="13"/>
    </row>
    <row r="143" ht="15.75" customHeight="1">
      <c r="A143" s="13"/>
      <c r="B143" s="13"/>
      <c r="C143" s="13"/>
      <c r="D143" s="13"/>
      <c r="E143" s="13"/>
      <c r="F143" s="13"/>
      <c r="G143" s="13"/>
      <c r="H143" s="13"/>
      <c r="I143" s="13"/>
      <c r="J143" s="13"/>
      <c r="K143" s="13"/>
      <c r="L143" s="13"/>
      <c r="M143" s="13"/>
      <c r="N143" s="13"/>
      <c r="O143" s="13"/>
    </row>
    <row r="144" ht="15.75" customHeight="1">
      <c r="A144" s="13"/>
      <c r="B144" s="13"/>
      <c r="C144" s="13"/>
      <c r="D144" s="13"/>
      <c r="E144" s="13"/>
      <c r="F144" s="13"/>
      <c r="G144" s="13"/>
      <c r="H144" s="13"/>
      <c r="I144" s="13"/>
      <c r="J144" s="13"/>
      <c r="K144" s="13"/>
      <c r="L144" s="13"/>
      <c r="M144" s="13"/>
      <c r="N144" s="13"/>
      <c r="O144" s="13"/>
    </row>
    <row r="145" ht="15.75" customHeight="1">
      <c r="A145" s="13"/>
      <c r="B145" s="13"/>
      <c r="C145" s="13"/>
      <c r="D145" s="13"/>
      <c r="E145" s="13"/>
      <c r="F145" s="13"/>
      <c r="G145" s="13"/>
      <c r="H145" s="13"/>
      <c r="I145" s="13"/>
      <c r="J145" s="13"/>
      <c r="K145" s="13"/>
      <c r="L145" s="13"/>
      <c r="M145" s="13"/>
      <c r="N145" s="13"/>
      <c r="O145" s="13"/>
    </row>
    <row r="146" ht="15.75" customHeight="1">
      <c r="A146" s="13"/>
      <c r="B146" s="13"/>
      <c r="C146" s="13"/>
      <c r="D146" s="13"/>
      <c r="E146" s="13"/>
      <c r="F146" s="13"/>
      <c r="G146" s="13"/>
      <c r="H146" s="13"/>
      <c r="I146" s="13"/>
      <c r="J146" s="13"/>
      <c r="K146" s="13"/>
      <c r="L146" s="13"/>
      <c r="M146" s="13"/>
      <c r="N146" s="13"/>
      <c r="O146" s="13"/>
    </row>
    <row r="147" ht="15.75" customHeight="1">
      <c r="A147" s="13"/>
      <c r="B147" s="13"/>
      <c r="C147" s="13"/>
      <c r="D147" s="13"/>
      <c r="E147" s="13"/>
      <c r="F147" s="13"/>
      <c r="G147" s="13"/>
      <c r="H147" s="13"/>
      <c r="I147" s="13"/>
      <c r="J147" s="13"/>
      <c r="K147" s="13"/>
      <c r="L147" s="13"/>
      <c r="M147" s="13"/>
      <c r="N147" s="13"/>
      <c r="O147" s="13"/>
    </row>
    <row r="148" ht="15.75" customHeight="1">
      <c r="A148" s="13"/>
      <c r="B148" s="13"/>
      <c r="C148" s="13"/>
      <c r="D148" s="13"/>
      <c r="E148" s="13"/>
      <c r="F148" s="13"/>
      <c r="G148" s="13"/>
      <c r="H148" s="13"/>
      <c r="I148" s="13"/>
      <c r="J148" s="13"/>
      <c r="K148" s="13"/>
      <c r="L148" s="13"/>
      <c r="M148" s="13"/>
      <c r="N148" s="13"/>
      <c r="O148" s="13"/>
    </row>
    <row r="149" ht="15.75" customHeight="1">
      <c r="A149" s="13"/>
      <c r="B149" s="13"/>
      <c r="C149" s="13"/>
      <c r="D149" s="13"/>
      <c r="E149" s="13"/>
      <c r="F149" s="13"/>
      <c r="G149" s="13"/>
      <c r="H149" s="13"/>
      <c r="I149" s="13"/>
      <c r="J149" s="13"/>
      <c r="K149" s="13"/>
      <c r="L149" s="13"/>
      <c r="M149" s="13"/>
      <c r="N149" s="13"/>
      <c r="O149" s="13"/>
    </row>
    <row r="150" ht="15.75" customHeight="1">
      <c r="A150" s="13"/>
      <c r="B150" s="13"/>
      <c r="C150" s="13"/>
      <c r="D150" s="13"/>
      <c r="E150" s="13"/>
      <c r="F150" s="13"/>
      <c r="G150" s="13"/>
      <c r="H150" s="13"/>
      <c r="I150" s="13"/>
      <c r="J150" s="13"/>
      <c r="K150" s="13"/>
      <c r="L150" s="13"/>
      <c r="M150" s="13"/>
      <c r="N150" s="13"/>
      <c r="O150" s="13"/>
    </row>
    <row r="151" ht="15.75" customHeight="1">
      <c r="A151" s="13"/>
      <c r="B151" s="13"/>
      <c r="C151" s="13"/>
      <c r="D151" s="13"/>
      <c r="E151" s="13"/>
      <c r="F151" s="13"/>
      <c r="G151" s="13"/>
      <c r="H151" s="13"/>
      <c r="I151" s="13"/>
      <c r="J151" s="13"/>
      <c r="K151" s="13"/>
      <c r="L151" s="13"/>
      <c r="M151" s="13"/>
      <c r="N151" s="13"/>
      <c r="O151" s="13"/>
    </row>
    <row r="152" ht="15.75" customHeight="1">
      <c r="A152" s="13"/>
      <c r="B152" s="13"/>
      <c r="C152" s="13"/>
      <c r="D152" s="13"/>
      <c r="E152" s="13"/>
      <c r="F152" s="13"/>
      <c r="G152" s="13"/>
      <c r="H152" s="13"/>
      <c r="I152" s="13"/>
      <c r="J152" s="13"/>
      <c r="K152" s="13"/>
      <c r="L152" s="13"/>
      <c r="M152" s="13"/>
      <c r="N152" s="13"/>
      <c r="O152" s="13"/>
    </row>
    <row r="153" ht="15.75" customHeight="1">
      <c r="A153" s="13"/>
      <c r="B153" s="13"/>
      <c r="C153" s="13"/>
      <c r="D153" s="13"/>
      <c r="E153" s="13"/>
      <c r="F153" s="13"/>
      <c r="G153" s="13"/>
      <c r="H153" s="13"/>
      <c r="I153" s="13"/>
      <c r="J153" s="13"/>
      <c r="K153" s="13"/>
      <c r="L153" s="13"/>
      <c r="M153" s="13"/>
      <c r="N153" s="13"/>
      <c r="O153" s="13"/>
    </row>
    <row r="154" ht="15.75" customHeight="1">
      <c r="A154" s="13"/>
      <c r="B154" s="13"/>
      <c r="C154" s="13"/>
      <c r="D154" s="13"/>
      <c r="E154" s="13"/>
      <c r="F154" s="13"/>
      <c r="G154" s="13"/>
      <c r="H154" s="13"/>
      <c r="I154" s="13"/>
      <c r="J154" s="13"/>
      <c r="K154" s="13"/>
      <c r="L154" s="13"/>
      <c r="M154" s="13"/>
      <c r="N154" s="13"/>
      <c r="O154" s="13"/>
    </row>
    <row r="155" ht="15.75" customHeight="1">
      <c r="A155" s="13"/>
      <c r="B155" s="13"/>
      <c r="C155" s="13"/>
      <c r="D155" s="13"/>
      <c r="E155" s="13"/>
      <c r="F155" s="13"/>
      <c r="G155" s="13"/>
      <c r="H155" s="13"/>
      <c r="I155" s="13"/>
      <c r="J155" s="13"/>
      <c r="K155" s="13"/>
      <c r="L155" s="13"/>
      <c r="M155" s="13"/>
      <c r="N155" s="13"/>
      <c r="O155" s="13"/>
    </row>
    <row r="156" ht="15.75" customHeight="1">
      <c r="A156" s="13"/>
      <c r="B156" s="13"/>
      <c r="C156" s="13"/>
      <c r="D156" s="13"/>
      <c r="E156" s="13"/>
      <c r="F156" s="13"/>
      <c r="G156" s="13"/>
      <c r="H156" s="13"/>
      <c r="I156" s="13"/>
      <c r="J156" s="13"/>
      <c r="K156" s="13"/>
      <c r="L156" s="13"/>
      <c r="M156" s="13"/>
      <c r="N156" s="13"/>
      <c r="O156" s="13"/>
    </row>
    <row r="157" ht="15.75" customHeight="1">
      <c r="A157" s="13"/>
      <c r="B157" s="13"/>
      <c r="C157" s="13"/>
      <c r="D157" s="13"/>
      <c r="E157" s="13"/>
      <c r="F157" s="13"/>
      <c r="G157" s="13"/>
      <c r="H157" s="13"/>
      <c r="I157" s="13"/>
      <c r="J157" s="13"/>
      <c r="K157" s="13"/>
      <c r="L157" s="13"/>
      <c r="M157" s="13"/>
      <c r="N157" s="13"/>
      <c r="O157" s="13"/>
    </row>
    <row r="158" ht="15.75" customHeight="1">
      <c r="A158" s="13"/>
      <c r="B158" s="13"/>
      <c r="C158" s="13"/>
      <c r="D158" s="13"/>
      <c r="E158" s="13"/>
      <c r="F158" s="13"/>
      <c r="G158" s="13"/>
      <c r="H158" s="13"/>
      <c r="I158" s="13"/>
      <c r="J158" s="13"/>
      <c r="K158" s="13"/>
      <c r="L158" s="13"/>
      <c r="M158" s="13"/>
      <c r="N158" s="13"/>
      <c r="O158" s="13"/>
    </row>
    <row r="159" ht="15.75" customHeight="1">
      <c r="A159" s="13"/>
      <c r="B159" s="13"/>
      <c r="C159" s="13"/>
      <c r="D159" s="13"/>
      <c r="E159" s="13"/>
      <c r="F159" s="13"/>
      <c r="G159" s="13"/>
      <c r="H159" s="13"/>
      <c r="I159" s="13"/>
      <c r="J159" s="13"/>
      <c r="K159" s="13"/>
      <c r="L159" s="13"/>
      <c r="M159" s="13"/>
      <c r="N159" s="13"/>
      <c r="O159" s="13"/>
    </row>
    <row r="160" ht="15.75" customHeight="1">
      <c r="A160" s="13"/>
      <c r="B160" s="13"/>
      <c r="C160" s="13"/>
      <c r="D160" s="13"/>
      <c r="E160" s="13"/>
      <c r="F160" s="13"/>
      <c r="G160" s="13"/>
      <c r="H160" s="13"/>
      <c r="I160" s="13"/>
      <c r="J160" s="13"/>
      <c r="K160" s="13"/>
      <c r="L160" s="13"/>
      <c r="M160" s="13"/>
      <c r="N160" s="13"/>
      <c r="O160" s="13"/>
    </row>
    <row r="161" ht="15.75" customHeight="1">
      <c r="A161" s="13"/>
      <c r="B161" s="13"/>
      <c r="C161" s="13"/>
      <c r="D161" s="13"/>
      <c r="E161" s="13"/>
      <c r="F161" s="13"/>
      <c r="G161" s="13"/>
      <c r="H161" s="13"/>
      <c r="I161" s="13"/>
      <c r="J161" s="13"/>
      <c r="K161" s="13"/>
      <c r="L161" s="13"/>
      <c r="M161" s="13"/>
      <c r="N161" s="13"/>
      <c r="O161" s="13"/>
    </row>
    <row r="162" ht="15.75" customHeight="1">
      <c r="A162" s="13"/>
      <c r="B162" s="13"/>
      <c r="C162" s="13"/>
      <c r="D162" s="13"/>
      <c r="E162" s="13"/>
      <c r="F162" s="13"/>
      <c r="G162" s="13"/>
      <c r="H162" s="13"/>
      <c r="I162" s="13"/>
      <c r="J162" s="13"/>
      <c r="K162" s="13"/>
      <c r="L162" s="13"/>
      <c r="M162" s="13"/>
      <c r="N162" s="13"/>
      <c r="O162" s="13"/>
    </row>
    <row r="163" ht="15.75" customHeight="1">
      <c r="A163" s="13"/>
      <c r="B163" s="13"/>
      <c r="C163" s="13"/>
      <c r="D163" s="13"/>
      <c r="E163" s="13"/>
      <c r="F163" s="13"/>
      <c r="G163" s="13"/>
      <c r="H163" s="13"/>
      <c r="I163" s="13"/>
      <c r="J163" s="13"/>
      <c r="K163" s="13"/>
      <c r="L163" s="13"/>
      <c r="M163" s="13"/>
      <c r="N163" s="13"/>
      <c r="O163" s="13"/>
    </row>
    <row r="164" ht="15.75" customHeight="1">
      <c r="A164" s="13"/>
      <c r="B164" s="13"/>
      <c r="C164" s="13"/>
      <c r="D164" s="13"/>
      <c r="E164" s="13"/>
      <c r="F164" s="13"/>
      <c r="G164" s="13"/>
      <c r="H164" s="13"/>
      <c r="I164" s="13"/>
      <c r="J164" s="13"/>
      <c r="K164" s="13"/>
      <c r="L164" s="13"/>
      <c r="M164" s="13"/>
      <c r="N164" s="13"/>
      <c r="O164" s="13"/>
    </row>
    <row r="165" ht="15.75" customHeight="1">
      <c r="A165" s="13"/>
      <c r="B165" s="13"/>
      <c r="C165" s="13"/>
      <c r="D165" s="13"/>
      <c r="E165" s="13"/>
      <c r="F165" s="13"/>
      <c r="G165" s="13"/>
      <c r="H165" s="13"/>
      <c r="I165" s="13"/>
      <c r="J165" s="13"/>
      <c r="K165" s="13"/>
      <c r="L165" s="13"/>
      <c r="M165" s="13"/>
      <c r="N165" s="13"/>
      <c r="O165" s="13"/>
    </row>
    <row r="166" ht="15.75" customHeight="1">
      <c r="A166" s="13"/>
      <c r="B166" s="13"/>
      <c r="C166" s="13"/>
      <c r="D166" s="13"/>
      <c r="E166" s="13"/>
      <c r="F166" s="13"/>
      <c r="G166" s="13"/>
      <c r="H166" s="13"/>
      <c r="I166" s="13"/>
      <c r="J166" s="13"/>
      <c r="K166" s="13"/>
      <c r="L166" s="13"/>
      <c r="M166" s="13"/>
      <c r="N166" s="13"/>
      <c r="O166" s="13"/>
    </row>
    <row r="167" ht="15.75" customHeight="1">
      <c r="A167" s="13"/>
      <c r="B167" s="13"/>
      <c r="C167" s="13"/>
      <c r="D167" s="13"/>
      <c r="E167" s="13"/>
      <c r="F167" s="13"/>
      <c r="G167" s="13"/>
      <c r="H167" s="13"/>
      <c r="I167" s="13"/>
      <c r="J167" s="13"/>
      <c r="K167" s="13"/>
      <c r="L167" s="13"/>
      <c r="M167" s="13"/>
      <c r="N167" s="13"/>
      <c r="O167" s="13"/>
    </row>
    <row r="168" ht="15.75" customHeight="1">
      <c r="A168" s="13"/>
      <c r="B168" s="13"/>
      <c r="C168" s="13"/>
      <c r="D168" s="13"/>
      <c r="E168" s="13"/>
      <c r="F168" s="13"/>
      <c r="G168" s="13"/>
      <c r="H168" s="13"/>
      <c r="I168" s="13"/>
      <c r="J168" s="13"/>
      <c r="K168" s="13"/>
      <c r="L168" s="13"/>
      <c r="M168" s="13"/>
      <c r="N168" s="13"/>
      <c r="O168" s="13"/>
    </row>
    <row r="169" ht="15.75" customHeight="1">
      <c r="A169" s="13"/>
      <c r="B169" s="13"/>
      <c r="C169" s="13"/>
      <c r="D169" s="13"/>
      <c r="E169" s="13"/>
      <c r="F169" s="13"/>
      <c r="G169" s="13"/>
      <c r="H169" s="13"/>
      <c r="I169" s="13"/>
      <c r="J169" s="13"/>
      <c r="K169" s="13"/>
      <c r="L169" s="13"/>
      <c r="M169" s="13"/>
      <c r="N169" s="13"/>
      <c r="O169" s="13"/>
    </row>
    <row r="170" ht="15.75" customHeight="1">
      <c r="A170" s="13"/>
      <c r="B170" s="13"/>
      <c r="C170" s="13"/>
      <c r="D170" s="13"/>
      <c r="E170" s="13"/>
      <c r="F170" s="13"/>
      <c r="G170" s="13"/>
      <c r="H170" s="13"/>
      <c r="I170" s="13"/>
      <c r="J170" s="13"/>
      <c r="K170" s="13"/>
      <c r="L170" s="13"/>
      <c r="M170" s="13"/>
      <c r="N170" s="13"/>
      <c r="O170" s="13"/>
    </row>
    <row r="171" ht="15.75" customHeight="1">
      <c r="A171" s="13"/>
      <c r="B171" s="13"/>
      <c r="C171" s="13"/>
      <c r="D171" s="13"/>
      <c r="E171" s="13"/>
      <c r="F171" s="13"/>
      <c r="G171" s="13"/>
      <c r="H171" s="13"/>
      <c r="I171" s="13"/>
      <c r="J171" s="13"/>
      <c r="K171" s="13"/>
      <c r="L171" s="13"/>
      <c r="M171" s="13"/>
      <c r="N171" s="13"/>
      <c r="O171" s="13"/>
    </row>
    <row r="172" ht="15.75" customHeight="1">
      <c r="A172" s="13"/>
      <c r="B172" s="13"/>
      <c r="C172" s="13"/>
      <c r="D172" s="13"/>
      <c r="E172" s="13"/>
      <c r="F172" s="13"/>
      <c r="G172" s="13"/>
      <c r="H172" s="13"/>
      <c r="I172" s="13"/>
      <c r="J172" s="13"/>
      <c r="K172" s="13"/>
      <c r="L172" s="13"/>
      <c r="M172" s="13"/>
      <c r="N172" s="13"/>
      <c r="O172" s="13"/>
    </row>
    <row r="173" ht="15.75" customHeight="1">
      <c r="A173" s="13"/>
      <c r="B173" s="13"/>
      <c r="C173" s="13"/>
      <c r="D173" s="13"/>
      <c r="E173" s="13"/>
      <c r="F173" s="13"/>
      <c r="G173" s="13"/>
      <c r="H173" s="13"/>
      <c r="I173" s="13"/>
      <c r="J173" s="13"/>
      <c r="K173" s="13"/>
      <c r="L173" s="13"/>
      <c r="M173" s="13"/>
      <c r="N173" s="13"/>
      <c r="O173" s="13"/>
    </row>
    <row r="174" ht="15.75" customHeight="1">
      <c r="A174" s="13"/>
      <c r="B174" s="13"/>
      <c r="C174" s="13"/>
      <c r="D174" s="13"/>
      <c r="E174" s="13"/>
      <c r="F174" s="13"/>
      <c r="G174" s="13"/>
      <c r="H174" s="13"/>
      <c r="I174" s="13"/>
      <c r="J174" s="13"/>
      <c r="K174" s="13"/>
      <c r="L174" s="13"/>
      <c r="M174" s="13"/>
      <c r="N174" s="13"/>
      <c r="O174" s="13"/>
    </row>
    <row r="175" ht="15.75" customHeight="1">
      <c r="A175" s="13"/>
      <c r="B175" s="13"/>
      <c r="C175" s="13"/>
      <c r="D175" s="13"/>
      <c r="E175" s="13"/>
      <c r="F175" s="13"/>
      <c r="G175" s="13"/>
      <c r="H175" s="13"/>
      <c r="I175" s="13"/>
      <c r="J175" s="13"/>
      <c r="K175" s="13"/>
      <c r="L175" s="13"/>
      <c r="M175" s="13"/>
      <c r="N175" s="13"/>
      <c r="O175" s="13"/>
    </row>
    <row r="176" ht="15.75" customHeight="1">
      <c r="A176" s="13"/>
      <c r="B176" s="13"/>
      <c r="C176" s="13"/>
      <c r="D176" s="13"/>
      <c r="E176" s="13"/>
      <c r="F176" s="13"/>
      <c r="G176" s="13"/>
      <c r="H176" s="13"/>
      <c r="I176" s="13"/>
      <c r="J176" s="13"/>
      <c r="K176" s="13"/>
      <c r="L176" s="13"/>
      <c r="M176" s="13"/>
      <c r="N176" s="13"/>
      <c r="O176" s="13"/>
    </row>
    <row r="177" ht="15.75" customHeight="1">
      <c r="A177" s="13"/>
      <c r="B177" s="13"/>
      <c r="C177" s="13"/>
      <c r="D177" s="13"/>
      <c r="E177" s="13"/>
      <c r="F177" s="13"/>
      <c r="G177" s="13"/>
      <c r="H177" s="13"/>
      <c r="I177" s="13"/>
      <c r="J177" s="13"/>
      <c r="K177" s="13"/>
      <c r="L177" s="13"/>
      <c r="M177" s="13"/>
      <c r="N177" s="13"/>
      <c r="O177" s="13"/>
    </row>
    <row r="178" ht="15.75" customHeight="1">
      <c r="A178" s="13"/>
      <c r="B178" s="13"/>
      <c r="C178" s="13"/>
      <c r="D178" s="13"/>
      <c r="E178" s="13"/>
      <c r="F178" s="13"/>
      <c r="G178" s="13"/>
      <c r="H178" s="13"/>
      <c r="I178" s="13"/>
      <c r="J178" s="13"/>
      <c r="K178" s="13"/>
      <c r="L178" s="13"/>
      <c r="M178" s="13"/>
      <c r="N178" s="13"/>
      <c r="O178" s="13"/>
    </row>
    <row r="179" ht="15.75" customHeight="1">
      <c r="A179" s="13"/>
      <c r="B179" s="13"/>
      <c r="C179" s="13"/>
      <c r="D179" s="13"/>
      <c r="E179" s="13"/>
      <c r="F179" s="13"/>
      <c r="G179" s="13"/>
      <c r="H179" s="13"/>
      <c r="I179" s="13"/>
      <c r="J179" s="13"/>
      <c r="K179" s="13"/>
      <c r="L179" s="13"/>
      <c r="M179" s="13"/>
      <c r="N179" s="13"/>
      <c r="O179" s="13"/>
    </row>
    <row r="180" ht="15.75" customHeight="1">
      <c r="A180" s="13"/>
      <c r="B180" s="13"/>
      <c r="C180" s="13"/>
      <c r="D180" s="13"/>
      <c r="E180" s="13"/>
      <c r="F180" s="13"/>
      <c r="G180" s="13"/>
      <c r="H180" s="13"/>
      <c r="I180" s="13"/>
      <c r="J180" s="13"/>
      <c r="K180" s="13"/>
      <c r="L180" s="13"/>
      <c r="M180" s="13"/>
      <c r="N180" s="13"/>
      <c r="O180" s="13"/>
    </row>
    <row r="181" ht="15.75" customHeight="1">
      <c r="A181" s="13"/>
      <c r="B181" s="13"/>
      <c r="C181" s="13"/>
      <c r="D181" s="13"/>
      <c r="E181" s="13"/>
      <c r="F181" s="13"/>
      <c r="G181" s="13"/>
      <c r="H181" s="13"/>
      <c r="I181" s="13"/>
      <c r="J181" s="13"/>
      <c r="K181" s="13"/>
      <c r="L181" s="13"/>
      <c r="M181" s="13"/>
      <c r="N181" s="13"/>
      <c r="O181" s="13"/>
    </row>
    <row r="182" ht="15.75" customHeight="1">
      <c r="A182" s="13"/>
      <c r="B182" s="13"/>
      <c r="C182" s="13"/>
      <c r="D182" s="13"/>
      <c r="E182" s="13"/>
      <c r="F182" s="13"/>
      <c r="G182" s="13"/>
      <c r="H182" s="13"/>
      <c r="I182" s="13"/>
      <c r="J182" s="13"/>
      <c r="K182" s="13"/>
      <c r="L182" s="13"/>
      <c r="M182" s="13"/>
      <c r="N182" s="13"/>
      <c r="O182" s="13"/>
    </row>
    <row r="183" ht="15.75" customHeight="1">
      <c r="A183" s="13"/>
      <c r="B183" s="13"/>
      <c r="C183" s="13"/>
      <c r="D183" s="13"/>
      <c r="E183" s="13"/>
      <c r="F183" s="13"/>
      <c r="G183" s="13"/>
      <c r="H183" s="13"/>
      <c r="I183" s="13"/>
      <c r="J183" s="13"/>
      <c r="K183" s="13"/>
      <c r="L183" s="13"/>
      <c r="M183" s="13"/>
      <c r="N183" s="13"/>
      <c r="O183" s="13"/>
    </row>
    <row r="184" ht="15.75" customHeight="1">
      <c r="A184" s="13"/>
      <c r="B184" s="13"/>
      <c r="C184" s="13"/>
      <c r="D184" s="13"/>
      <c r="E184" s="13"/>
      <c r="F184" s="13"/>
      <c r="G184" s="13"/>
      <c r="H184" s="13"/>
      <c r="I184" s="13"/>
      <c r="J184" s="13"/>
      <c r="K184" s="13"/>
      <c r="L184" s="13"/>
      <c r="M184" s="13"/>
      <c r="N184" s="13"/>
      <c r="O184" s="13"/>
    </row>
    <row r="185" ht="15.75" customHeight="1">
      <c r="A185" s="13"/>
      <c r="B185" s="13"/>
      <c r="C185" s="13"/>
      <c r="D185" s="13"/>
      <c r="E185" s="13"/>
      <c r="F185" s="13"/>
      <c r="G185" s="13"/>
      <c r="H185" s="13"/>
      <c r="I185" s="13"/>
      <c r="J185" s="13"/>
      <c r="K185" s="13"/>
      <c r="L185" s="13"/>
      <c r="M185" s="13"/>
      <c r="N185" s="13"/>
      <c r="O185" s="13"/>
    </row>
    <row r="186" ht="15.75" customHeight="1">
      <c r="A186" s="13"/>
      <c r="B186" s="13"/>
      <c r="C186" s="13"/>
      <c r="D186" s="13"/>
      <c r="E186" s="13"/>
      <c r="F186" s="13"/>
      <c r="G186" s="13"/>
      <c r="H186" s="13"/>
      <c r="I186" s="13"/>
      <c r="J186" s="13"/>
      <c r="K186" s="13"/>
      <c r="L186" s="13"/>
      <c r="M186" s="13"/>
      <c r="N186" s="13"/>
      <c r="O186" s="13"/>
    </row>
    <row r="187" ht="15.75" customHeight="1">
      <c r="A187" s="13"/>
      <c r="B187" s="13"/>
      <c r="C187" s="13"/>
      <c r="D187" s="13"/>
      <c r="E187" s="13"/>
      <c r="F187" s="13"/>
      <c r="G187" s="13"/>
      <c r="H187" s="13"/>
      <c r="I187" s="13"/>
      <c r="J187" s="13"/>
      <c r="K187" s="13"/>
      <c r="L187" s="13"/>
      <c r="M187" s="13"/>
      <c r="N187" s="13"/>
      <c r="O187" s="13"/>
    </row>
    <row r="188" ht="15.75" customHeight="1">
      <c r="A188" s="13"/>
      <c r="B188" s="13"/>
      <c r="C188" s="13"/>
      <c r="D188" s="13"/>
      <c r="E188" s="13"/>
      <c r="F188" s="13"/>
      <c r="G188" s="13"/>
      <c r="H188" s="13"/>
      <c r="I188" s="13"/>
      <c r="J188" s="13"/>
      <c r="K188" s="13"/>
      <c r="L188" s="13"/>
      <c r="M188" s="13"/>
      <c r="N188" s="13"/>
      <c r="O188" s="13"/>
    </row>
    <row r="189" ht="15.75" customHeight="1">
      <c r="A189" s="13"/>
      <c r="B189" s="13"/>
      <c r="C189" s="13"/>
      <c r="D189" s="13"/>
      <c r="E189" s="13"/>
      <c r="F189" s="13"/>
      <c r="G189" s="13"/>
      <c r="H189" s="13"/>
      <c r="I189" s="13"/>
      <c r="J189" s="13"/>
      <c r="K189" s="13"/>
      <c r="L189" s="13"/>
      <c r="M189" s="13"/>
      <c r="N189" s="13"/>
      <c r="O189" s="13"/>
    </row>
    <row r="190" ht="15.75" customHeight="1">
      <c r="A190" s="13"/>
      <c r="B190" s="13"/>
      <c r="C190" s="13"/>
      <c r="D190" s="13"/>
      <c r="E190" s="13"/>
      <c r="F190" s="13"/>
      <c r="G190" s="13"/>
      <c r="H190" s="13"/>
      <c r="I190" s="13"/>
      <c r="J190" s="13"/>
      <c r="K190" s="13"/>
      <c r="L190" s="13"/>
      <c r="M190" s="13"/>
      <c r="N190" s="13"/>
      <c r="O190" s="13"/>
    </row>
    <row r="191" ht="15.75" customHeight="1">
      <c r="A191" s="13"/>
      <c r="B191" s="13"/>
      <c r="C191" s="13"/>
      <c r="D191" s="13"/>
      <c r="E191" s="13"/>
      <c r="F191" s="13"/>
      <c r="G191" s="13"/>
      <c r="H191" s="13"/>
      <c r="I191" s="13"/>
      <c r="J191" s="13"/>
      <c r="K191" s="13"/>
      <c r="L191" s="13"/>
      <c r="M191" s="13"/>
      <c r="N191" s="13"/>
      <c r="O191" s="13"/>
    </row>
    <row r="192" ht="15.75" customHeight="1">
      <c r="A192" s="13"/>
      <c r="B192" s="13"/>
      <c r="C192" s="13"/>
      <c r="D192" s="13"/>
      <c r="E192" s="13"/>
      <c r="F192" s="13"/>
      <c r="G192" s="13"/>
      <c r="H192" s="13"/>
      <c r="I192" s="13"/>
      <c r="J192" s="13"/>
      <c r="K192" s="13"/>
      <c r="L192" s="13"/>
      <c r="M192" s="13"/>
      <c r="N192" s="13"/>
      <c r="O192" s="13"/>
    </row>
    <row r="193" ht="15.75" customHeight="1">
      <c r="A193" s="13"/>
      <c r="B193" s="13"/>
      <c r="C193" s="13"/>
      <c r="D193" s="13"/>
      <c r="E193" s="13"/>
      <c r="F193" s="13"/>
      <c r="G193" s="13"/>
      <c r="H193" s="13"/>
      <c r="I193" s="13"/>
      <c r="J193" s="13"/>
      <c r="K193" s="13"/>
      <c r="L193" s="13"/>
      <c r="M193" s="13"/>
      <c r="N193" s="13"/>
      <c r="O193" s="13"/>
    </row>
    <row r="194" ht="15.75" customHeight="1">
      <c r="A194" s="13"/>
      <c r="B194" s="13"/>
      <c r="C194" s="13"/>
      <c r="D194" s="13"/>
      <c r="E194" s="13"/>
      <c r="F194" s="13"/>
      <c r="G194" s="13"/>
      <c r="H194" s="13"/>
      <c r="I194" s="13"/>
      <c r="J194" s="13"/>
      <c r="K194" s="13"/>
      <c r="L194" s="13"/>
      <c r="M194" s="13"/>
      <c r="N194" s="13"/>
      <c r="O194" s="13"/>
    </row>
    <row r="195" ht="15.75" customHeight="1">
      <c r="A195" s="13"/>
      <c r="B195" s="13"/>
      <c r="C195" s="13"/>
      <c r="D195" s="13"/>
      <c r="E195" s="13"/>
      <c r="F195" s="13"/>
      <c r="G195" s="13"/>
      <c r="H195" s="13"/>
      <c r="I195" s="13"/>
      <c r="J195" s="13"/>
      <c r="K195" s="13"/>
      <c r="L195" s="13"/>
      <c r="M195" s="13"/>
      <c r="N195" s="13"/>
      <c r="O195" s="13"/>
    </row>
    <row r="196" ht="15.75" customHeight="1">
      <c r="A196" s="13"/>
      <c r="B196" s="13"/>
      <c r="C196" s="13"/>
      <c r="D196" s="13"/>
      <c r="E196" s="13"/>
      <c r="F196" s="13"/>
      <c r="G196" s="13"/>
      <c r="H196" s="13"/>
      <c r="I196" s="13"/>
      <c r="J196" s="13"/>
      <c r="K196" s="13"/>
      <c r="L196" s="13"/>
      <c r="M196" s="13"/>
      <c r="N196" s="13"/>
      <c r="O196" s="13"/>
    </row>
    <row r="197" ht="15.75" customHeight="1">
      <c r="A197" s="13"/>
      <c r="B197" s="13"/>
      <c r="C197" s="13"/>
      <c r="D197" s="13"/>
      <c r="E197" s="13"/>
      <c r="F197" s="13"/>
      <c r="G197" s="13"/>
      <c r="H197" s="13"/>
      <c r="I197" s="13"/>
      <c r="J197" s="13"/>
      <c r="K197" s="13"/>
      <c r="L197" s="13"/>
      <c r="M197" s="13"/>
      <c r="N197" s="13"/>
      <c r="O197" s="13"/>
    </row>
    <row r="198" ht="15.75" customHeight="1">
      <c r="A198" s="13"/>
      <c r="B198" s="13"/>
      <c r="C198" s="13"/>
      <c r="D198" s="13"/>
      <c r="E198" s="13"/>
      <c r="F198" s="13"/>
      <c r="G198" s="13"/>
      <c r="H198" s="13"/>
      <c r="I198" s="13"/>
      <c r="J198" s="13"/>
      <c r="K198" s="13"/>
      <c r="L198" s="13"/>
      <c r="M198" s="13"/>
      <c r="N198" s="13"/>
      <c r="O198" s="13"/>
    </row>
    <row r="199" ht="15.75" customHeight="1">
      <c r="A199" s="13"/>
      <c r="B199" s="13"/>
      <c r="C199" s="13"/>
      <c r="D199" s="13"/>
      <c r="E199" s="13"/>
      <c r="F199" s="13"/>
      <c r="G199" s="13"/>
      <c r="H199" s="13"/>
      <c r="I199" s="13"/>
      <c r="J199" s="13"/>
      <c r="K199" s="13"/>
      <c r="L199" s="13"/>
      <c r="M199" s="13"/>
      <c r="N199" s="13"/>
      <c r="O199" s="13"/>
    </row>
    <row r="200" ht="15.75" customHeight="1">
      <c r="A200" s="13"/>
      <c r="B200" s="13"/>
      <c r="C200" s="13"/>
      <c r="D200" s="13"/>
      <c r="E200" s="13"/>
      <c r="F200" s="13"/>
      <c r="G200" s="13"/>
      <c r="H200" s="13"/>
      <c r="I200" s="13"/>
      <c r="J200" s="13"/>
      <c r="K200" s="13"/>
      <c r="L200" s="13"/>
      <c r="M200" s="13"/>
      <c r="N200" s="13"/>
      <c r="O200" s="13"/>
    </row>
    <row r="201" ht="15.75" customHeight="1">
      <c r="A201" s="13"/>
      <c r="B201" s="13"/>
      <c r="C201" s="13"/>
      <c r="D201" s="13"/>
      <c r="E201" s="13"/>
      <c r="F201" s="13"/>
      <c r="G201" s="13"/>
      <c r="H201" s="13"/>
      <c r="I201" s="13"/>
      <c r="J201" s="13"/>
      <c r="K201" s="13"/>
      <c r="L201" s="13"/>
      <c r="M201" s="13"/>
      <c r="N201" s="13"/>
      <c r="O201" s="13"/>
    </row>
    <row r="202" ht="15.75" customHeight="1">
      <c r="A202" s="13"/>
      <c r="B202" s="13"/>
      <c r="C202" s="13"/>
      <c r="D202" s="13"/>
      <c r="E202" s="13"/>
      <c r="F202" s="13"/>
      <c r="G202" s="13"/>
      <c r="H202" s="13"/>
      <c r="I202" s="13"/>
      <c r="J202" s="13"/>
      <c r="K202" s="13"/>
      <c r="L202" s="13"/>
      <c r="M202" s="13"/>
      <c r="N202" s="13"/>
      <c r="O202" s="13"/>
    </row>
    <row r="203" ht="15.75" customHeight="1">
      <c r="A203" s="13"/>
      <c r="B203" s="13"/>
      <c r="C203" s="13"/>
      <c r="D203" s="13"/>
      <c r="E203" s="13"/>
      <c r="F203" s="13"/>
      <c r="G203" s="13"/>
      <c r="H203" s="13"/>
      <c r="I203" s="13"/>
      <c r="J203" s="13"/>
      <c r="K203" s="13"/>
      <c r="L203" s="13"/>
      <c r="M203" s="13"/>
      <c r="N203" s="13"/>
      <c r="O203" s="13"/>
    </row>
    <row r="204" ht="15.75" customHeight="1">
      <c r="A204" s="13"/>
      <c r="B204" s="13"/>
      <c r="C204" s="13"/>
      <c r="D204" s="13"/>
      <c r="E204" s="13"/>
      <c r="F204" s="13"/>
      <c r="G204" s="13"/>
      <c r="H204" s="13"/>
      <c r="I204" s="13"/>
      <c r="J204" s="13"/>
      <c r="K204" s="13"/>
      <c r="L204" s="13"/>
      <c r="M204" s="13"/>
      <c r="N204" s="13"/>
      <c r="O204" s="13"/>
    </row>
    <row r="205" ht="15.75" customHeight="1">
      <c r="A205" s="13"/>
      <c r="B205" s="13"/>
      <c r="C205" s="13"/>
      <c r="D205" s="13"/>
      <c r="E205" s="13"/>
      <c r="F205" s="13"/>
      <c r="G205" s="13"/>
      <c r="H205" s="13"/>
      <c r="I205" s="13"/>
      <c r="J205" s="13"/>
      <c r="K205" s="13"/>
      <c r="L205" s="13"/>
      <c r="M205" s="13"/>
      <c r="N205" s="13"/>
      <c r="O205" s="13"/>
    </row>
    <row r="206" ht="15.75" customHeight="1">
      <c r="A206" s="13"/>
      <c r="B206" s="13"/>
      <c r="C206" s="13"/>
      <c r="D206" s="13"/>
      <c r="E206" s="13"/>
      <c r="F206" s="13"/>
      <c r="G206" s="13"/>
      <c r="H206" s="13"/>
      <c r="I206" s="13"/>
      <c r="J206" s="13"/>
      <c r="K206" s="13"/>
      <c r="L206" s="13"/>
      <c r="M206" s="13"/>
      <c r="N206" s="13"/>
      <c r="O206" s="13"/>
    </row>
    <row r="207" ht="15.75" customHeight="1">
      <c r="A207" s="13"/>
      <c r="B207" s="13"/>
      <c r="C207" s="13"/>
      <c r="D207" s="13"/>
      <c r="E207" s="13"/>
      <c r="F207" s="13"/>
      <c r="G207" s="13"/>
      <c r="H207" s="13"/>
      <c r="I207" s="13"/>
      <c r="J207" s="13"/>
      <c r="K207" s="13"/>
      <c r="L207" s="13"/>
      <c r="M207" s="13"/>
      <c r="N207" s="13"/>
      <c r="O207" s="13"/>
    </row>
    <row r="208" ht="15.75" customHeight="1">
      <c r="A208" s="13"/>
      <c r="B208" s="13"/>
      <c r="C208" s="13"/>
      <c r="D208" s="13"/>
      <c r="E208" s="13"/>
      <c r="F208" s="13"/>
      <c r="G208" s="13"/>
      <c r="H208" s="13"/>
      <c r="I208" s="13"/>
      <c r="J208" s="13"/>
      <c r="K208" s="13"/>
      <c r="L208" s="13"/>
      <c r="M208" s="13"/>
      <c r="N208" s="13"/>
      <c r="O208" s="13"/>
    </row>
    <row r="209" ht="15.75" customHeight="1">
      <c r="A209" s="13"/>
      <c r="B209" s="13"/>
      <c r="C209" s="13"/>
      <c r="D209" s="13"/>
      <c r="E209" s="13"/>
      <c r="F209" s="13"/>
      <c r="G209" s="13"/>
      <c r="H209" s="13"/>
      <c r="I209" s="13"/>
      <c r="J209" s="13"/>
      <c r="K209" s="13"/>
      <c r="L209" s="13"/>
      <c r="M209" s="13"/>
      <c r="N209" s="13"/>
      <c r="O209" s="13"/>
    </row>
    <row r="210" ht="15.75" customHeight="1">
      <c r="A210" s="13"/>
      <c r="B210" s="13"/>
      <c r="C210" s="13"/>
      <c r="D210" s="13"/>
      <c r="E210" s="13"/>
      <c r="F210" s="13"/>
      <c r="G210" s="13"/>
      <c r="H210" s="13"/>
      <c r="I210" s="13"/>
      <c r="J210" s="13"/>
      <c r="K210" s="13"/>
      <c r="L210" s="13"/>
      <c r="M210" s="13"/>
      <c r="N210" s="13"/>
      <c r="O210" s="13"/>
    </row>
    <row r="211" ht="15.75" customHeight="1">
      <c r="A211" s="13"/>
      <c r="B211" s="13"/>
      <c r="C211" s="13"/>
      <c r="D211" s="13"/>
      <c r="E211" s="13"/>
      <c r="F211" s="13"/>
      <c r="G211" s="13"/>
      <c r="H211" s="13"/>
      <c r="I211" s="13"/>
      <c r="J211" s="13"/>
      <c r="K211" s="13"/>
      <c r="L211" s="13"/>
      <c r="M211" s="13"/>
      <c r="N211" s="13"/>
      <c r="O211" s="13"/>
    </row>
    <row r="212" ht="15.75" customHeight="1">
      <c r="A212" s="13"/>
      <c r="B212" s="13"/>
      <c r="C212" s="13"/>
      <c r="D212" s="13"/>
      <c r="E212" s="13"/>
      <c r="F212" s="13"/>
      <c r="G212" s="13"/>
      <c r="H212" s="13"/>
      <c r="I212" s="13"/>
      <c r="J212" s="13"/>
      <c r="K212" s="13"/>
      <c r="L212" s="13"/>
      <c r="M212" s="13"/>
      <c r="N212" s="13"/>
      <c r="O212" s="13"/>
    </row>
    <row r="213" ht="15.75" customHeight="1">
      <c r="A213" s="13"/>
      <c r="B213" s="13"/>
      <c r="C213" s="13"/>
      <c r="D213" s="13"/>
      <c r="E213" s="13"/>
      <c r="F213" s="13"/>
      <c r="G213" s="13"/>
      <c r="H213" s="13"/>
      <c r="I213" s="13"/>
      <c r="J213" s="13"/>
      <c r="K213" s="13"/>
      <c r="L213" s="13"/>
      <c r="M213" s="13"/>
      <c r="N213" s="13"/>
      <c r="O213" s="13"/>
    </row>
    <row r="214" ht="15.75" customHeight="1">
      <c r="A214" s="13"/>
      <c r="B214" s="13"/>
      <c r="C214" s="13"/>
      <c r="D214" s="13"/>
      <c r="E214" s="13"/>
      <c r="F214" s="13"/>
      <c r="G214" s="13"/>
      <c r="H214" s="13"/>
      <c r="I214" s="13"/>
      <c r="J214" s="13"/>
      <c r="K214" s="13"/>
      <c r="L214" s="13"/>
      <c r="M214" s="13"/>
      <c r="N214" s="13"/>
      <c r="O214" s="13"/>
    </row>
    <row r="215" ht="15.75" customHeight="1">
      <c r="A215" s="13"/>
      <c r="B215" s="13"/>
      <c r="C215" s="13"/>
      <c r="D215" s="13"/>
      <c r="E215" s="13"/>
      <c r="F215" s="13"/>
      <c r="G215" s="13"/>
      <c r="H215" s="13"/>
      <c r="I215" s="13"/>
      <c r="J215" s="13"/>
      <c r="K215" s="13"/>
      <c r="L215" s="13"/>
      <c r="M215" s="13"/>
      <c r="N215" s="13"/>
      <c r="O215" s="13"/>
    </row>
    <row r="216" ht="15.75" customHeight="1">
      <c r="A216" s="13"/>
      <c r="B216" s="13"/>
      <c r="C216" s="13"/>
      <c r="D216" s="13"/>
      <c r="E216" s="13"/>
      <c r="F216" s="13"/>
      <c r="G216" s="13"/>
      <c r="H216" s="13"/>
      <c r="I216" s="13"/>
      <c r="J216" s="13"/>
      <c r="K216" s="13"/>
      <c r="L216" s="13"/>
      <c r="M216" s="13"/>
      <c r="N216" s="13"/>
      <c r="O216" s="13"/>
    </row>
    <row r="217" ht="15.75" customHeight="1">
      <c r="A217" s="13"/>
      <c r="B217" s="13"/>
      <c r="C217" s="13"/>
      <c r="D217" s="13"/>
      <c r="E217" s="13"/>
      <c r="F217" s="13"/>
      <c r="G217" s="13"/>
      <c r="H217" s="13"/>
      <c r="I217" s="13"/>
      <c r="J217" s="13"/>
      <c r="K217" s="13"/>
      <c r="L217" s="13"/>
      <c r="M217" s="13"/>
      <c r="N217" s="13"/>
      <c r="O217" s="13"/>
    </row>
    <row r="218" ht="15.75" customHeight="1">
      <c r="A218" s="13"/>
      <c r="B218" s="13"/>
      <c r="C218" s="13"/>
      <c r="D218" s="13"/>
      <c r="E218" s="13"/>
      <c r="F218" s="13"/>
      <c r="G218" s="13"/>
      <c r="H218" s="13"/>
      <c r="I218" s="13"/>
      <c r="J218" s="13"/>
      <c r="K218" s="13"/>
      <c r="L218" s="13"/>
      <c r="M218" s="13"/>
      <c r="N218" s="13"/>
      <c r="O218" s="13"/>
    </row>
    <row r="219" ht="15.75" customHeight="1">
      <c r="A219" s="13"/>
      <c r="B219" s="13"/>
      <c r="C219" s="13"/>
      <c r="D219" s="13"/>
      <c r="E219" s="13"/>
      <c r="F219" s="13"/>
      <c r="G219" s="13"/>
      <c r="H219" s="13"/>
      <c r="I219" s="13"/>
      <c r="J219" s="13"/>
      <c r="K219" s="13"/>
      <c r="L219" s="13"/>
      <c r="M219" s="13"/>
      <c r="N219" s="13"/>
      <c r="O219" s="13"/>
    </row>
    <row r="220" ht="15.75" customHeight="1">
      <c r="A220" s="13"/>
      <c r="B220" s="13"/>
      <c r="C220" s="13"/>
      <c r="D220" s="13"/>
      <c r="E220" s="13"/>
      <c r="F220" s="13"/>
      <c r="G220" s="13"/>
      <c r="H220" s="13"/>
      <c r="I220" s="13"/>
      <c r="J220" s="13"/>
      <c r="K220" s="13"/>
      <c r="L220" s="13"/>
      <c r="M220" s="13"/>
      <c r="N220" s="13"/>
      <c r="O220" s="13"/>
    </row>
    <row r="221" ht="15.75" customHeight="1">
      <c r="A221" s="13"/>
      <c r="B221" s="13"/>
      <c r="C221" s="13"/>
      <c r="D221" s="13"/>
      <c r="E221" s="13"/>
      <c r="F221" s="13"/>
      <c r="G221" s="13"/>
      <c r="H221" s="13"/>
      <c r="I221" s="13"/>
      <c r="J221" s="13"/>
      <c r="K221" s="13"/>
      <c r="L221" s="13"/>
      <c r="M221" s="13"/>
      <c r="N221" s="13"/>
      <c r="O221" s="13"/>
    </row>
    <row r="222" ht="15.75" customHeight="1">
      <c r="A222" s="13"/>
      <c r="B222" s="13"/>
      <c r="C222" s="13"/>
      <c r="D222" s="13"/>
      <c r="E222" s="13"/>
      <c r="F222" s="13"/>
      <c r="G222" s="13"/>
      <c r="H222" s="13"/>
      <c r="I222" s="13"/>
      <c r="J222" s="13"/>
      <c r="K222" s="13"/>
      <c r="L222" s="13"/>
      <c r="M222" s="13"/>
      <c r="N222" s="13"/>
      <c r="O222" s="13"/>
    </row>
    <row r="223" ht="15.75" customHeight="1">
      <c r="A223" s="13"/>
      <c r="B223" s="13"/>
      <c r="C223" s="13"/>
      <c r="D223" s="13"/>
      <c r="E223" s="13"/>
      <c r="F223" s="13"/>
      <c r="G223" s="13"/>
      <c r="H223" s="13"/>
      <c r="I223" s="13"/>
      <c r="J223" s="13"/>
      <c r="K223" s="13"/>
      <c r="L223" s="13"/>
      <c r="M223" s="13"/>
      <c r="N223" s="13"/>
      <c r="O223" s="13"/>
    </row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B1:D2"/>
    <mergeCell ref="E1:F2"/>
  </mergeCells>
  <dataValidations>
    <dataValidation type="list" allowBlank="1" showErrorMessage="1" sqref="G4:O65 J66:O66 M67:O67 G68:O124">
      <formula1>"선택,완료"</formula1>
    </dataValidation>
  </dataValidations>
  <hyperlinks>
    <hyperlink r:id="rId1" ref="D5"/>
    <hyperlink r:id="rId2" ref="D22"/>
    <hyperlink r:id="rId3" ref="D23"/>
    <hyperlink r:id="rId4" ref="D27"/>
    <hyperlink r:id="rId5" ref="D44"/>
    <hyperlink r:id="rId6" ref="D45"/>
    <hyperlink r:id="rId7" ref="D50"/>
    <hyperlink r:id="rId8" ref="D51"/>
    <hyperlink r:id="rId9" ref="D55"/>
    <hyperlink r:id="rId10" ref="D64"/>
    <hyperlink r:id="rId11" ref="D69"/>
    <hyperlink r:id="rId12" ref="D86"/>
    <hyperlink r:id="rId13" ref="D98"/>
  </hyperlinks>
  <drawing r:id="rId14"/>
  <tableParts count="1">
    <tablePart r:id="rId16"/>
  </tableParts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0"/>
  <cols>
    <col customWidth="1" min="1" max="1" width="6.13"/>
    <col customWidth="1" min="2" max="2" width="4.88"/>
    <col customWidth="1" min="3" max="3" width="18.63"/>
    <col customWidth="1" min="4" max="4" width="21.13"/>
    <col customWidth="1" min="5" max="6" width="12.63"/>
  </cols>
  <sheetData>
    <row r="1" ht="15.75" customHeight="1">
      <c r="A1" s="59"/>
      <c r="B1" s="60" t="s">
        <v>0</v>
      </c>
      <c r="E1" s="3" t="s">
        <v>1</v>
      </c>
      <c r="G1" s="5" t="s">
        <v>244</v>
      </c>
      <c r="H1" s="5" t="s">
        <v>245</v>
      </c>
      <c r="I1" s="5" t="s">
        <v>246</v>
      </c>
      <c r="J1" s="5" t="s">
        <v>247</v>
      </c>
      <c r="K1" s="5" t="s">
        <v>248</v>
      </c>
      <c r="L1" s="5" t="s">
        <v>249</v>
      </c>
      <c r="M1" s="5" t="s">
        <v>250</v>
      </c>
      <c r="N1" s="94" t="s">
        <v>251</v>
      </c>
      <c r="O1" s="5" t="s">
        <v>252</v>
      </c>
      <c r="P1" s="5"/>
    </row>
    <row r="2" ht="15.75" customHeight="1">
      <c r="A2" s="61"/>
      <c r="G2" s="7" t="s">
        <v>253</v>
      </c>
      <c r="H2" s="7" t="s">
        <v>254</v>
      </c>
      <c r="I2" s="7" t="s">
        <v>255</v>
      </c>
      <c r="J2" s="7" t="s">
        <v>255</v>
      </c>
      <c r="K2" s="7" t="s">
        <v>256</v>
      </c>
      <c r="L2" s="7" t="s">
        <v>257</v>
      </c>
      <c r="M2" s="7" t="s">
        <v>258</v>
      </c>
      <c r="N2" s="7" t="s">
        <v>259</v>
      </c>
      <c r="O2" s="7" t="s">
        <v>260</v>
      </c>
      <c r="P2" s="5"/>
    </row>
    <row r="3" ht="15.75" customHeight="1">
      <c r="A3" s="1"/>
      <c r="B3" s="1"/>
      <c r="C3" s="1"/>
      <c r="D3" s="1"/>
      <c r="E3" s="8"/>
      <c r="F3" s="8"/>
      <c r="G3" s="10" t="str">
        <f t="shared" ref="G3:O3" si="1">COUNTIF(G5:G200, "완료") &amp; "명 완료"
</f>
        <v>55명 완료</v>
      </c>
      <c r="H3" s="10" t="str">
        <f t="shared" si="1"/>
        <v>57명 완료</v>
      </c>
      <c r="I3" s="10" t="str">
        <f t="shared" si="1"/>
        <v>54명 완료</v>
      </c>
      <c r="J3" s="10" t="str">
        <f t="shared" si="1"/>
        <v>57명 완료</v>
      </c>
      <c r="K3" s="10" t="str">
        <f t="shared" si="1"/>
        <v>50명 완료</v>
      </c>
      <c r="L3" s="10" t="str">
        <f t="shared" si="1"/>
        <v>51명 완료</v>
      </c>
      <c r="M3" s="10" t="str">
        <f t="shared" si="1"/>
        <v>45명 완료</v>
      </c>
      <c r="N3" s="10" t="str">
        <f t="shared" si="1"/>
        <v>50명 완료</v>
      </c>
      <c r="O3" s="10" t="str">
        <f t="shared" si="1"/>
        <v>45명 완료</v>
      </c>
      <c r="P3" s="11"/>
    </row>
    <row r="4" ht="15.75" customHeight="1">
      <c r="A4" s="62"/>
      <c r="B4" s="63" t="s">
        <v>20</v>
      </c>
      <c r="C4" s="64" t="s">
        <v>21</v>
      </c>
      <c r="D4" s="64" t="s">
        <v>22</v>
      </c>
      <c r="E4" s="65" t="s">
        <v>23</v>
      </c>
      <c r="F4" s="65" t="s">
        <v>24</v>
      </c>
      <c r="G4" s="66" t="s">
        <v>25</v>
      </c>
      <c r="H4" s="66" t="s">
        <v>25</v>
      </c>
      <c r="I4" s="66" t="s">
        <v>25</v>
      </c>
      <c r="J4" s="66" t="s">
        <v>25</v>
      </c>
      <c r="K4" s="66" t="s">
        <v>25</v>
      </c>
      <c r="L4" s="66" t="s">
        <v>25</v>
      </c>
      <c r="M4" s="66" t="s">
        <v>25</v>
      </c>
      <c r="N4" s="66" t="s">
        <v>25</v>
      </c>
      <c r="O4" s="66" t="s">
        <v>25</v>
      </c>
      <c r="P4" s="67"/>
    </row>
    <row r="5" ht="15.75" customHeight="1">
      <c r="A5" s="68"/>
      <c r="B5" s="21">
        <v>1.0</v>
      </c>
      <c r="C5" s="22" t="s">
        <v>26</v>
      </c>
      <c r="D5" s="69" t="s">
        <v>27</v>
      </c>
      <c r="E5" s="70" t="str">
        <f t="shared" ref="E5:E64" si="2">IF(COUNTIF(G5:O5, "완료")=0, "", COUNTIF($G$4:$O$4, "완료") &amp; "번 중 " &amp; COUNTIF(G5:O5, "완료") &amp; "번 참여")
</f>
        <v>9번 중 9번 참여</v>
      </c>
      <c r="F5" s="71">
        <f t="shared" ref="F5:F64" si="3">IF(COUNTIF($G$4:$O$4, "완료")=0, "", IF(COUNTIF(G5:O5, "완료")=0, "", COUNTIF(G5:O5, "완료") / COUNTIF($G$4:$O$4, "완료")))
</f>
        <v>1</v>
      </c>
      <c r="G5" s="26" t="s">
        <v>25</v>
      </c>
      <c r="H5" s="26" t="s">
        <v>25</v>
      </c>
      <c r="I5" s="26" t="s">
        <v>25</v>
      </c>
      <c r="J5" s="26" t="s">
        <v>25</v>
      </c>
      <c r="K5" s="26" t="s">
        <v>25</v>
      </c>
      <c r="L5" s="26" t="s">
        <v>25</v>
      </c>
      <c r="M5" s="26" t="s">
        <v>25</v>
      </c>
      <c r="N5" s="26" t="s">
        <v>25</v>
      </c>
      <c r="O5" s="26" t="s">
        <v>25</v>
      </c>
      <c r="P5" s="27"/>
    </row>
    <row r="6" ht="15.75" customHeight="1">
      <c r="A6" s="47"/>
      <c r="B6" s="29">
        <v>2.0</v>
      </c>
      <c r="C6" s="30" t="s">
        <v>28</v>
      </c>
      <c r="D6" s="30" t="s">
        <v>29</v>
      </c>
      <c r="E6" s="70" t="str">
        <f t="shared" si="2"/>
        <v>9번 중 9번 참여</v>
      </c>
      <c r="F6" s="71">
        <f t="shared" si="3"/>
        <v>1</v>
      </c>
      <c r="G6" s="26" t="s">
        <v>25</v>
      </c>
      <c r="H6" s="26" t="s">
        <v>25</v>
      </c>
      <c r="I6" s="26" t="s">
        <v>25</v>
      </c>
      <c r="J6" s="26" t="s">
        <v>25</v>
      </c>
      <c r="K6" s="26" t="s">
        <v>25</v>
      </c>
      <c r="L6" s="26" t="s">
        <v>25</v>
      </c>
      <c r="M6" s="26" t="s">
        <v>25</v>
      </c>
      <c r="N6" s="26" t="s">
        <v>25</v>
      </c>
      <c r="O6" s="26" t="s">
        <v>25</v>
      </c>
      <c r="P6" s="27"/>
    </row>
    <row r="7" ht="15.75" customHeight="1">
      <c r="A7" s="68"/>
      <c r="B7" s="21">
        <v>3.0</v>
      </c>
      <c r="C7" s="30" t="s">
        <v>30</v>
      </c>
      <c r="D7" s="30" t="s">
        <v>31</v>
      </c>
      <c r="E7" s="70" t="str">
        <f t="shared" si="2"/>
        <v>9번 중 5번 참여</v>
      </c>
      <c r="F7" s="71">
        <f t="shared" si="3"/>
        <v>0.5555555556</v>
      </c>
      <c r="G7" s="26" t="s">
        <v>25</v>
      </c>
      <c r="H7" s="26" t="s">
        <v>25</v>
      </c>
      <c r="I7" s="26" t="s">
        <v>25</v>
      </c>
      <c r="J7" s="26" t="s">
        <v>25</v>
      </c>
      <c r="K7" s="26" t="s">
        <v>25</v>
      </c>
      <c r="L7" s="26"/>
      <c r="M7" s="26"/>
      <c r="N7" s="26"/>
      <c r="O7" s="26"/>
      <c r="P7" s="27"/>
    </row>
    <row r="8" ht="15.75" customHeight="1">
      <c r="A8" s="47"/>
      <c r="B8" s="29">
        <v>4.0</v>
      </c>
      <c r="C8" s="22" t="s">
        <v>32</v>
      </c>
      <c r="D8" s="22" t="s">
        <v>33</v>
      </c>
      <c r="E8" s="70" t="str">
        <f t="shared" si="2"/>
        <v>9번 중 5번 참여</v>
      </c>
      <c r="F8" s="71">
        <f t="shared" si="3"/>
        <v>0.5555555556</v>
      </c>
      <c r="G8" s="26" t="s">
        <v>25</v>
      </c>
      <c r="H8" s="26" t="s">
        <v>25</v>
      </c>
      <c r="I8" s="26" t="s">
        <v>25</v>
      </c>
      <c r="J8" s="26" t="s">
        <v>25</v>
      </c>
      <c r="K8" s="26" t="s">
        <v>25</v>
      </c>
      <c r="L8" s="26"/>
      <c r="M8" s="26"/>
      <c r="N8" s="26"/>
      <c r="O8" s="26"/>
      <c r="P8" s="27"/>
    </row>
    <row r="9" ht="15.75" customHeight="1">
      <c r="A9" s="68"/>
      <c r="B9" s="21">
        <v>5.0</v>
      </c>
      <c r="C9" s="30" t="s">
        <v>34</v>
      </c>
      <c r="D9" s="30" t="s">
        <v>35</v>
      </c>
      <c r="E9" s="70" t="str">
        <f t="shared" si="2"/>
        <v>9번 중 9번 참여</v>
      </c>
      <c r="F9" s="71">
        <f t="shared" si="3"/>
        <v>1</v>
      </c>
      <c r="G9" s="26" t="s">
        <v>25</v>
      </c>
      <c r="H9" s="26" t="s">
        <v>25</v>
      </c>
      <c r="I9" s="26" t="s">
        <v>25</v>
      </c>
      <c r="J9" s="26" t="s">
        <v>25</v>
      </c>
      <c r="K9" s="26" t="s">
        <v>25</v>
      </c>
      <c r="L9" s="26" t="s">
        <v>25</v>
      </c>
      <c r="M9" s="26" t="s">
        <v>25</v>
      </c>
      <c r="N9" s="26" t="s">
        <v>25</v>
      </c>
      <c r="O9" s="26" t="s">
        <v>25</v>
      </c>
      <c r="P9" s="27"/>
    </row>
    <row r="10" ht="15.75" customHeight="1">
      <c r="A10" s="47"/>
      <c r="B10" s="29">
        <v>6.0</v>
      </c>
      <c r="C10" s="22" t="s">
        <v>36</v>
      </c>
      <c r="D10" s="22" t="s">
        <v>37</v>
      </c>
      <c r="E10" s="70" t="str">
        <f t="shared" si="2"/>
        <v>9번 중 8번 참여</v>
      </c>
      <c r="F10" s="71">
        <f t="shared" si="3"/>
        <v>0.8888888889</v>
      </c>
      <c r="G10" s="26" t="s">
        <v>25</v>
      </c>
      <c r="H10" s="26" t="s">
        <v>25</v>
      </c>
      <c r="I10" s="26" t="s">
        <v>25</v>
      </c>
      <c r="J10" s="26" t="s">
        <v>25</v>
      </c>
      <c r="K10" s="26" t="s">
        <v>25</v>
      </c>
      <c r="L10" s="26" t="s">
        <v>25</v>
      </c>
      <c r="M10" s="26"/>
      <c r="N10" s="26" t="s">
        <v>25</v>
      </c>
      <c r="O10" s="26" t="s">
        <v>25</v>
      </c>
      <c r="P10" s="27"/>
    </row>
    <row r="11" ht="15.75" customHeight="1">
      <c r="A11" s="68"/>
      <c r="B11" s="21">
        <v>7.0</v>
      </c>
      <c r="C11" s="30" t="s">
        <v>38</v>
      </c>
      <c r="D11" s="30" t="s">
        <v>39</v>
      </c>
      <c r="E11" s="70" t="str">
        <f t="shared" si="2"/>
        <v>9번 중 9번 참여</v>
      </c>
      <c r="F11" s="71">
        <f t="shared" si="3"/>
        <v>1</v>
      </c>
      <c r="G11" s="26" t="s">
        <v>25</v>
      </c>
      <c r="H11" s="26" t="s">
        <v>25</v>
      </c>
      <c r="I11" s="26" t="s">
        <v>25</v>
      </c>
      <c r="J11" s="26" t="s">
        <v>25</v>
      </c>
      <c r="K11" s="26" t="s">
        <v>25</v>
      </c>
      <c r="L11" s="26" t="s">
        <v>25</v>
      </c>
      <c r="M11" s="26" t="s">
        <v>25</v>
      </c>
      <c r="N11" s="26" t="s">
        <v>25</v>
      </c>
      <c r="O11" s="26" t="s">
        <v>25</v>
      </c>
      <c r="P11" s="27"/>
    </row>
    <row r="12" ht="15.75" customHeight="1">
      <c r="A12" s="47"/>
      <c r="B12" s="29">
        <v>8.0</v>
      </c>
      <c r="C12" s="22" t="s">
        <v>40</v>
      </c>
      <c r="D12" s="22" t="s">
        <v>41</v>
      </c>
      <c r="E12" s="70" t="str">
        <f t="shared" si="2"/>
        <v>9번 중 9번 참여</v>
      </c>
      <c r="F12" s="71">
        <f t="shared" si="3"/>
        <v>1</v>
      </c>
      <c r="G12" s="26" t="s">
        <v>25</v>
      </c>
      <c r="H12" s="26" t="s">
        <v>25</v>
      </c>
      <c r="I12" s="26" t="s">
        <v>25</v>
      </c>
      <c r="J12" s="26" t="s">
        <v>25</v>
      </c>
      <c r="K12" s="26" t="s">
        <v>25</v>
      </c>
      <c r="L12" s="26" t="s">
        <v>25</v>
      </c>
      <c r="M12" s="26" t="s">
        <v>25</v>
      </c>
      <c r="N12" s="26" t="s">
        <v>25</v>
      </c>
      <c r="O12" s="26" t="s">
        <v>25</v>
      </c>
      <c r="P12" s="27"/>
    </row>
    <row r="13" ht="15.75" customHeight="1">
      <c r="A13" s="68"/>
      <c r="B13" s="21">
        <v>9.0</v>
      </c>
      <c r="C13" s="30" t="s">
        <v>42</v>
      </c>
      <c r="D13" s="30" t="s">
        <v>43</v>
      </c>
      <c r="E13" s="70" t="str">
        <f t="shared" si="2"/>
        <v>9번 중 7번 참여</v>
      </c>
      <c r="F13" s="71">
        <f t="shared" si="3"/>
        <v>0.7777777778</v>
      </c>
      <c r="G13" s="26" t="s">
        <v>25</v>
      </c>
      <c r="H13" s="26" t="s">
        <v>25</v>
      </c>
      <c r="I13" s="26" t="s">
        <v>25</v>
      </c>
      <c r="J13" s="26" t="s">
        <v>25</v>
      </c>
      <c r="K13" s="26"/>
      <c r="L13" s="26" t="s">
        <v>25</v>
      </c>
      <c r="M13" s="26"/>
      <c r="N13" s="26" t="s">
        <v>25</v>
      </c>
      <c r="O13" s="26" t="s">
        <v>25</v>
      </c>
      <c r="P13" s="27"/>
    </row>
    <row r="14" ht="15.75" customHeight="1">
      <c r="A14" s="47"/>
      <c r="B14" s="29">
        <v>10.0</v>
      </c>
      <c r="C14" s="22" t="s">
        <v>44</v>
      </c>
      <c r="D14" s="22" t="s">
        <v>45</v>
      </c>
      <c r="E14" s="70" t="str">
        <f t="shared" si="2"/>
        <v>9번 중 9번 참여</v>
      </c>
      <c r="F14" s="71">
        <f t="shared" si="3"/>
        <v>1</v>
      </c>
      <c r="G14" s="26" t="s">
        <v>25</v>
      </c>
      <c r="H14" s="26" t="s">
        <v>25</v>
      </c>
      <c r="I14" s="26" t="s">
        <v>25</v>
      </c>
      <c r="J14" s="26" t="s">
        <v>25</v>
      </c>
      <c r="K14" s="26" t="s">
        <v>25</v>
      </c>
      <c r="L14" s="26" t="s">
        <v>25</v>
      </c>
      <c r="M14" s="26" t="s">
        <v>25</v>
      </c>
      <c r="N14" s="26" t="s">
        <v>25</v>
      </c>
      <c r="O14" s="26" t="s">
        <v>25</v>
      </c>
      <c r="P14" s="27"/>
    </row>
    <row r="15" ht="15.75" customHeight="1">
      <c r="A15" s="68"/>
      <c r="B15" s="21">
        <v>11.0</v>
      </c>
      <c r="C15" s="30" t="s">
        <v>46</v>
      </c>
      <c r="D15" s="30" t="s">
        <v>47</v>
      </c>
      <c r="E15" s="70" t="str">
        <f t="shared" si="2"/>
        <v>9번 중 9번 참여</v>
      </c>
      <c r="F15" s="71">
        <f t="shared" si="3"/>
        <v>1</v>
      </c>
      <c r="G15" s="26" t="s">
        <v>25</v>
      </c>
      <c r="H15" s="26" t="s">
        <v>25</v>
      </c>
      <c r="I15" s="26" t="s">
        <v>25</v>
      </c>
      <c r="J15" s="26" t="s">
        <v>25</v>
      </c>
      <c r="K15" s="26" t="s">
        <v>25</v>
      </c>
      <c r="L15" s="26" t="s">
        <v>25</v>
      </c>
      <c r="M15" s="26" t="s">
        <v>25</v>
      </c>
      <c r="N15" s="26" t="s">
        <v>25</v>
      </c>
      <c r="O15" s="26" t="s">
        <v>25</v>
      </c>
      <c r="P15" s="27"/>
    </row>
    <row r="16" ht="15.75" customHeight="1">
      <c r="A16" s="47"/>
      <c r="B16" s="29">
        <v>12.0</v>
      </c>
      <c r="C16" s="22" t="s">
        <v>48</v>
      </c>
      <c r="D16" s="22" t="s">
        <v>49</v>
      </c>
      <c r="E16" s="70" t="str">
        <f t="shared" si="2"/>
        <v>9번 중 9번 참여</v>
      </c>
      <c r="F16" s="71">
        <f t="shared" si="3"/>
        <v>1</v>
      </c>
      <c r="G16" s="26" t="s">
        <v>25</v>
      </c>
      <c r="H16" s="26" t="s">
        <v>25</v>
      </c>
      <c r="I16" s="26" t="s">
        <v>25</v>
      </c>
      <c r="J16" s="26" t="s">
        <v>25</v>
      </c>
      <c r="K16" s="26" t="s">
        <v>25</v>
      </c>
      <c r="L16" s="26" t="s">
        <v>25</v>
      </c>
      <c r="M16" s="26" t="s">
        <v>25</v>
      </c>
      <c r="N16" s="26" t="s">
        <v>25</v>
      </c>
      <c r="O16" s="26" t="s">
        <v>25</v>
      </c>
      <c r="P16" s="27"/>
    </row>
    <row r="17" ht="15.75" customHeight="1">
      <c r="A17" s="68"/>
      <c r="B17" s="21">
        <v>13.0</v>
      </c>
      <c r="C17" s="30" t="s">
        <v>50</v>
      </c>
      <c r="D17" s="30" t="s">
        <v>51</v>
      </c>
      <c r="E17" s="70" t="str">
        <f t="shared" si="2"/>
        <v>9번 중 6번 참여</v>
      </c>
      <c r="F17" s="71">
        <f t="shared" si="3"/>
        <v>0.6666666667</v>
      </c>
      <c r="G17" s="26" t="s">
        <v>25</v>
      </c>
      <c r="H17" s="26" t="s">
        <v>25</v>
      </c>
      <c r="I17" s="26" t="s">
        <v>25</v>
      </c>
      <c r="J17" s="26" t="s">
        <v>25</v>
      </c>
      <c r="K17" s="26" t="s">
        <v>25</v>
      </c>
      <c r="L17" s="26" t="s">
        <v>25</v>
      </c>
      <c r="M17" s="26"/>
      <c r="N17" s="26"/>
      <c r="O17" s="26"/>
      <c r="P17" s="27"/>
    </row>
    <row r="18" ht="15.75" customHeight="1">
      <c r="A18" s="47"/>
      <c r="B18" s="29">
        <v>14.0</v>
      </c>
      <c r="C18" s="22" t="s">
        <v>52</v>
      </c>
      <c r="D18" s="22" t="s">
        <v>53</v>
      </c>
      <c r="E18" s="70" t="str">
        <f t="shared" si="2"/>
        <v/>
      </c>
      <c r="F18" s="71" t="str">
        <f t="shared" si="3"/>
        <v/>
      </c>
      <c r="G18" s="26"/>
      <c r="H18" s="26"/>
      <c r="I18" s="26"/>
      <c r="J18" s="26"/>
      <c r="K18" s="26"/>
      <c r="L18" s="26"/>
      <c r="M18" s="26"/>
      <c r="N18" s="26"/>
      <c r="O18" s="26"/>
      <c r="P18" s="27"/>
    </row>
    <row r="19" ht="15.75" customHeight="1">
      <c r="A19" s="68"/>
      <c r="B19" s="21">
        <v>15.0</v>
      </c>
      <c r="C19" s="22" t="s">
        <v>54</v>
      </c>
      <c r="D19" s="22" t="s">
        <v>55</v>
      </c>
      <c r="E19" s="70" t="str">
        <f t="shared" si="2"/>
        <v>9번 중 8번 참여</v>
      </c>
      <c r="F19" s="71">
        <f t="shared" si="3"/>
        <v>0.8888888889</v>
      </c>
      <c r="G19" s="26" t="s">
        <v>25</v>
      </c>
      <c r="H19" s="26" t="s">
        <v>25</v>
      </c>
      <c r="I19" s="26" t="s">
        <v>25</v>
      </c>
      <c r="J19" s="26" t="s">
        <v>25</v>
      </c>
      <c r="K19" s="26" t="s">
        <v>25</v>
      </c>
      <c r="L19" s="26" t="s">
        <v>25</v>
      </c>
      <c r="M19" s="26" t="s">
        <v>25</v>
      </c>
      <c r="N19" s="26" t="s">
        <v>25</v>
      </c>
      <c r="O19" s="26"/>
      <c r="P19" s="27"/>
    </row>
    <row r="20" ht="15.75" customHeight="1">
      <c r="A20" s="47"/>
      <c r="B20" s="29">
        <v>16.0</v>
      </c>
      <c r="C20" s="22" t="s">
        <v>56</v>
      </c>
      <c r="D20" s="22" t="s">
        <v>57</v>
      </c>
      <c r="E20" s="70" t="str">
        <f t="shared" si="2"/>
        <v>9번 중 9번 참여</v>
      </c>
      <c r="F20" s="71">
        <f t="shared" si="3"/>
        <v>1</v>
      </c>
      <c r="G20" s="26" t="s">
        <v>25</v>
      </c>
      <c r="H20" s="26" t="s">
        <v>25</v>
      </c>
      <c r="I20" s="26" t="s">
        <v>25</v>
      </c>
      <c r="J20" s="26" t="s">
        <v>25</v>
      </c>
      <c r="K20" s="26" t="s">
        <v>25</v>
      </c>
      <c r="L20" s="26" t="s">
        <v>25</v>
      </c>
      <c r="M20" s="26" t="s">
        <v>25</v>
      </c>
      <c r="N20" s="26" t="s">
        <v>25</v>
      </c>
      <c r="O20" s="26" t="s">
        <v>25</v>
      </c>
      <c r="P20" s="27"/>
    </row>
    <row r="21" ht="15.75" customHeight="1">
      <c r="A21" s="68"/>
      <c r="B21" s="21">
        <v>17.0</v>
      </c>
      <c r="C21" s="30" t="s">
        <v>58</v>
      </c>
      <c r="D21" s="72" t="s">
        <v>59</v>
      </c>
      <c r="E21" s="70" t="str">
        <f t="shared" si="2"/>
        <v/>
      </c>
      <c r="F21" s="71" t="str">
        <f t="shared" si="3"/>
        <v/>
      </c>
      <c r="G21" s="26"/>
      <c r="H21" s="26"/>
      <c r="I21" s="26"/>
      <c r="J21" s="26"/>
      <c r="K21" s="26"/>
      <c r="L21" s="26"/>
      <c r="M21" s="26"/>
      <c r="N21" s="26"/>
      <c r="O21" s="26"/>
      <c r="P21" s="27"/>
    </row>
    <row r="22" ht="15.75" customHeight="1">
      <c r="A22" s="47"/>
      <c r="B22" s="29">
        <v>18.0</v>
      </c>
      <c r="C22" s="22" t="s">
        <v>60</v>
      </c>
      <c r="D22" s="69" t="s">
        <v>61</v>
      </c>
      <c r="E22" s="70" t="str">
        <f t="shared" si="2"/>
        <v>9번 중 4번 참여</v>
      </c>
      <c r="F22" s="71">
        <f t="shared" si="3"/>
        <v>0.4444444444</v>
      </c>
      <c r="G22" s="26" t="s">
        <v>25</v>
      </c>
      <c r="H22" s="26" t="s">
        <v>25</v>
      </c>
      <c r="I22" s="26" t="s">
        <v>25</v>
      </c>
      <c r="J22" s="26" t="s">
        <v>25</v>
      </c>
      <c r="K22" s="26"/>
      <c r="L22" s="26"/>
      <c r="M22" s="26"/>
      <c r="N22" s="26"/>
      <c r="O22" s="26"/>
      <c r="P22" s="27"/>
    </row>
    <row r="23" ht="15.75" customHeight="1">
      <c r="A23" s="68"/>
      <c r="B23" s="21">
        <v>19.0</v>
      </c>
      <c r="C23" s="42" t="s">
        <v>62</v>
      </c>
      <c r="D23" s="73" t="s">
        <v>63</v>
      </c>
      <c r="E23" s="70" t="str">
        <f t="shared" si="2"/>
        <v>9번 중 9번 참여</v>
      </c>
      <c r="F23" s="71">
        <f t="shared" si="3"/>
        <v>1</v>
      </c>
      <c r="G23" s="26" t="s">
        <v>25</v>
      </c>
      <c r="H23" s="26" t="s">
        <v>25</v>
      </c>
      <c r="I23" s="26" t="s">
        <v>25</v>
      </c>
      <c r="J23" s="26" t="s">
        <v>25</v>
      </c>
      <c r="K23" s="26" t="s">
        <v>25</v>
      </c>
      <c r="L23" s="26" t="s">
        <v>25</v>
      </c>
      <c r="M23" s="26" t="s">
        <v>25</v>
      </c>
      <c r="N23" s="26" t="s">
        <v>25</v>
      </c>
      <c r="O23" s="26" t="s">
        <v>25</v>
      </c>
      <c r="P23" s="27"/>
    </row>
    <row r="24" ht="15.75" customHeight="1">
      <c r="A24" s="47"/>
      <c r="B24" s="29">
        <v>20.0</v>
      </c>
      <c r="C24" s="22" t="s">
        <v>64</v>
      </c>
      <c r="D24" s="74" t="s">
        <v>65</v>
      </c>
      <c r="E24" s="70" t="str">
        <f t="shared" si="2"/>
        <v/>
      </c>
      <c r="F24" s="71" t="str">
        <f t="shared" si="3"/>
        <v/>
      </c>
      <c r="G24" s="26"/>
      <c r="H24" s="26"/>
      <c r="I24" s="26"/>
      <c r="J24" s="26"/>
      <c r="K24" s="26"/>
      <c r="L24" s="26"/>
      <c r="M24" s="26"/>
      <c r="N24" s="26"/>
      <c r="O24" s="26"/>
      <c r="P24" s="27"/>
    </row>
    <row r="25" ht="15.75" customHeight="1">
      <c r="A25" s="68"/>
      <c r="B25" s="21">
        <v>21.0</v>
      </c>
      <c r="C25" s="30" t="s">
        <v>66</v>
      </c>
      <c r="D25" s="72" t="s">
        <v>67</v>
      </c>
      <c r="E25" s="70" t="str">
        <f t="shared" si="2"/>
        <v>9번 중 8번 참여</v>
      </c>
      <c r="F25" s="71">
        <f t="shared" si="3"/>
        <v>0.8888888889</v>
      </c>
      <c r="G25" s="26" t="s">
        <v>25</v>
      </c>
      <c r="H25" s="26" t="s">
        <v>25</v>
      </c>
      <c r="I25" s="26" t="s">
        <v>25</v>
      </c>
      <c r="J25" s="26" t="s">
        <v>25</v>
      </c>
      <c r="K25" s="26" t="s">
        <v>25</v>
      </c>
      <c r="L25" s="26" t="s">
        <v>25</v>
      </c>
      <c r="M25" s="26" t="s">
        <v>25</v>
      </c>
      <c r="N25" s="26" t="s">
        <v>25</v>
      </c>
      <c r="O25" s="26"/>
      <c r="P25" s="27"/>
    </row>
    <row r="26" ht="15.75" customHeight="1">
      <c r="A26" s="47"/>
      <c r="B26" s="29">
        <v>22.0</v>
      </c>
      <c r="C26" s="75" t="s">
        <v>68</v>
      </c>
      <c r="D26" s="76" t="s">
        <v>69</v>
      </c>
      <c r="E26" s="70" t="str">
        <f t="shared" si="2"/>
        <v/>
      </c>
      <c r="F26" s="71" t="str">
        <f t="shared" si="3"/>
        <v/>
      </c>
      <c r="G26" s="26"/>
      <c r="H26" s="26"/>
      <c r="I26" s="26"/>
      <c r="J26" s="26"/>
      <c r="K26" s="26"/>
      <c r="L26" s="26"/>
      <c r="M26" s="26"/>
      <c r="N26" s="26"/>
      <c r="O26" s="26"/>
      <c r="P26" s="27"/>
    </row>
    <row r="27" ht="15.75" customHeight="1">
      <c r="A27" s="68"/>
      <c r="B27" s="21">
        <v>23.0</v>
      </c>
      <c r="C27" s="22" t="s">
        <v>26</v>
      </c>
      <c r="D27" s="69" t="s">
        <v>27</v>
      </c>
      <c r="E27" s="70" t="str">
        <f t="shared" si="2"/>
        <v/>
      </c>
      <c r="F27" s="71" t="str">
        <f t="shared" si="3"/>
        <v/>
      </c>
      <c r="G27" s="26"/>
      <c r="H27" s="26"/>
      <c r="I27" s="26"/>
      <c r="J27" s="26"/>
      <c r="K27" s="26"/>
      <c r="L27" s="26"/>
      <c r="M27" s="26"/>
      <c r="N27" s="26"/>
      <c r="O27" s="26"/>
      <c r="P27" s="27"/>
    </row>
    <row r="28" ht="15.75" customHeight="1">
      <c r="A28" s="47"/>
      <c r="B28" s="29">
        <v>24.0</v>
      </c>
      <c r="C28" s="30" t="s">
        <v>28</v>
      </c>
      <c r="D28" s="30" t="s">
        <v>70</v>
      </c>
      <c r="E28" s="70" t="str">
        <f t="shared" si="2"/>
        <v>9번 중 9번 참여</v>
      </c>
      <c r="F28" s="71">
        <f t="shared" si="3"/>
        <v>1</v>
      </c>
      <c r="G28" s="26" t="s">
        <v>25</v>
      </c>
      <c r="H28" s="26" t="s">
        <v>25</v>
      </c>
      <c r="I28" s="26" t="s">
        <v>25</v>
      </c>
      <c r="J28" s="26" t="s">
        <v>25</v>
      </c>
      <c r="K28" s="26" t="s">
        <v>25</v>
      </c>
      <c r="L28" s="26" t="s">
        <v>25</v>
      </c>
      <c r="M28" s="26" t="s">
        <v>25</v>
      </c>
      <c r="N28" s="26" t="s">
        <v>25</v>
      </c>
      <c r="O28" s="26" t="s">
        <v>25</v>
      </c>
      <c r="P28" s="27"/>
    </row>
    <row r="29" ht="15.75" customHeight="1">
      <c r="A29" s="68"/>
      <c r="B29" s="21">
        <v>25.0</v>
      </c>
      <c r="C29" s="30" t="s">
        <v>30</v>
      </c>
      <c r="D29" s="30" t="s">
        <v>31</v>
      </c>
      <c r="E29" s="70" t="str">
        <f t="shared" si="2"/>
        <v/>
      </c>
      <c r="F29" s="71" t="str">
        <f t="shared" si="3"/>
        <v/>
      </c>
      <c r="G29" s="26"/>
      <c r="H29" s="26"/>
      <c r="I29" s="26"/>
      <c r="J29" s="26"/>
      <c r="K29" s="26"/>
      <c r="L29" s="26"/>
      <c r="M29" s="26"/>
      <c r="N29" s="26"/>
      <c r="O29" s="26"/>
      <c r="P29" s="27"/>
    </row>
    <row r="30" ht="15.75" customHeight="1">
      <c r="A30" s="47"/>
      <c r="B30" s="29">
        <v>26.0</v>
      </c>
      <c r="C30" s="22" t="s">
        <v>32</v>
      </c>
      <c r="D30" s="22" t="s">
        <v>33</v>
      </c>
      <c r="E30" s="70" t="str">
        <f t="shared" si="2"/>
        <v/>
      </c>
      <c r="F30" s="71" t="str">
        <f t="shared" si="3"/>
        <v/>
      </c>
      <c r="G30" s="26"/>
      <c r="H30" s="26"/>
      <c r="I30" s="26"/>
      <c r="J30" s="26"/>
      <c r="K30" s="26"/>
      <c r="L30" s="26"/>
      <c r="M30" s="26"/>
      <c r="N30" s="26"/>
      <c r="O30" s="26"/>
      <c r="P30" s="27"/>
    </row>
    <row r="31" ht="15.75" customHeight="1">
      <c r="A31" s="68"/>
      <c r="B31" s="21">
        <v>27.0</v>
      </c>
      <c r="C31" s="30" t="s">
        <v>34</v>
      </c>
      <c r="D31" s="30" t="s">
        <v>35</v>
      </c>
      <c r="E31" s="70" t="str">
        <f t="shared" si="2"/>
        <v/>
      </c>
      <c r="F31" s="71" t="str">
        <f t="shared" si="3"/>
        <v/>
      </c>
      <c r="G31" s="26"/>
      <c r="H31" s="26"/>
      <c r="I31" s="26"/>
      <c r="J31" s="26"/>
      <c r="K31" s="26"/>
      <c r="L31" s="26"/>
      <c r="M31" s="26"/>
      <c r="N31" s="26"/>
      <c r="O31" s="26"/>
      <c r="P31" s="27"/>
    </row>
    <row r="32" ht="15.75" customHeight="1">
      <c r="A32" s="47"/>
      <c r="B32" s="29">
        <v>28.0</v>
      </c>
      <c r="C32" s="22" t="s">
        <v>36</v>
      </c>
      <c r="D32" s="22" t="s">
        <v>72</v>
      </c>
      <c r="E32" s="70" t="str">
        <f t="shared" si="2"/>
        <v/>
      </c>
      <c r="F32" s="71" t="str">
        <f t="shared" si="3"/>
        <v/>
      </c>
      <c r="G32" s="26"/>
      <c r="H32" s="26"/>
      <c r="I32" s="26"/>
      <c r="J32" s="26"/>
      <c r="K32" s="26"/>
      <c r="L32" s="26"/>
      <c r="M32" s="26"/>
      <c r="N32" s="26"/>
      <c r="O32" s="26"/>
      <c r="P32" s="27"/>
    </row>
    <row r="33" ht="15.75" customHeight="1">
      <c r="A33" s="68"/>
      <c r="B33" s="21">
        <v>29.0</v>
      </c>
      <c r="C33" s="30" t="s">
        <v>38</v>
      </c>
      <c r="D33" s="30" t="s">
        <v>39</v>
      </c>
      <c r="E33" s="70" t="str">
        <f t="shared" si="2"/>
        <v/>
      </c>
      <c r="F33" s="71" t="str">
        <f t="shared" si="3"/>
        <v/>
      </c>
      <c r="G33" s="26"/>
      <c r="H33" s="26"/>
      <c r="I33" s="26"/>
      <c r="J33" s="26"/>
      <c r="K33" s="26"/>
      <c r="L33" s="26"/>
      <c r="M33" s="26"/>
      <c r="N33" s="26"/>
      <c r="O33" s="26"/>
      <c r="P33" s="27"/>
    </row>
    <row r="34" ht="15.75" customHeight="1">
      <c r="A34" s="47"/>
      <c r="B34" s="29">
        <v>30.0</v>
      </c>
      <c r="C34" s="22" t="s">
        <v>40</v>
      </c>
      <c r="D34" s="22" t="s">
        <v>41</v>
      </c>
      <c r="E34" s="70" t="str">
        <f t="shared" si="2"/>
        <v/>
      </c>
      <c r="F34" s="71" t="str">
        <f t="shared" si="3"/>
        <v/>
      </c>
      <c r="G34" s="26"/>
      <c r="H34" s="26"/>
      <c r="I34" s="26"/>
      <c r="J34" s="26"/>
      <c r="K34" s="26"/>
      <c r="L34" s="26"/>
      <c r="M34" s="26"/>
      <c r="N34" s="26"/>
      <c r="O34" s="26"/>
      <c r="P34" s="27"/>
    </row>
    <row r="35" ht="15.75" customHeight="1">
      <c r="A35" s="68"/>
      <c r="B35" s="21">
        <v>31.0</v>
      </c>
      <c r="C35" s="30" t="s">
        <v>42</v>
      </c>
      <c r="D35" s="30" t="s">
        <v>73</v>
      </c>
      <c r="E35" s="70" t="str">
        <f t="shared" si="2"/>
        <v/>
      </c>
      <c r="F35" s="71" t="str">
        <f t="shared" si="3"/>
        <v/>
      </c>
      <c r="G35" s="26"/>
      <c r="H35" s="26"/>
      <c r="I35" s="26"/>
      <c r="J35" s="26"/>
      <c r="K35" s="26"/>
      <c r="L35" s="26"/>
      <c r="M35" s="26"/>
      <c r="N35" s="26"/>
      <c r="O35" s="26"/>
      <c r="P35" s="27"/>
    </row>
    <row r="36" ht="15.75" customHeight="1">
      <c r="A36" s="47"/>
      <c r="B36" s="29">
        <v>32.0</v>
      </c>
      <c r="C36" s="22" t="s">
        <v>44</v>
      </c>
      <c r="D36" s="22" t="s">
        <v>45</v>
      </c>
      <c r="E36" s="70" t="str">
        <f t="shared" si="2"/>
        <v/>
      </c>
      <c r="F36" s="71" t="str">
        <f t="shared" si="3"/>
        <v/>
      </c>
      <c r="G36" s="26"/>
      <c r="H36" s="26"/>
      <c r="I36" s="26"/>
      <c r="J36" s="26"/>
      <c r="K36" s="26"/>
      <c r="L36" s="26"/>
      <c r="M36" s="26"/>
      <c r="N36" s="26"/>
      <c r="O36" s="26"/>
      <c r="P36" s="27"/>
    </row>
    <row r="37" ht="15.75" customHeight="1">
      <c r="A37" s="68"/>
      <c r="B37" s="21">
        <v>33.0</v>
      </c>
      <c r="C37" s="30" t="s">
        <v>46</v>
      </c>
      <c r="D37" s="30" t="s">
        <v>47</v>
      </c>
      <c r="E37" s="70" t="str">
        <f t="shared" si="2"/>
        <v/>
      </c>
      <c r="F37" s="71" t="str">
        <f t="shared" si="3"/>
        <v/>
      </c>
      <c r="G37" s="26"/>
      <c r="H37" s="26"/>
      <c r="I37" s="26"/>
      <c r="J37" s="26"/>
      <c r="K37" s="26"/>
      <c r="L37" s="26"/>
      <c r="M37" s="26"/>
      <c r="N37" s="26"/>
      <c r="O37" s="26"/>
      <c r="P37" s="27"/>
    </row>
    <row r="38" ht="15.75" customHeight="1">
      <c r="A38" s="47"/>
      <c r="B38" s="29">
        <v>34.0</v>
      </c>
      <c r="C38" s="22" t="s">
        <v>48</v>
      </c>
      <c r="D38" s="22" t="s">
        <v>49</v>
      </c>
      <c r="E38" s="70" t="str">
        <f t="shared" si="2"/>
        <v/>
      </c>
      <c r="F38" s="71" t="str">
        <f t="shared" si="3"/>
        <v/>
      </c>
      <c r="G38" s="26"/>
      <c r="H38" s="26"/>
      <c r="I38" s="26"/>
      <c r="J38" s="26"/>
      <c r="K38" s="26"/>
      <c r="L38" s="26"/>
      <c r="M38" s="26"/>
      <c r="N38" s="26"/>
      <c r="O38" s="26"/>
      <c r="P38" s="27"/>
    </row>
    <row r="39" ht="15.75" customHeight="1">
      <c r="A39" s="68"/>
      <c r="B39" s="21">
        <v>35.0</v>
      </c>
      <c r="C39" s="30" t="s">
        <v>50</v>
      </c>
      <c r="D39" s="30" t="s">
        <v>51</v>
      </c>
      <c r="E39" s="70" t="str">
        <f t="shared" si="2"/>
        <v/>
      </c>
      <c r="F39" s="71" t="str">
        <f t="shared" si="3"/>
        <v/>
      </c>
      <c r="G39" s="26"/>
      <c r="H39" s="26"/>
      <c r="I39" s="26"/>
      <c r="J39" s="26"/>
      <c r="K39" s="26"/>
      <c r="L39" s="26"/>
      <c r="M39" s="26"/>
      <c r="N39" s="26"/>
      <c r="O39" s="26"/>
      <c r="P39" s="27"/>
    </row>
    <row r="40" ht="15.75" customHeight="1">
      <c r="A40" s="47"/>
      <c r="B40" s="29">
        <v>36.0</v>
      </c>
      <c r="C40" s="22" t="s">
        <v>52</v>
      </c>
      <c r="D40" s="22" t="s">
        <v>53</v>
      </c>
      <c r="E40" s="70" t="str">
        <f t="shared" si="2"/>
        <v/>
      </c>
      <c r="F40" s="71" t="str">
        <f t="shared" si="3"/>
        <v/>
      </c>
      <c r="G40" s="26"/>
      <c r="H40" s="26"/>
      <c r="I40" s="26"/>
      <c r="J40" s="26"/>
      <c r="K40" s="26"/>
      <c r="L40" s="26"/>
      <c r="M40" s="26"/>
      <c r="N40" s="26"/>
      <c r="O40" s="26"/>
      <c r="P40" s="27"/>
    </row>
    <row r="41" ht="15.75" customHeight="1">
      <c r="A41" s="68"/>
      <c r="B41" s="21">
        <v>37.0</v>
      </c>
      <c r="C41" s="22" t="s">
        <v>54</v>
      </c>
      <c r="D41" s="22" t="s">
        <v>55</v>
      </c>
      <c r="E41" s="70" t="str">
        <f t="shared" si="2"/>
        <v/>
      </c>
      <c r="F41" s="71" t="str">
        <f t="shared" si="3"/>
        <v/>
      </c>
      <c r="G41" s="26"/>
      <c r="H41" s="26"/>
      <c r="I41" s="26"/>
      <c r="J41" s="26"/>
      <c r="K41" s="26"/>
      <c r="L41" s="26"/>
      <c r="M41" s="26"/>
      <c r="N41" s="26"/>
      <c r="O41" s="26"/>
      <c r="P41" s="27"/>
    </row>
    <row r="42" ht="15.75" customHeight="1">
      <c r="A42" s="47"/>
      <c r="B42" s="29">
        <v>38.0</v>
      </c>
      <c r="C42" s="22" t="s">
        <v>56</v>
      </c>
      <c r="D42" s="22" t="s">
        <v>57</v>
      </c>
      <c r="E42" s="70" t="str">
        <f t="shared" si="2"/>
        <v/>
      </c>
      <c r="F42" s="71" t="str">
        <f t="shared" si="3"/>
        <v/>
      </c>
      <c r="G42" s="26"/>
      <c r="H42" s="26"/>
      <c r="I42" s="26"/>
      <c r="J42" s="26"/>
      <c r="K42" s="26"/>
      <c r="L42" s="26"/>
      <c r="M42" s="26"/>
      <c r="N42" s="26"/>
      <c r="O42" s="26"/>
      <c r="P42" s="27"/>
    </row>
    <row r="43" ht="15.75" customHeight="1">
      <c r="A43" s="68"/>
      <c r="B43" s="21">
        <v>39.0</v>
      </c>
      <c r="C43" s="30" t="s">
        <v>58</v>
      </c>
      <c r="D43" s="72" t="s">
        <v>59</v>
      </c>
      <c r="E43" s="70" t="str">
        <f t="shared" si="2"/>
        <v/>
      </c>
      <c r="F43" s="71" t="str">
        <f t="shared" si="3"/>
        <v/>
      </c>
      <c r="G43" s="26"/>
      <c r="H43" s="26"/>
      <c r="I43" s="26"/>
      <c r="J43" s="26"/>
      <c r="K43" s="26"/>
      <c r="L43" s="26"/>
      <c r="M43" s="26"/>
      <c r="N43" s="26"/>
      <c r="O43" s="26"/>
      <c r="P43" s="27"/>
    </row>
    <row r="44" ht="15.75" customHeight="1">
      <c r="A44" s="47"/>
      <c r="B44" s="29">
        <v>40.0</v>
      </c>
      <c r="C44" s="22" t="s">
        <v>60</v>
      </c>
      <c r="D44" s="69" t="s">
        <v>61</v>
      </c>
      <c r="E44" s="70" t="str">
        <f t="shared" si="2"/>
        <v/>
      </c>
      <c r="F44" s="71" t="str">
        <f t="shared" si="3"/>
        <v/>
      </c>
      <c r="G44" s="26"/>
      <c r="H44" s="26"/>
      <c r="I44" s="26"/>
      <c r="J44" s="26"/>
      <c r="K44" s="26"/>
      <c r="L44" s="26"/>
      <c r="M44" s="26"/>
      <c r="N44" s="26"/>
      <c r="O44" s="26"/>
      <c r="P44" s="27"/>
    </row>
    <row r="45" ht="15.75" customHeight="1">
      <c r="A45" s="68"/>
      <c r="B45" s="21">
        <v>41.0</v>
      </c>
      <c r="C45" s="42" t="s">
        <v>62</v>
      </c>
      <c r="D45" s="73" t="s">
        <v>63</v>
      </c>
      <c r="E45" s="70" t="str">
        <f t="shared" si="2"/>
        <v/>
      </c>
      <c r="F45" s="71" t="str">
        <f t="shared" si="3"/>
        <v/>
      </c>
      <c r="G45" s="26"/>
      <c r="H45" s="26"/>
      <c r="I45" s="26"/>
      <c r="J45" s="26"/>
      <c r="K45" s="26"/>
      <c r="L45" s="26"/>
      <c r="M45" s="26"/>
      <c r="N45" s="26"/>
      <c r="O45" s="26"/>
      <c r="P45" s="27"/>
    </row>
    <row r="46" ht="15.75" customHeight="1">
      <c r="A46" s="47"/>
      <c r="B46" s="29">
        <v>42.0</v>
      </c>
      <c r="C46" s="22" t="s">
        <v>64</v>
      </c>
      <c r="D46" s="74" t="s">
        <v>65</v>
      </c>
      <c r="E46" s="70" t="str">
        <f t="shared" si="2"/>
        <v/>
      </c>
      <c r="F46" s="71" t="str">
        <f t="shared" si="3"/>
        <v/>
      </c>
      <c r="G46" s="26"/>
      <c r="H46" s="26"/>
      <c r="I46" s="26"/>
      <c r="J46" s="26"/>
      <c r="K46" s="26"/>
      <c r="L46" s="26"/>
      <c r="M46" s="26"/>
      <c r="N46" s="26"/>
      <c r="O46" s="26"/>
      <c r="P46" s="27"/>
    </row>
    <row r="47" ht="15.75" customHeight="1">
      <c r="A47" s="68"/>
      <c r="B47" s="21">
        <v>43.0</v>
      </c>
      <c r="C47" s="30" t="s">
        <v>66</v>
      </c>
      <c r="D47" s="72" t="s">
        <v>67</v>
      </c>
      <c r="E47" s="70" t="str">
        <f t="shared" si="2"/>
        <v>9번 중 2번 참여</v>
      </c>
      <c r="F47" s="71">
        <f t="shared" si="3"/>
        <v>0.2222222222</v>
      </c>
      <c r="G47" s="26" t="s">
        <v>25</v>
      </c>
      <c r="H47" s="26" t="s">
        <v>25</v>
      </c>
      <c r="I47" s="26"/>
      <c r="J47" s="26"/>
      <c r="K47" s="26"/>
      <c r="L47" s="26"/>
      <c r="M47" s="26"/>
      <c r="N47" s="26"/>
      <c r="O47" s="26"/>
      <c r="P47" s="27"/>
    </row>
    <row r="48" ht="15.75" customHeight="1">
      <c r="A48" s="47"/>
      <c r="B48" s="29">
        <v>44.0</v>
      </c>
      <c r="C48" s="75" t="s">
        <v>68</v>
      </c>
      <c r="D48" s="76" t="s">
        <v>69</v>
      </c>
      <c r="E48" s="70" t="str">
        <f t="shared" si="2"/>
        <v/>
      </c>
      <c r="F48" s="71" t="str">
        <f t="shared" si="3"/>
        <v/>
      </c>
      <c r="G48" s="26"/>
      <c r="H48" s="26"/>
      <c r="I48" s="26"/>
      <c r="J48" s="26"/>
      <c r="K48" s="26"/>
      <c r="L48" s="26"/>
      <c r="M48" s="26"/>
      <c r="N48" s="26"/>
      <c r="O48" s="26"/>
      <c r="P48" s="27"/>
    </row>
    <row r="49" ht="15.75" customHeight="1">
      <c r="A49" s="68"/>
      <c r="B49" s="21">
        <v>45.0</v>
      </c>
      <c r="C49" s="30" t="s">
        <v>74</v>
      </c>
      <c r="D49" s="72" t="s">
        <v>75</v>
      </c>
      <c r="E49" s="70" t="str">
        <f t="shared" si="2"/>
        <v>9번 중 2번 참여</v>
      </c>
      <c r="F49" s="71">
        <f t="shared" si="3"/>
        <v>0.2222222222</v>
      </c>
      <c r="G49" s="26"/>
      <c r="H49" s="26" t="s">
        <v>25</v>
      </c>
      <c r="I49" s="26"/>
      <c r="J49" s="26" t="s">
        <v>25</v>
      </c>
      <c r="K49" s="26"/>
      <c r="L49" s="26"/>
      <c r="M49" s="26"/>
      <c r="N49" s="26"/>
      <c r="O49" s="26"/>
      <c r="P49" s="27"/>
    </row>
    <row r="50" ht="15.75" customHeight="1">
      <c r="A50" s="47"/>
      <c r="B50" s="29">
        <v>46.0</v>
      </c>
      <c r="C50" s="22" t="s">
        <v>76</v>
      </c>
      <c r="D50" s="69" t="s">
        <v>77</v>
      </c>
      <c r="E50" s="70" t="str">
        <f t="shared" si="2"/>
        <v>9번 중 1번 참여</v>
      </c>
      <c r="F50" s="71">
        <f t="shared" si="3"/>
        <v>0.1111111111</v>
      </c>
      <c r="G50" s="26"/>
      <c r="H50" s="26" t="s">
        <v>25</v>
      </c>
      <c r="I50" s="26"/>
      <c r="J50" s="26"/>
      <c r="K50" s="26"/>
      <c r="L50" s="26"/>
      <c r="M50" s="26"/>
      <c r="N50" s="26"/>
      <c r="O50" s="26"/>
      <c r="P50" s="27"/>
    </row>
    <row r="51" ht="15.75" customHeight="1">
      <c r="A51" s="68"/>
      <c r="B51" s="21">
        <v>47.0</v>
      </c>
      <c r="C51" s="30" t="s">
        <v>78</v>
      </c>
      <c r="D51" s="78" t="s">
        <v>79</v>
      </c>
      <c r="E51" s="70" t="str">
        <f t="shared" si="2"/>
        <v>9번 중 9번 참여</v>
      </c>
      <c r="F51" s="71">
        <f t="shared" si="3"/>
        <v>1</v>
      </c>
      <c r="G51" s="26" t="s">
        <v>25</v>
      </c>
      <c r="H51" s="26" t="s">
        <v>25</v>
      </c>
      <c r="I51" s="26" t="s">
        <v>25</v>
      </c>
      <c r="J51" s="26" t="s">
        <v>25</v>
      </c>
      <c r="K51" s="26" t="s">
        <v>25</v>
      </c>
      <c r="L51" s="26" t="s">
        <v>25</v>
      </c>
      <c r="M51" s="26" t="s">
        <v>25</v>
      </c>
      <c r="N51" s="26" t="s">
        <v>25</v>
      </c>
      <c r="O51" s="26" t="s">
        <v>25</v>
      </c>
      <c r="P51" s="27"/>
    </row>
    <row r="52" ht="15.75" customHeight="1">
      <c r="A52" s="47"/>
      <c r="B52" s="29">
        <v>48.0</v>
      </c>
      <c r="C52" s="30" t="s">
        <v>81</v>
      </c>
      <c r="D52" s="30" t="s">
        <v>82</v>
      </c>
      <c r="E52" s="70" t="str">
        <f t="shared" si="2"/>
        <v>9번 중 8번 참여</v>
      </c>
      <c r="F52" s="71">
        <f t="shared" si="3"/>
        <v>0.8888888889</v>
      </c>
      <c r="G52" s="26" t="s">
        <v>25</v>
      </c>
      <c r="H52" s="26" t="s">
        <v>25</v>
      </c>
      <c r="I52" s="26" t="s">
        <v>25</v>
      </c>
      <c r="J52" s="26"/>
      <c r="K52" s="26" t="s">
        <v>25</v>
      </c>
      <c r="L52" s="26" t="s">
        <v>25</v>
      </c>
      <c r="M52" s="26" t="s">
        <v>25</v>
      </c>
      <c r="N52" s="26" t="s">
        <v>25</v>
      </c>
      <c r="O52" s="26" t="s">
        <v>25</v>
      </c>
      <c r="P52" s="27"/>
    </row>
    <row r="53" ht="15.75" customHeight="1">
      <c r="A53" s="68"/>
      <c r="B53" s="21">
        <v>49.0</v>
      </c>
      <c r="C53" s="30" t="s">
        <v>83</v>
      </c>
      <c r="D53" s="72" t="s">
        <v>84</v>
      </c>
      <c r="E53" s="70" t="str">
        <f t="shared" si="2"/>
        <v/>
      </c>
      <c r="F53" s="71" t="str">
        <f t="shared" si="3"/>
        <v/>
      </c>
      <c r="G53" s="26"/>
      <c r="H53" s="26"/>
      <c r="I53" s="26"/>
      <c r="J53" s="26"/>
      <c r="K53" s="26"/>
      <c r="L53" s="26"/>
      <c r="M53" s="26"/>
      <c r="N53" s="26"/>
      <c r="O53" s="26"/>
      <c r="P53" s="27"/>
    </row>
    <row r="54" ht="15.75" customHeight="1">
      <c r="A54" s="47"/>
      <c r="B54" s="29">
        <v>50.0</v>
      </c>
      <c r="C54" s="30" t="s">
        <v>85</v>
      </c>
      <c r="D54" s="72" t="s">
        <v>86</v>
      </c>
      <c r="E54" s="70" t="str">
        <f t="shared" si="2"/>
        <v>9번 중 6번 참여</v>
      </c>
      <c r="F54" s="71">
        <f t="shared" si="3"/>
        <v>0.6666666667</v>
      </c>
      <c r="G54" s="26"/>
      <c r="H54" s="26" t="s">
        <v>25</v>
      </c>
      <c r="I54" s="26" t="s">
        <v>25</v>
      </c>
      <c r="J54" s="26" t="s">
        <v>25</v>
      </c>
      <c r="K54" s="26" t="s">
        <v>25</v>
      </c>
      <c r="L54" s="26" t="s">
        <v>25</v>
      </c>
      <c r="M54" s="26"/>
      <c r="N54" s="26" t="s">
        <v>25</v>
      </c>
      <c r="O54" s="26"/>
      <c r="P54" s="27"/>
    </row>
    <row r="55" ht="15.75" customHeight="1">
      <c r="A55" s="68"/>
      <c r="B55" s="21">
        <v>51.0</v>
      </c>
      <c r="C55" s="22" t="s">
        <v>87</v>
      </c>
      <c r="D55" s="69" t="s">
        <v>88</v>
      </c>
      <c r="E55" s="70" t="str">
        <f t="shared" si="2"/>
        <v>9번 중 6번 참여</v>
      </c>
      <c r="F55" s="71">
        <f t="shared" si="3"/>
        <v>0.6666666667</v>
      </c>
      <c r="G55" s="26"/>
      <c r="H55" s="26"/>
      <c r="I55" s="26" t="s">
        <v>25</v>
      </c>
      <c r="J55" s="26" t="s">
        <v>25</v>
      </c>
      <c r="K55" s="26"/>
      <c r="L55" s="26" t="s">
        <v>25</v>
      </c>
      <c r="M55" s="26" t="s">
        <v>25</v>
      </c>
      <c r="N55" s="26" t="s">
        <v>25</v>
      </c>
      <c r="O55" s="26" t="s">
        <v>25</v>
      </c>
      <c r="P55" s="27"/>
    </row>
    <row r="56" ht="15.75" customHeight="1">
      <c r="A56" s="47"/>
      <c r="B56" s="29">
        <v>52.0</v>
      </c>
      <c r="C56" s="39" t="s">
        <v>89</v>
      </c>
      <c r="D56" s="79" t="s">
        <v>90</v>
      </c>
      <c r="E56" s="70" t="str">
        <f t="shared" si="2"/>
        <v/>
      </c>
      <c r="F56" s="71" t="str">
        <f t="shared" si="3"/>
        <v/>
      </c>
      <c r="G56" s="26"/>
      <c r="H56" s="26"/>
      <c r="I56" s="26"/>
      <c r="J56" s="26"/>
      <c r="K56" s="26"/>
      <c r="L56" s="26"/>
      <c r="M56" s="26"/>
      <c r="N56" s="26" t="s">
        <v>80</v>
      </c>
      <c r="O56" s="26"/>
      <c r="P56" s="27"/>
    </row>
    <row r="57" ht="15.75" customHeight="1">
      <c r="A57" s="68"/>
      <c r="B57" s="21">
        <v>53.0</v>
      </c>
      <c r="C57" s="44" t="s">
        <v>91</v>
      </c>
      <c r="D57" s="44" t="s">
        <v>92</v>
      </c>
      <c r="E57" s="70" t="str">
        <f t="shared" si="2"/>
        <v>9번 중 8번 참여</v>
      </c>
      <c r="F57" s="71">
        <f t="shared" si="3"/>
        <v>0.8888888889</v>
      </c>
      <c r="G57" s="26" t="s">
        <v>25</v>
      </c>
      <c r="H57" s="26" t="s">
        <v>25</v>
      </c>
      <c r="I57" s="26" t="s">
        <v>25</v>
      </c>
      <c r="J57" s="26" t="s">
        <v>25</v>
      </c>
      <c r="K57" s="26" t="s">
        <v>25</v>
      </c>
      <c r="L57" s="26" t="s">
        <v>25</v>
      </c>
      <c r="M57" s="26"/>
      <c r="N57" s="26" t="s">
        <v>25</v>
      </c>
      <c r="O57" s="26" t="s">
        <v>25</v>
      </c>
      <c r="P57" s="27"/>
    </row>
    <row r="58" ht="15.75" customHeight="1">
      <c r="A58" s="47"/>
      <c r="B58" s="29">
        <v>54.0</v>
      </c>
      <c r="C58" s="30" t="s">
        <v>93</v>
      </c>
      <c r="D58" s="30" t="s">
        <v>94</v>
      </c>
      <c r="E58" s="70" t="str">
        <f t="shared" si="2"/>
        <v/>
      </c>
      <c r="F58" s="71" t="str">
        <f t="shared" si="3"/>
        <v/>
      </c>
      <c r="G58" s="26"/>
      <c r="H58" s="26"/>
      <c r="I58" s="26"/>
      <c r="J58" s="26"/>
      <c r="K58" s="26"/>
      <c r="L58" s="26"/>
      <c r="M58" s="26"/>
      <c r="N58" s="26"/>
      <c r="O58" s="26"/>
      <c r="P58" s="27"/>
    </row>
    <row r="59" ht="15.75" customHeight="1">
      <c r="A59" s="68"/>
      <c r="B59" s="21">
        <v>55.0</v>
      </c>
      <c r="C59" s="22" t="s">
        <v>95</v>
      </c>
      <c r="D59" s="22" t="s">
        <v>96</v>
      </c>
      <c r="E59" s="70" t="str">
        <f t="shared" si="2"/>
        <v>9번 중 9번 참여</v>
      </c>
      <c r="F59" s="71">
        <f t="shared" si="3"/>
        <v>1</v>
      </c>
      <c r="G59" s="26" t="s">
        <v>25</v>
      </c>
      <c r="H59" s="26" t="s">
        <v>25</v>
      </c>
      <c r="I59" s="26" t="s">
        <v>25</v>
      </c>
      <c r="J59" s="26" t="s">
        <v>25</v>
      </c>
      <c r="K59" s="26" t="s">
        <v>25</v>
      </c>
      <c r="L59" s="26" t="s">
        <v>25</v>
      </c>
      <c r="M59" s="26" t="s">
        <v>25</v>
      </c>
      <c r="N59" s="26" t="s">
        <v>25</v>
      </c>
      <c r="O59" s="26" t="s">
        <v>25</v>
      </c>
      <c r="P59" s="27"/>
    </row>
    <row r="60" ht="15.75" customHeight="1">
      <c r="A60" s="47"/>
      <c r="B60" s="29">
        <v>56.0</v>
      </c>
      <c r="C60" s="30" t="s">
        <v>97</v>
      </c>
      <c r="D60" s="30" t="s">
        <v>98</v>
      </c>
      <c r="E60" s="70" t="str">
        <f t="shared" si="2"/>
        <v>9번 중 9번 참여</v>
      </c>
      <c r="F60" s="71">
        <f t="shared" si="3"/>
        <v>1</v>
      </c>
      <c r="G60" s="26" t="s">
        <v>25</v>
      </c>
      <c r="H60" s="26" t="s">
        <v>25</v>
      </c>
      <c r="I60" s="26" t="s">
        <v>25</v>
      </c>
      <c r="J60" s="26" t="s">
        <v>25</v>
      </c>
      <c r="K60" s="26" t="s">
        <v>25</v>
      </c>
      <c r="L60" s="26" t="s">
        <v>25</v>
      </c>
      <c r="M60" s="26" t="s">
        <v>25</v>
      </c>
      <c r="N60" s="26" t="s">
        <v>25</v>
      </c>
      <c r="O60" s="26" t="s">
        <v>25</v>
      </c>
      <c r="P60" s="27"/>
    </row>
    <row r="61" ht="15.75" customHeight="1">
      <c r="A61" s="68"/>
      <c r="B61" s="21">
        <v>57.0</v>
      </c>
      <c r="C61" s="22" t="s">
        <v>99</v>
      </c>
      <c r="D61" s="22" t="s">
        <v>100</v>
      </c>
      <c r="E61" s="70" t="str">
        <f t="shared" si="2"/>
        <v>9번 중 7번 참여</v>
      </c>
      <c r="F61" s="71">
        <f t="shared" si="3"/>
        <v>0.7777777778</v>
      </c>
      <c r="G61" s="26" t="s">
        <v>25</v>
      </c>
      <c r="H61" s="26" t="s">
        <v>25</v>
      </c>
      <c r="I61" s="26" t="s">
        <v>25</v>
      </c>
      <c r="J61" s="26"/>
      <c r="K61" s="26"/>
      <c r="L61" s="26" t="s">
        <v>25</v>
      </c>
      <c r="M61" s="26" t="s">
        <v>25</v>
      </c>
      <c r="N61" s="26" t="s">
        <v>25</v>
      </c>
      <c r="O61" s="26" t="s">
        <v>25</v>
      </c>
      <c r="P61" s="27"/>
    </row>
    <row r="62" ht="15.75" customHeight="1">
      <c r="A62" s="47"/>
      <c r="B62" s="29">
        <v>58.0</v>
      </c>
      <c r="C62" s="30" t="s">
        <v>101</v>
      </c>
      <c r="D62" s="72" t="s">
        <v>102</v>
      </c>
      <c r="E62" s="70" t="str">
        <f t="shared" si="2"/>
        <v>9번 중 8번 참여</v>
      </c>
      <c r="F62" s="71">
        <f t="shared" si="3"/>
        <v>0.8888888889</v>
      </c>
      <c r="G62" s="26" t="s">
        <v>25</v>
      </c>
      <c r="H62" s="26" t="s">
        <v>25</v>
      </c>
      <c r="I62" s="26"/>
      <c r="J62" s="26" t="s">
        <v>25</v>
      </c>
      <c r="K62" s="26" t="s">
        <v>25</v>
      </c>
      <c r="L62" s="26" t="s">
        <v>25</v>
      </c>
      <c r="M62" s="26" t="s">
        <v>25</v>
      </c>
      <c r="N62" s="26" t="s">
        <v>25</v>
      </c>
      <c r="O62" s="26" t="s">
        <v>25</v>
      </c>
      <c r="P62" s="27"/>
    </row>
    <row r="63" ht="15.75" customHeight="1">
      <c r="A63" s="68"/>
      <c r="B63" s="21">
        <v>59.0</v>
      </c>
      <c r="C63" s="22" t="s">
        <v>103</v>
      </c>
      <c r="D63" s="22" t="s">
        <v>104</v>
      </c>
      <c r="E63" s="70" t="str">
        <f t="shared" si="2"/>
        <v>9번 중 9번 참여</v>
      </c>
      <c r="F63" s="71">
        <f t="shared" si="3"/>
        <v>1</v>
      </c>
      <c r="G63" s="26" t="s">
        <v>25</v>
      </c>
      <c r="H63" s="26" t="s">
        <v>25</v>
      </c>
      <c r="I63" s="26" t="s">
        <v>25</v>
      </c>
      <c r="J63" s="26" t="s">
        <v>25</v>
      </c>
      <c r="K63" s="26" t="s">
        <v>25</v>
      </c>
      <c r="L63" s="26" t="s">
        <v>25</v>
      </c>
      <c r="M63" s="26" t="s">
        <v>25</v>
      </c>
      <c r="N63" s="26" t="s">
        <v>25</v>
      </c>
      <c r="O63" s="26" t="s">
        <v>25</v>
      </c>
      <c r="P63" s="27"/>
    </row>
    <row r="64" ht="15.75" customHeight="1">
      <c r="A64" s="47"/>
      <c r="B64" s="29">
        <v>60.0</v>
      </c>
      <c r="C64" s="43" t="s">
        <v>105</v>
      </c>
      <c r="D64" s="80" t="s">
        <v>106</v>
      </c>
      <c r="E64" s="70" t="str">
        <f t="shared" si="2"/>
        <v>9번 중 9번 참여</v>
      </c>
      <c r="F64" s="71">
        <f t="shared" si="3"/>
        <v>1</v>
      </c>
      <c r="G64" s="26" t="s">
        <v>25</v>
      </c>
      <c r="H64" s="26" t="s">
        <v>25</v>
      </c>
      <c r="I64" s="26" t="s">
        <v>25</v>
      </c>
      <c r="J64" s="26" t="s">
        <v>25</v>
      </c>
      <c r="K64" s="26" t="s">
        <v>25</v>
      </c>
      <c r="L64" s="26" t="s">
        <v>25</v>
      </c>
      <c r="M64" s="26" t="s">
        <v>25</v>
      </c>
      <c r="N64" s="26" t="s">
        <v>25</v>
      </c>
      <c r="O64" s="26" t="s">
        <v>25</v>
      </c>
      <c r="P64" s="27"/>
    </row>
    <row r="65" ht="15.75" customHeight="1">
      <c r="A65" s="68"/>
      <c r="B65" s="21">
        <v>61.0</v>
      </c>
      <c r="C65" s="44" t="s">
        <v>107</v>
      </c>
      <c r="D65" s="81" t="s">
        <v>108</v>
      </c>
      <c r="E65" s="70" t="str">
        <f t="shared" ref="E65:E66" si="4">IF(COUNTIF(G65:J65, "완료")=0, "", COUNTIF($G$4:$O$4, "완료") &amp; "번 중 " &amp; COUNTIF(G65:J65, "완료") &amp; "번 참여")
</f>
        <v/>
      </c>
      <c r="F65" s="71" t="str">
        <f t="shared" ref="F65:F66" si="5">IF(COUNTIF($G$4:$O$4, "완료")=0, "", IF(COUNTIF(G65:J65, "완료")=0, "", COUNTIF(G65:J65, "완료") / COUNTIF($G$4:$O$4, "완료")))
</f>
        <v/>
      </c>
      <c r="G65" s="26"/>
      <c r="H65" s="26"/>
      <c r="I65" s="26"/>
      <c r="J65" s="26"/>
      <c r="K65" s="26" t="s">
        <v>80</v>
      </c>
      <c r="L65" s="26"/>
      <c r="M65" s="26"/>
      <c r="N65" s="26"/>
      <c r="O65" s="26"/>
      <c r="P65" s="26"/>
    </row>
    <row r="66" ht="15.75" customHeight="1">
      <c r="A66" s="47"/>
      <c r="B66" s="29">
        <v>62.0</v>
      </c>
      <c r="C66" s="22" t="s">
        <v>109</v>
      </c>
      <c r="D66" s="22" t="s">
        <v>110</v>
      </c>
      <c r="E66" s="70" t="str">
        <f t="shared" si="4"/>
        <v>9번 중 3번 참여</v>
      </c>
      <c r="F66" s="71">
        <f t="shared" si="5"/>
        <v>0.3333333333</v>
      </c>
      <c r="G66" s="26"/>
      <c r="H66" s="97" t="s">
        <v>25</v>
      </c>
      <c r="I66" s="97" t="s">
        <v>25</v>
      </c>
      <c r="J66" s="95" t="s">
        <v>25</v>
      </c>
      <c r="K66" s="26"/>
      <c r="L66" s="26" t="s">
        <v>25</v>
      </c>
      <c r="M66" s="26" t="s">
        <v>25</v>
      </c>
      <c r="N66" s="26"/>
      <c r="O66" s="26" t="s">
        <v>25</v>
      </c>
      <c r="P66" s="26"/>
    </row>
    <row r="67" ht="15.75" customHeight="1">
      <c r="A67" s="68"/>
      <c r="B67" s="21">
        <v>63.0</v>
      </c>
      <c r="C67" s="30" t="s">
        <v>111</v>
      </c>
      <c r="D67" s="30" t="s">
        <v>112</v>
      </c>
      <c r="E67" s="70" t="str">
        <f t="shared" ref="E67:E124" si="6">IF(COUNTIF(G67:O67, "완료")=0, "", COUNTIF($G$4:$O$4, "완료") &amp; "번 중 " &amp; COUNTIF(G67:O67, "완료") &amp; "번 참여")
</f>
        <v/>
      </c>
      <c r="F67" s="71" t="str">
        <f t="shared" ref="F67:F124" si="7">IF(COUNTIF($G$4:$O$4, "완료")=0, "", IF(COUNTIF(G67:O67, "완료")=0, "", COUNTIF(G67:O67, "완료") / COUNTIF($G$4:$O$4, "완료")))
</f>
        <v/>
      </c>
      <c r="G67" s="26"/>
      <c r="H67" s="96"/>
      <c r="I67" s="96"/>
      <c r="J67" s="96"/>
      <c r="K67" s="96"/>
      <c r="L67" s="96"/>
      <c r="M67" s="96"/>
      <c r="N67" s="26"/>
      <c r="O67" s="26"/>
      <c r="P67" s="27"/>
    </row>
    <row r="68" ht="15.75" customHeight="1">
      <c r="A68" s="47"/>
      <c r="B68" s="29">
        <v>64.0</v>
      </c>
      <c r="C68" s="22" t="s">
        <v>113</v>
      </c>
      <c r="D68" s="22" t="s">
        <v>114</v>
      </c>
      <c r="E68" s="70" t="str">
        <f t="shared" si="6"/>
        <v>9번 중 9번 참여</v>
      </c>
      <c r="F68" s="71">
        <f t="shared" si="7"/>
        <v>1</v>
      </c>
      <c r="G68" s="26" t="s">
        <v>25</v>
      </c>
      <c r="H68" s="26" t="s">
        <v>25</v>
      </c>
      <c r="I68" s="26" t="s">
        <v>25</v>
      </c>
      <c r="J68" s="26" t="s">
        <v>25</v>
      </c>
      <c r="K68" s="26" t="s">
        <v>25</v>
      </c>
      <c r="L68" s="26" t="s">
        <v>25</v>
      </c>
      <c r="M68" s="26" t="s">
        <v>25</v>
      </c>
      <c r="N68" s="26" t="s">
        <v>25</v>
      </c>
      <c r="O68" s="26" t="s">
        <v>25</v>
      </c>
      <c r="P68" s="27"/>
    </row>
    <row r="69" ht="15.75" customHeight="1">
      <c r="A69" s="68"/>
      <c r="B69" s="21">
        <v>65.0</v>
      </c>
      <c r="C69" s="82" t="s">
        <v>115</v>
      </c>
      <c r="D69" s="83" t="s">
        <v>116</v>
      </c>
      <c r="E69" s="70" t="str">
        <f t="shared" si="6"/>
        <v/>
      </c>
      <c r="F69" s="71" t="str">
        <f t="shared" si="7"/>
        <v/>
      </c>
      <c r="G69" s="26"/>
      <c r="H69" s="26"/>
      <c r="I69" s="26"/>
      <c r="J69" s="26"/>
      <c r="K69" s="26"/>
      <c r="L69" s="26"/>
      <c r="M69" s="26"/>
      <c r="N69" s="26"/>
      <c r="O69" s="26"/>
      <c r="P69" s="27"/>
    </row>
    <row r="70" ht="15.75" customHeight="1">
      <c r="A70" s="47" t="s">
        <v>228</v>
      </c>
      <c r="B70" s="48">
        <v>66.0</v>
      </c>
      <c r="C70" s="84" t="s">
        <v>118</v>
      </c>
      <c r="D70" s="50" t="s">
        <v>119</v>
      </c>
      <c r="E70" s="70" t="str">
        <f t="shared" si="6"/>
        <v>9번 중 9번 참여</v>
      </c>
      <c r="F70" s="71">
        <f t="shared" si="7"/>
        <v>1</v>
      </c>
      <c r="G70" s="26" t="s">
        <v>25</v>
      </c>
      <c r="H70" s="26" t="s">
        <v>25</v>
      </c>
      <c r="I70" s="26" t="s">
        <v>25</v>
      </c>
      <c r="J70" s="26" t="s">
        <v>25</v>
      </c>
      <c r="K70" s="26" t="s">
        <v>25</v>
      </c>
      <c r="L70" s="26" t="s">
        <v>25</v>
      </c>
      <c r="M70" s="26" t="s">
        <v>25</v>
      </c>
      <c r="N70" s="26" t="s">
        <v>25</v>
      </c>
      <c r="O70" s="26" t="s">
        <v>25</v>
      </c>
      <c r="P70" s="27"/>
    </row>
    <row r="71" ht="15.75" customHeight="1">
      <c r="A71" s="47"/>
      <c r="B71" s="29">
        <v>67.0</v>
      </c>
      <c r="C71" s="30" t="s">
        <v>120</v>
      </c>
      <c r="D71" s="30" t="s">
        <v>121</v>
      </c>
      <c r="E71" s="70" t="str">
        <f t="shared" si="6"/>
        <v>9번 중 9번 참여</v>
      </c>
      <c r="F71" s="71">
        <f t="shared" si="7"/>
        <v>1</v>
      </c>
      <c r="G71" s="26" t="s">
        <v>25</v>
      </c>
      <c r="H71" s="26" t="s">
        <v>25</v>
      </c>
      <c r="I71" s="26" t="s">
        <v>25</v>
      </c>
      <c r="J71" s="26" t="s">
        <v>25</v>
      </c>
      <c r="K71" s="26" t="s">
        <v>25</v>
      </c>
      <c r="L71" s="26" t="s">
        <v>25</v>
      </c>
      <c r="M71" s="26" t="s">
        <v>25</v>
      </c>
      <c r="N71" s="26" t="s">
        <v>25</v>
      </c>
      <c r="O71" s="26" t="s">
        <v>25</v>
      </c>
      <c r="P71" s="27"/>
    </row>
    <row r="72" ht="15.75" customHeight="1">
      <c r="A72" s="47"/>
      <c r="B72" s="29">
        <v>68.0</v>
      </c>
      <c r="C72" s="30" t="s">
        <v>122</v>
      </c>
      <c r="D72" s="78" t="s">
        <v>123</v>
      </c>
      <c r="E72" s="70" t="str">
        <f t="shared" si="6"/>
        <v>9번 중 1번 참여</v>
      </c>
      <c r="F72" s="71">
        <f t="shared" si="7"/>
        <v>0.1111111111</v>
      </c>
      <c r="G72" s="26" t="s">
        <v>25</v>
      </c>
      <c r="H72" s="26"/>
      <c r="I72" s="26"/>
      <c r="J72" s="26"/>
      <c r="K72" s="26"/>
      <c r="L72" s="26"/>
      <c r="M72" s="26"/>
      <c r="N72" s="26"/>
      <c r="O72" s="26"/>
      <c r="P72" s="27"/>
    </row>
    <row r="73" ht="15.75" customHeight="1">
      <c r="A73" s="68"/>
      <c r="B73" s="21">
        <v>69.0</v>
      </c>
      <c r="C73" s="22" t="s">
        <v>124</v>
      </c>
      <c r="D73" s="22" t="s">
        <v>125</v>
      </c>
      <c r="E73" s="70" t="str">
        <f t="shared" si="6"/>
        <v>9번 중 8번 참여</v>
      </c>
      <c r="F73" s="71">
        <f t="shared" si="7"/>
        <v>0.8888888889</v>
      </c>
      <c r="G73" s="26" t="s">
        <v>25</v>
      </c>
      <c r="H73" s="26" t="s">
        <v>25</v>
      </c>
      <c r="I73" s="26" t="s">
        <v>25</v>
      </c>
      <c r="J73" s="26" t="s">
        <v>25</v>
      </c>
      <c r="K73" s="26" t="s">
        <v>25</v>
      </c>
      <c r="L73" s="26" t="s">
        <v>25</v>
      </c>
      <c r="M73" s="26" t="s">
        <v>80</v>
      </c>
      <c r="N73" s="26" t="s">
        <v>25</v>
      </c>
      <c r="O73" s="26" t="s">
        <v>25</v>
      </c>
      <c r="P73" s="27" t="s">
        <v>25</v>
      </c>
    </row>
    <row r="74" ht="15.75" customHeight="1">
      <c r="A74" s="47"/>
      <c r="B74" s="29">
        <v>70.0</v>
      </c>
      <c r="C74" s="44" t="s">
        <v>126</v>
      </c>
      <c r="D74" s="81" t="s">
        <v>127</v>
      </c>
      <c r="E74" s="70" t="str">
        <f t="shared" si="6"/>
        <v>9번 중 4번 참여</v>
      </c>
      <c r="F74" s="71">
        <f t="shared" si="7"/>
        <v>0.4444444444</v>
      </c>
      <c r="G74" s="26" t="s">
        <v>25</v>
      </c>
      <c r="H74" s="26"/>
      <c r="I74" s="26" t="s">
        <v>25</v>
      </c>
      <c r="J74" s="26" t="s">
        <v>25</v>
      </c>
      <c r="K74" s="26" t="s">
        <v>25</v>
      </c>
      <c r="L74" s="26"/>
      <c r="M74" s="26"/>
      <c r="N74" s="26"/>
      <c r="O74" s="26"/>
      <c r="P74" s="27"/>
    </row>
    <row r="75" ht="15.75" customHeight="1">
      <c r="A75" s="68"/>
      <c r="B75" s="21">
        <v>71.0</v>
      </c>
      <c r="C75" s="22" t="s">
        <v>128</v>
      </c>
      <c r="D75" s="74" t="s">
        <v>129</v>
      </c>
      <c r="E75" s="70" t="str">
        <f t="shared" si="6"/>
        <v>9번 중 9번 참여</v>
      </c>
      <c r="F75" s="71">
        <f t="shared" si="7"/>
        <v>1</v>
      </c>
      <c r="G75" s="26" t="s">
        <v>25</v>
      </c>
      <c r="H75" s="26" t="s">
        <v>25</v>
      </c>
      <c r="I75" s="26" t="s">
        <v>25</v>
      </c>
      <c r="J75" s="26" t="s">
        <v>25</v>
      </c>
      <c r="K75" s="26" t="s">
        <v>25</v>
      </c>
      <c r="L75" s="26" t="s">
        <v>25</v>
      </c>
      <c r="M75" s="26" t="s">
        <v>25</v>
      </c>
      <c r="N75" s="26" t="s">
        <v>25</v>
      </c>
      <c r="O75" s="26" t="s">
        <v>25</v>
      </c>
      <c r="P75" s="27"/>
    </row>
    <row r="76" ht="15.75" customHeight="1">
      <c r="A76" s="50"/>
      <c r="B76" s="30">
        <v>72.0</v>
      </c>
      <c r="C76" s="30" t="s">
        <v>130</v>
      </c>
      <c r="D76" s="30" t="s">
        <v>131</v>
      </c>
      <c r="E76" s="70" t="str">
        <f t="shared" si="6"/>
        <v/>
      </c>
      <c r="F76" s="71" t="str">
        <f t="shared" si="7"/>
        <v/>
      </c>
      <c r="G76" s="26"/>
      <c r="H76" s="26"/>
      <c r="I76" s="26"/>
      <c r="J76" s="26"/>
      <c r="K76" s="26"/>
      <c r="L76" s="26"/>
      <c r="M76" s="26"/>
      <c r="N76" s="26"/>
      <c r="O76" s="26"/>
      <c r="P76" s="27"/>
    </row>
    <row r="77" ht="15.75" customHeight="1">
      <c r="A77" s="30"/>
      <c r="B77" s="30">
        <v>73.0</v>
      </c>
      <c r="C77" s="30" t="s">
        <v>132</v>
      </c>
      <c r="D77" s="22" t="s">
        <v>133</v>
      </c>
      <c r="E77" s="70" t="str">
        <f t="shared" si="6"/>
        <v>9번 중 2번 참여</v>
      </c>
      <c r="F77" s="71">
        <f t="shared" si="7"/>
        <v>0.2222222222</v>
      </c>
      <c r="G77" s="26" t="s">
        <v>25</v>
      </c>
      <c r="H77" s="26" t="s">
        <v>25</v>
      </c>
      <c r="I77" s="26"/>
      <c r="J77" s="26"/>
      <c r="K77" s="26"/>
      <c r="L77" s="26"/>
      <c r="M77" s="26"/>
      <c r="N77" s="26"/>
      <c r="O77" s="26"/>
      <c r="P77" s="27"/>
    </row>
    <row r="78" ht="15.75" customHeight="1">
      <c r="A78" s="47"/>
      <c r="B78" s="29">
        <v>74.0</v>
      </c>
      <c r="C78" s="42" t="s">
        <v>28</v>
      </c>
      <c r="D78" s="42" t="s">
        <v>70</v>
      </c>
      <c r="E78" s="70" t="str">
        <f t="shared" si="6"/>
        <v>9번 중 9번 참여</v>
      </c>
      <c r="F78" s="71">
        <f t="shared" si="7"/>
        <v>1</v>
      </c>
      <c r="G78" s="26" t="s">
        <v>25</v>
      </c>
      <c r="H78" s="26" t="s">
        <v>25</v>
      </c>
      <c r="I78" s="26" t="s">
        <v>25</v>
      </c>
      <c r="J78" s="26" t="s">
        <v>25</v>
      </c>
      <c r="K78" s="26" t="s">
        <v>25</v>
      </c>
      <c r="L78" s="26" t="s">
        <v>25</v>
      </c>
      <c r="M78" s="26" t="s">
        <v>25</v>
      </c>
      <c r="N78" s="26" t="s">
        <v>25</v>
      </c>
      <c r="O78" s="26" t="s">
        <v>25</v>
      </c>
      <c r="P78" s="27"/>
    </row>
    <row r="79" ht="15.75" customHeight="1">
      <c r="A79" s="68"/>
      <c r="B79" s="21">
        <v>75.0</v>
      </c>
      <c r="C79" s="30" t="s">
        <v>136</v>
      </c>
      <c r="D79" s="30" t="s">
        <v>137</v>
      </c>
      <c r="E79" s="70" t="str">
        <f t="shared" si="6"/>
        <v/>
      </c>
      <c r="F79" s="71" t="str">
        <f t="shared" si="7"/>
        <v/>
      </c>
      <c r="G79" s="26"/>
      <c r="H79" s="26"/>
      <c r="I79" s="26"/>
      <c r="J79" s="26"/>
      <c r="K79" s="26"/>
      <c r="L79" s="26"/>
      <c r="M79" s="26"/>
      <c r="N79" s="26"/>
      <c r="O79" s="26"/>
      <c r="P79" s="27"/>
    </row>
    <row r="80" ht="15.75" customHeight="1">
      <c r="A80" s="47"/>
      <c r="B80" s="29">
        <v>76.0</v>
      </c>
      <c r="C80" s="22" t="s">
        <v>138</v>
      </c>
      <c r="D80" s="22" t="s">
        <v>139</v>
      </c>
      <c r="E80" s="70" t="str">
        <f t="shared" si="6"/>
        <v/>
      </c>
      <c r="F80" s="71" t="str">
        <f t="shared" si="7"/>
        <v/>
      </c>
      <c r="G80" s="26" t="s">
        <v>80</v>
      </c>
      <c r="H80" s="26"/>
      <c r="I80" s="26"/>
      <c r="J80" s="26"/>
      <c r="K80" s="26"/>
      <c r="L80" s="26"/>
      <c r="M80" s="26"/>
      <c r="N80" s="26"/>
      <c r="O80" s="26"/>
      <c r="P80" s="27"/>
    </row>
    <row r="81" ht="15.75" customHeight="1">
      <c r="A81" s="68"/>
      <c r="B81" s="21">
        <v>77.0</v>
      </c>
      <c r="C81" s="30" t="s">
        <v>140</v>
      </c>
      <c r="D81" s="22" t="s">
        <v>141</v>
      </c>
      <c r="E81" s="70" t="str">
        <f t="shared" si="6"/>
        <v>9번 중 6번 참여</v>
      </c>
      <c r="F81" s="71">
        <f t="shared" si="7"/>
        <v>0.6666666667</v>
      </c>
      <c r="G81" s="26"/>
      <c r="H81" s="26" t="s">
        <v>25</v>
      </c>
      <c r="I81" s="26" t="s">
        <v>25</v>
      </c>
      <c r="J81" s="26" t="s">
        <v>25</v>
      </c>
      <c r="K81" s="26"/>
      <c r="L81" s="26" t="s">
        <v>25</v>
      </c>
      <c r="M81" s="26"/>
      <c r="N81" s="26" t="s">
        <v>25</v>
      </c>
      <c r="O81" s="26" t="s">
        <v>25</v>
      </c>
      <c r="P81" s="27"/>
    </row>
    <row r="82" ht="15.75" customHeight="1">
      <c r="A82" s="47"/>
      <c r="B82" s="29">
        <v>78.0</v>
      </c>
      <c r="C82" s="22" t="s">
        <v>142</v>
      </c>
      <c r="D82" s="22" t="s">
        <v>143</v>
      </c>
      <c r="E82" s="70" t="str">
        <f t="shared" si="6"/>
        <v/>
      </c>
      <c r="F82" s="71" t="str">
        <f t="shared" si="7"/>
        <v/>
      </c>
      <c r="G82" s="26"/>
      <c r="H82" s="26"/>
      <c r="I82" s="26"/>
      <c r="J82" s="26"/>
      <c r="K82" s="26"/>
      <c r="L82" s="26"/>
      <c r="M82" s="26"/>
      <c r="N82" s="26"/>
      <c r="O82" s="26"/>
      <c r="P82" s="27"/>
    </row>
    <row r="83" ht="15.75" customHeight="1">
      <c r="A83" s="68"/>
      <c r="B83" s="21">
        <v>79.0</v>
      </c>
      <c r="C83" s="30" t="s">
        <v>144</v>
      </c>
      <c r="D83" s="30" t="s">
        <v>145</v>
      </c>
      <c r="E83" s="70" t="str">
        <f t="shared" si="6"/>
        <v/>
      </c>
      <c r="F83" s="71" t="str">
        <f t="shared" si="7"/>
        <v/>
      </c>
      <c r="G83" s="26"/>
      <c r="H83" s="26"/>
      <c r="I83" s="26"/>
      <c r="J83" s="26"/>
      <c r="K83" s="26"/>
      <c r="L83" s="26"/>
      <c r="M83" s="26"/>
      <c r="N83" s="26"/>
      <c r="O83" s="26"/>
      <c r="P83" s="27"/>
    </row>
    <row r="84" ht="15.75" customHeight="1">
      <c r="A84" s="47"/>
      <c r="B84" s="29">
        <v>80.0</v>
      </c>
      <c r="C84" s="22" t="s">
        <v>146</v>
      </c>
      <c r="D84" s="22" t="s">
        <v>147</v>
      </c>
      <c r="E84" s="70" t="str">
        <f t="shared" si="6"/>
        <v>9번 중 9번 참여</v>
      </c>
      <c r="F84" s="71">
        <f t="shared" si="7"/>
        <v>1</v>
      </c>
      <c r="G84" s="26" t="s">
        <v>25</v>
      </c>
      <c r="H84" s="26" t="s">
        <v>25</v>
      </c>
      <c r="I84" s="26" t="s">
        <v>25</v>
      </c>
      <c r="J84" s="26" t="s">
        <v>25</v>
      </c>
      <c r="K84" s="26" t="s">
        <v>25</v>
      </c>
      <c r="L84" s="26" t="s">
        <v>25</v>
      </c>
      <c r="M84" s="26" t="s">
        <v>25</v>
      </c>
      <c r="N84" s="26" t="s">
        <v>25</v>
      </c>
      <c r="O84" s="26" t="s">
        <v>25</v>
      </c>
      <c r="P84" s="27"/>
    </row>
    <row r="85" ht="15.75" customHeight="1">
      <c r="A85" s="68"/>
      <c r="B85" s="21">
        <v>81.0</v>
      </c>
      <c r="C85" s="30" t="s">
        <v>148</v>
      </c>
      <c r="D85" s="30" t="s">
        <v>149</v>
      </c>
      <c r="E85" s="70" t="str">
        <f t="shared" si="6"/>
        <v>9번 중 9번 참여</v>
      </c>
      <c r="F85" s="71">
        <f t="shared" si="7"/>
        <v>1</v>
      </c>
      <c r="G85" s="26" t="s">
        <v>25</v>
      </c>
      <c r="H85" s="26" t="s">
        <v>25</v>
      </c>
      <c r="I85" s="26" t="s">
        <v>25</v>
      </c>
      <c r="J85" s="26" t="s">
        <v>25</v>
      </c>
      <c r="K85" s="26" t="s">
        <v>25</v>
      </c>
      <c r="L85" s="26" t="s">
        <v>25</v>
      </c>
      <c r="M85" s="26" t="s">
        <v>25</v>
      </c>
      <c r="N85" s="26" t="s">
        <v>25</v>
      </c>
      <c r="O85" s="26" t="s">
        <v>25</v>
      </c>
      <c r="P85" s="27"/>
    </row>
    <row r="86" ht="15.75" customHeight="1">
      <c r="A86" s="47"/>
      <c r="B86" s="29">
        <v>82.0</v>
      </c>
      <c r="C86" s="30" t="s">
        <v>150</v>
      </c>
      <c r="D86" s="78" t="s">
        <v>151</v>
      </c>
      <c r="E86" s="70" t="str">
        <f t="shared" si="6"/>
        <v/>
      </c>
      <c r="F86" s="71" t="str">
        <f t="shared" si="7"/>
        <v/>
      </c>
      <c r="G86" s="26"/>
      <c r="H86" s="26"/>
      <c r="I86" s="26"/>
      <c r="J86" s="26"/>
      <c r="K86" s="26"/>
      <c r="L86" s="26"/>
      <c r="M86" s="26"/>
      <c r="N86" s="26"/>
      <c r="O86" s="26"/>
      <c r="P86" s="27"/>
    </row>
    <row r="87" ht="15.75" customHeight="1">
      <c r="A87" s="68"/>
      <c r="B87" s="21">
        <v>83.0</v>
      </c>
      <c r="C87" s="22" t="s">
        <v>152</v>
      </c>
      <c r="D87" s="22" t="s">
        <v>153</v>
      </c>
      <c r="E87" s="70" t="str">
        <f t="shared" si="6"/>
        <v/>
      </c>
      <c r="F87" s="71" t="str">
        <f t="shared" si="7"/>
        <v/>
      </c>
      <c r="G87" s="26"/>
      <c r="H87" s="26"/>
      <c r="I87" s="26"/>
      <c r="J87" s="26"/>
      <c r="K87" s="26"/>
      <c r="L87" s="26"/>
      <c r="M87" s="26"/>
      <c r="N87" s="26"/>
      <c r="O87" s="26"/>
      <c r="P87" s="27"/>
    </row>
    <row r="88" ht="15.75" customHeight="1">
      <c r="A88" s="47"/>
      <c r="B88" s="29">
        <v>84.0</v>
      </c>
      <c r="C88" s="30" t="s">
        <v>154</v>
      </c>
      <c r="D88" s="30" t="s">
        <v>155</v>
      </c>
      <c r="E88" s="70" t="str">
        <f t="shared" si="6"/>
        <v>9번 중 9번 참여</v>
      </c>
      <c r="F88" s="71">
        <f t="shared" si="7"/>
        <v>1</v>
      </c>
      <c r="G88" s="26" t="s">
        <v>25</v>
      </c>
      <c r="H88" s="26" t="s">
        <v>25</v>
      </c>
      <c r="I88" s="26" t="s">
        <v>25</v>
      </c>
      <c r="J88" s="26" t="s">
        <v>25</v>
      </c>
      <c r="K88" s="26" t="s">
        <v>25</v>
      </c>
      <c r="L88" s="26" t="s">
        <v>25</v>
      </c>
      <c r="M88" s="26" t="s">
        <v>25</v>
      </c>
      <c r="N88" s="26" t="s">
        <v>25</v>
      </c>
      <c r="O88" s="26" t="s">
        <v>25</v>
      </c>
      <c r="P88" s="27"/>
    </row>
    <row r="89" ht="15.75" customHeight="1">
      <c r="A89" s="68"/>
      <c r="B89" s="21">
        <v>85.0</v>
      </c>
      <c r="C89" s="22" t="s">
        <v>156</v>
      </c>
      <c r="D89" s="22" t="s">
        <v>157</v>
      </c>
      <c r="E89" s="70" t="str">
        <f t="shared" si="6"/>
        <v>9번 중 8번 참여</v>
      </c>
      <c r="F89" s="71">
        <f t="shared" si="7"/>
        <v>0.8888888889</v>
      </c>
      <c r="G89" s="26" t="s">
        <v>25</v>
      </c>
      <c r="H89" s="26" t="s">
        <v>25</v>
      </c>
      <c r="I89" s="26" t="s">
        <v>25</v>
      </c>
      <c r="J89" s="26" t="s">
        <v>25</v>
      </c>
      <c r="K89" s="26" t="s">
        <v>25</v>
      </c>
      <c r="L89" s="26"/>
      <c r="M89" s="26" t="s">
        <v>25</v>
      </c>
      <c r="N89" s="26" t="s">
        <v>25</v>
      </c>
      <c r="O89" s="26" t="s">
        <v>25</v>
      </c>
      <c r="P89" s="27"/>
    </row>
    <row r="90" ht="15.75" customHeight="1">
      <c r="A90" s="47"/>
      <c r="B90" s="29">
        <v>86.0</v>
      </c>
      <c r="C90" s="42" t="s">
        <v>158</v>
      </c>
      <c r="D90" s="42" t="s">
        <v>159</v>
      </c>
      <c r="E90" s="70" t="str">
        <f t="shared" si="6"/>
        <v>9번 중 9번 참여</v>
      </c>
      <c r="F90" s="71">
        <f t="shared" si="7"/>
        <v>1</v>
      </c>
      <c r="G90" s="26" t="s">
        <v>25</v>
      </c>
      <c r="H90" s="26" t="s">
        <v>25</v>
      </c>
      <c r="I90" s="26" t="s">
        <v>25</v>
      </c>
      <c r="J90" s="26" t="s">
        <v>25</v>
      </c>
      <c r="K90" s="26" t="s">
        <v>25</v>
      </c>
      <c r="L90" s="26" t="s">
        <v>25</v>
      </c>
      <c r="M90" s="26" t="s">
        <v>25</v>
      </c>
      <c r="N90" s="26" t="s">
        <v>25</v>
      </c>
      <c r="O90" s="26" t="s">
        <v>25</v>
      </c>
      <c r="P90" s="27"/>
    </row>
    <row r="91" ht="15.75" customHeight="1">
      <c r="A91" s="68"/>
      <c r="B91" s="21">
        <v>87.0</v>
      </c>
      <c r="C91" s="42" t="s">
        <v>160</v>
      </c>
      <c r="D91" s="42" t="s">
        <v>161</v>
      </c>
      <c r="E91" s="70" t="str">
        <f t="shared" si="6"/>
        <v>9번 중 9번 참여</v>
      </c>
      <c r="F91" s="71">
        <f t="shared" si="7"/>
        <v>1</v>
      </c>
      <c r="G91" s="26" t="s">
        <v>25</v>
      </c>
      <c r="H91" s="26" t="s">
        <v>25</v>
      </c>
      <c r="I91" s="26" t="s">
        <v>25</v>
      </c>
      <c r="J91" s="26" t="s">
        <v>25</v>
      </c>
      <c r="K91" s="26" t="s">
        <v>25</v>
      </c>
      <c r="L91" s="26" t="s">
        <v>25</v>
      </c>
      <c r="M91" s="26" t="s">
        <v>25</v>
      </c>
      <c r="N91" s="26" t="s">
        <v>25</v>
      </c>
      <c r="O91" s="26" t="s">
        <v>25</v>
      </c>
      <c r="P91" s="27"/>
    </row>
    <row r="92" ht="15.75" customHeight="1">
      <c r="A92" s="47"/>
      <c r="B92" s="29">
        <v>88.0</v>
      </c>
      <c r="C92" s="30" t="s">
        <v>162</v>
      </c>
      <c r="D92" s="30" t="s">
        <v>163</v>
      </c>
      <c r="E92" s="70" t="str">
        <f t="shared" si="6"/>
        <v>9번 중 9번 참여</v>
      </c>
      <c r="F92" s="71">
        <f t="shared" si="7"/>
        <v>1</v>
      </c>
      <c r="G92" s="26" t="s">
        <v>25</v>
      </c>
      <c r="H92" s="26" t="s">
        <v>25</v>
      </c>
      <c r="I92" s="26" t="s">
        <v>25</v>
      </c>
      <c r="J92" s="26" t="s">
        <v>25</v>
      </c>
      <c r="K92" s="26" t="s">
        <v>25</v>
      </c>
      <c r="L92" s="26" t="s">
        <v>25</v>
      </c>
      <c r="M92" s="26" t="s">
        <v>25</v>
      </c>
      <c r="N92" s="26" t="s">
        <v>25</v>
      </c>
      <c r="O92" s="26" t="s">
        <v>25</v>
      </c>
      <c r="P92" s="27"/>
    </row>
    <row r="93" ht="15.75" customHeight="1">
      <c r="A93" s="68"/>
      <c r="B93" s="21">
        <v>89.0</v>
      </c>
      <c r="C93" s="22" t="s">
        <v>164</v>
      </c>
      <c r="D93" s="22" t="s">
        <v>165</v>
      </c>
      <c r="E93" s="70" t="str">
        <f t="shared" si="6"/>
        <v>9번 중 8번 참여</v>
      </c>
      <c r="F93" s="71">
        <f t="shared" si="7"/>
        <v>0.8888888889</v>
      </c>
      <c r="G93" s="26" t="s">
        <v>25</v>
      </c>
      <c r="H93" s="26" t="s">
        <v>25</v>
      </c>
      <c r="I93" s="26" t="s">
        <v>25</v>
      </c>
      <c r="J93" s="26" t="s">
        <v>25</v>
      </c>
      <c r="K93" s="26" t="s">
        <v>25</v>
      </c>
      <c r="L93" s="26" t="s">
        <v>25</v>
      </c>
      <c r="M93" s="26" t="s">
        <v>25</v>
      </c>
      <c r="N93" s="26" t="s">
        <v>25</v>
      </c>
      <c r="O93" s="26"/>
      <c r="P93" s="27"/>
    </row>
    <row r="94" ht="15.75" customHeight="1">
      <c r="A94" s="47"/>
      <c r="B94" s="29">
        <v>90.0</v>
      </c>
      <c r="C94" s="42" t="s">
        <v>166</v>
      </c>
      <c r="D94" s="42" t="s">
        <v>167</v>
      </c>
      <c r="E94" s="70" t="str">
        <f t="shared" si="6"/>
        <v>9번 중 8번 참여</v>
      </c>
      <c r="F94" s="71">
        <f t="shared" si="7"/>
        <v>0.8888888889</v>
      </c>
      <c r="G94" s="26" t="s">
        <v>25</v>
      </c>
      <c r="H94" s="26" t="s">
        <v>25</v>
      </c>
      <c r="I94" s="26"/>
      <c r="J94" s="26" t="s">
        <v>25</v>
      </c>
      <c r="K94" s="26" t="s">
        <v>25</v>
      </c>
      <c r="L94" s="26" t="s">
        <v>25</v>
      </c>
      <c r="M94" s="26" t="s">
        <v>25</v>
      </c>
      <c r="N94" s="26" t="s">
        <v>25</v>
      </c>
      <c r="O94" s="26" t="s">
        <v>25</v>
      </c>
      <c r="P94" s="27"/>
    </row>
    <row r="95" ht="15.75" customHeight="1">
      <c r="A95" s="68"/>
      <c r="B95" s="21">
        <v>91.0</v>
      </c>
      <c r="C95" s="22" t="s">
        <v>168</v>
      </c>
      <c r="D95" s="74" t="s">
        <v>169</v>
      </c>
      <c r="E95" s="70" t="str">
        <f t="shared" si="6"/>
        <v>9번 중 6번 참여</v>
      </c>
      <c r="F95" s="71">
        <f t="shared" si="7"/>
        <v>0.6666666667</v>
      </c>
      <c r="G95" s="26" t="s">
        <v>25</v>
      </c>
      <c r="H95" s="26" t="s">
        <v>25</v>
      </c>
      <c r="I95" s="26"/>
      <c r="J95" s="26" t="s">
        <v>25</v>
      </c>
      <c r="K95" s="26" t="s">
        <v>25</v>
      </c>
      <c r="L95" s="26" t="s">
        <v>25</v>
      </c>
      <c r="M95" s="26" t="s">
        <v>25</v>
      </c>
      <c r="N95" s="26"/>
      <c r="O95" s="26"/>
      <c r="P95" s="27"/>
    </row>
    <row r="96" ht="15.75" customHeight="1">
      <c r="A96" s="47"/>
      <c r="B96" s="29">
        <v>92.0</v>
      </c>
      <c r="C96" s="30" t="s">
        <v>170</v>
      </c>
      <c r="D96" s="30" t="s">
        <v>171</v>
      </c>
      <c r="E96" s="70" t="str">
        <f t="shared" si="6"/>
        <v>9번 중 9번 참여</v>
      </c>
      <c r="F96" s="71">
        <f t="shared" si="7"/>
        <v>1</v>
      </c>
      <c r="G96" s="26" t="s">
        <v>25</v>
      </c>
      <c r="H96" s="26" t="s">
        <v>25</v>
      </c>
      <c r="I96" s="26" t="s">
        <v>25</v>
      </c>
      <c r="J96" s="26" t="s">
        <v>25</v>
      </c>
      <c r="K96" s="26" t="s">
        <v>25</v>
      </c>
      <c r="L96" s="26" t="s">
        <v>25</v>
      </c>
      <c r="M96" s="26" t="s">
        <v>25</v>
      </c>
      <c r="N96" s="26" t="s">
        <v>25</v>
      </c>
      <c r="O96" s="26" t="s">
        <v>25</v>
      </c>
      <c r="P96" s="27"/>
    </row>
    <row r="97" ht="15.75" customHeight="1">
      <c r="A97" s="68"/>
      <c r="B97" s="21">
        <v>93.0</v>
      </c>
      <c r="C97" s="22" t="s">
        <v>172</v>
      </c>
      <c r="D97" s="74" t="s">
        <v>173</v>
      </c>
      <c r="E97" s="70" t="str">
        <f t="shared" si="6"/>
        <v>9번 중 9번 참여</v>
      </c>
      <c r="F97" s="71">
        <f t="shared" si="7"/>
        <v>1</v>
      </c>
      <c r="G97" s="26" t="s">
        <v>25</v>
      </c>
      <c r="H97" s="26" t="s">
        <v>25</v>
      </c>
      <c r="I97" s="26" t="s">
        <v>25</v>
      </c>
      <c r="J97" s="26" t="s">
        <v>25</v>
      </c>
      <c r="K97" s="26" t="s">
        <v>25</v>
      </c>
      <c r="L97" s="26" t="s">
        <v>25</v>
      </c>
      <c r="M97" s="26" t="s">
        <v>25</v>
      </c>
      <c r="N97" s="26" t="s">
        <v>25</v>
      </c>
      <c r="O97" s="26" t="s">
        <v>25</v>
      </c>
      <c r="P97" s="27"/>
    </row>
    <row r="98" ht="15.75" customHeight="1">
      <c r="A98" s="47"/>
      <c r="B98" s="29">
        <v>94.0</v>
      </c>
      <c r="C98" s="30" t="s">
        <v>174</v>
      </c>
      <c r="D98" s="78" t="s">
        <v>175</v>
      </c>
      <c r="E98" s="70" t="str">
        <f t="shared" si="6"/>
        <v>9번 중 2번 참여</v>
      </c>
      <c r="F98" s="71">
        <f t="shared" si="7"/>
        <v>0.2222222222</v>
      </c>
      <c r="G98" s="26"/>
      <c r="H98" s="26"/>
      <c r="I98" s="26" t="s">
        <v>25</v>
      </c>
      <c r="J98" s="26" t="s">
        <v>25</v>
      </c>
      <c r="K98" s="26"/>
      <c r="L98" s="26"/>
      <c r="M98" s="26"/>
      <c r="N98" s="26"/>
      <c r="O98" s="26"/>
      <c r="P98" s="27"/>
    </row>
    <row r="99" ht="15.75" customHeight="1">
      <c r="A99" s="68"/>
      <c r="B99" s="21">
        <v>95.0</v>
      </c>
      <c r="C99" s="39" t="s">
        <v>176</v>
      </c>
      <c r="D99" s="79" t="s">
        <v>177</v>
      </c>
      <c r="E99" s="70" t="str">
        <f t="shared" si="6"/>
        <v>9번 중 7번 참여</v>
      </c>
      <c r="F99" s="71">
        <f t="shared" si="7"/>
        <v>0.7777777778</v>
      </c>
      <c r="G99" s="26" t="s">
        <v>80</v>
      </c>
      <c r="H99" s="26" t="s">
        <v>80</v>
      </c>
      <c r="I99" s="26" t="s">
        <v>25</v>
      </c>
      <c r="J99" s="26" t="s">
        <v>25</v>
      </c>
      <c r="K99" s="26" t="s">
        <v>25</v>
      </c>
      <c r="L99" s="26" t="s">
        <v>25</v>
      </c>
      <c r="M99" s="26" t="s">
        <v>25</v>
      </c>
      <c r="N99" s="26" t="s">
        <v>25</v>
      </c>
      <c r="O99" s="26" t="s">
        <v>25</v>
      </c>
      <c r="P99" s="27"/>
    </row>
    <row r="100" ht="15.75" customHeight="1">
      <c r="A100" s="47"/>
      <c r="B100" s="29">
        <v>96.0</v>
      </c>
      <c r="C100" s="30" t="s">
        <v>178</v>
      </c>
      <c r="D100" s="72" t="s">
        <v>179</v>
      </c>
      <c r="E100" s="70" t="str">
        <f t="shared" si="6"/>
        <v>9번 중 8번 참여</v>
      </c>
      <c r="F100" s="71">
        <f t="shared" si="7"/>
        <v>0.8888888889</v>
      </c>
      <c r="G100" s="26" t="s">
        <v>25</v>
      </c>
      <c r="H100" s="26" t="s">
        <v>25</v>
      </c>
      <c r="I100" s="26" t="s">
        <v>25</v>
      </c>
      <c r="J100" s="26" t="s">
        <v>25</v>
      </c>
      <c r="K100" s="26" t="s">
        <v>25</v>
      </c>
      <c r="L100" s="26" t="s">
        <v>25</v>
      </c>
      <c r="M100" s="26" t="s">
        <v>25</v>
      </c>
      <c r="N100" s="26" t="s">
        <v>25</v>
      </c>
      <c r="O100" s="26"/>
      <c r="P100" s="27"/>
    </row>
    <row r="101" ht="15.75" customHeight="1">
      <c r="A101" s="68"/>
      <c r="B101" s="21">
        <v>97.0</v>
      </c>
      <c r="C101" s="22" t="s">
        <v>180</v>
      </c>
      <c r="D101" s="74" t="s">
        <v>181</v>
      </c>
      <c r="E101" s="70" t="str">
        <f t="shared" si="6"/>
        <v>9번 중 9번 참여</v>
      </c>
      <c r="F101" s="71">
        <f t="shared" si="7"/>
        <v>1</v>
      </c>
      <c r="G101" s="26" t="s">
        <v>25</v>
      </c>
      <c r="H101" s="26" t="s">
        <v>25</v>
      </c>
      <c r="I101" s="26" t="s">
        <v>25</v>
      </c>
      <c r="J101" s="26" t="s">
        <v>25</v>
      </c>
      <c r="K101" s="26" t="s">
        <v>25</v>
      </c>
      <c r="L101" s="26" t="s">
        <v>25</v>
      </c>
      <c r="M101" s="26" t="s">
        <v>25</v>
      </c>
      <c r="N101" s="26" t="s">
        <v>25</v>
      </c>
      <c r="O101" s="26" t="s">
        <v>25</v>
      </c>
      <c r="P101" s="27"/>
    </row>
    <row r="102" ht="15.75" customHeight="1">
      <c r="A102" s="47"/>
      <c r="B102" s="29">
        <v>98.0</v>
      </c>
      <c r="C102" s="86" t="s">
        <v>207</v>
      </c>
      <c r="D102" s="44" t="s">
        <v>208</v>
      </c>
      <c r="E102" s="70" t="str">
        <f t="shared" si="6"/>
        <v>9번 중 4번 참여</v>
      </c>
      <c r="F102" s="71">
        <f t="shared" si="7"/>
        <v>0.4444444444</v>
      </c>
      <c r="G102" s="26" t="s">
        <v>25</v>
      </c>
      <c r="H102" s="26" t="s">
        <v>25</v>
      </c>
      <c r="I102" s="26"/>
      <c r="J102" s="26" t="s">
        <v>25</v>
      </c>
      <c r="K102" s="26"/>
      <c r="L102" s="26"/>
      <c r="M102" s="26"/>
      <c r="N102" s="26" t="s">
        <v>25</v>
      </c>
      <c r="O102" s="26"/>
      <c r="P102" s="27"/>
    </row>
    <row r="103" ht="15.75" customHeight="1">
      <c r="A103" s="68"/>
      <c r="B103" s="21">
        <v>99.0</v>
      </c>
      <c r="C103" s="43" t="s">
        <v>182</v>
      </c>
      <c r="D103" s="87" t="s">
        <v>183</v>
      </c>
      <c r="E103" s="70" t="str">
        <f t="shared" si="6"/>
        <v>9번 중 8번 참여</v>
      </c>
      <c r="F103" s="71">
        <f t="shared" si="7"/>
        <v>0.8888888889</v>
      </c>
      <c r="G103" s="26" t="s">
        <v>25</v>
      </c>
      <c r="H103" s="26" t="s">
        <v>80</v>
      </c>
      <c r="I103" s="26" t="s">
        <v>25</v>
      </c>
      <c r="J103" s="26" t="s">
        <v>25</v>
      </c>
      <c r="K103" s="26" t="s">
        <v>25</v>
      </c>
      <c r="L103" s="26" t="s">
        <v>25</v>
      </c>
      <c r="M103" s="26" t="s">
        <v>25</v>
      </c>
      <c r="N103" s="26" t="s">
        <v>25</v>
      </c>
      <c r="O103" s="26" t="s">
        <v>25</v>
      </c>
      <c r="P103" s="27"/>
    </row>
    <row r="104" ht="15.75" customHeight="1">
      <c r="A104" s="47"/>
      <c r="B104" s="29">
        <v>100.0</v>
      </c>
      <c r="C104" s="30" t="s">
        <v>184</v>
      </c>
      <c r="D104" s="30" t="s">
        <v>185</v>
      </c>
      <c r="E104" s="70" t="str">
        <f t="shared" si="6"/>
        <v>9번 중 9번 참여</v>
      </c>
      <c r="F104" s="71">
        <f t="shared" si="7"/>
        <v>1</v>
      </c>
      <c r="G104" s="26" t="s">
        <v>25</v>
      </c>
      <c r="H104" s="26" t="s">
        <v>25</v>
      </c>
      <c r="I104" s="26" t="s">
        <v>25</v>
      </c>
      <c r="J104" s="26" t="s">
        <v>25</v>
      </c>
      <c r="K104" s="26" t="s">
        <v>25</v>
      </c>
      <c r="L104" s="26" t="s">
        <v>25</v>
      </c>
      <c r="M104" s="26" t="s">
        <v>25</v>
      </c>
      <c r="N104" s="26" t="s">
        <v>25</v>
      </c>
      <c r="O104" s="26" t="s">
        <v>25</v>
      </c>
      <c r="P104" s="27"/>
    </row>
    <row r="105" ht="15.75" customHeight="1">
      <c r="A105" s="68"/>
      <c r="B105" s="21">
        <v>101.0</v>
      </c>
      <c r="C105" s="88" t="s">
        <v>128</v>
      </c>
      <c r="D105" s="74" t="s">
        <v>261</v>
      </c>
      <c r="E105" s="70" t="str">
        <f t="shared" si="6"/>
        <v/>
      </c>
      <c r="F105" s="71" t="str">
        <f t="shared" si="7"/>
        <v/>
      </c>
      <c r="G105" s="26"/>
      <c r="H105" s="26"/>
      <c r="I105" s="26"/>
      <c r="J105" s="26"/>
      <c r="K105" s="26"/>
      <c r="L105" s="26"/>
      <c r="M105" s="26"/>
      <c r="N105" s="26"/>
      <c r="O105" s="26"/>
      <c r="P105" s="27"/>
    </row>
    <row r="106" ht="15.75" customHeight="1">
      <c r="A106" s="47"/>
      <c r="B106" s="29">
        <v>102.0</v>
      </c>
      <c r="C106" s="88" t="s">
        <v>124</v>
      </c>
      <c r="D106" s="22" t="s">
        <v>262</v>
      </c>
      <c r="E106" s="70" t="str">
        <f t="shared" si="6"/>
        <v/>
      </c>
      <c r="F106" s="71" t="str">
        <f t="shared" si="7"/>
        <v/>
      </c>
      <c r="G106" s="26"/>
      <c r="H106" s="26"/>
      <c r="I106" s="26"/>
      <c r="J106" s="26"/>
      <c r="K106" s="26"/>
      <c r="L106" s="26"/>
      <c r="M106" s="26"/>
      <c r="N106" s="26"/>
      <c r="O106" s="26"/>
      <c r="P106" s="27"/>
    </row>
    <row r="107" ht="15.75" customHeight="1">
      <c r="A107" s="68"/>
      <c r="B107" s="21">
        <v>103.0</v>
      </c>
      <c r="C107" s="89" t="s">
        <v>115</v>
      </c>
      <c r="D107" s="83" t="s">
        <v>263</v>
      </c>
      <c r="E107" s="70" t="str">
        <f t="shared" si="6"/>
        <v/>
      </c>
      <c r="F107" s="71" t="str">
        <f t="shared" si="7"/>
        <v/>
      </c>
      <c r="G107" s="26"/>
      <c r="H107" s="26"/>
      <c r="I107" s="26"/>
      <c r="J107" s="26"/>
      <c r="K107" s="26"/>
      <c r="L107" s="26"/>
      <c r="M107" s="26"/>
      <c r="N107" s="26"/>
      <c r="O107" s="26"/>
      <c r="P107" s="27"/>
    </row>
    <row r="108" ht="15.75" customHeight="1">
      <c r="A108" s="47"/>
      <c r="B108" s="29">
        <v>104.0</v>
      </c>
      <c r="C108" s="90" t="s">
        <v>122</v>
      </c>
      <c r="D108" s="78" t="s">
        <v>264</v>
      </c>
      <c r="E108" s="70" t="str">
        <f t="shared" si="6"/>
        <v/>
      </c>
      <c r="F108" s="71" t="str">
        <f t="shared" si="7"/>
        <v/>
      </c>
      <c r="G108" s="26"/>
      <c r="H108" s="26"/>
      <c r="I108" s="26"/>
      <c r="J108" s="26"/>
      <c r="K108" s="26"/>
      <c r="L108" s="26"/>
      <c r="M108" s="26"/>
      <c r="N108" s="26"/>
      <c r="O108" s="26"/>
      <c r="P108" s="27"/>
    </row>
    <row r="109" ht="15.75" customHeight="1">
      <c r="A109" s="68"/>
      <c r="B109" s="21">
        <v>105.0</v>
      </c>
      <c r="C109" s="33"/>
      <c r="D109" s="33"/>
      <c r="E109" s="70" t="str">
        <f t="shared" si="6"/>
        <v/>
      </c>
      <c r="F109" s="71" t="str">
        <f t="shared" si="7"/>
        <v/>
      </c>
      <c r="G109" s="26"/>
      <c r="H109" s="26"/>
      <c r="I109" s="26"/>
      <c r="J109" s="26"/>
      <c r="K109" s="26"/>
      <c r="L109" s="26"/>
      <c r="M109" s="26"/>
      <c r="N109" s="26"/>
      <c r="O109" s="26"/>
      <c r="P109" s="27"/>
    </row>
    <row r="110" ht="15.75" customHeight="1">
      <c r="A110" s="47"/>
      <c r="B110" s="29">
        <v>106.0</v>
      </c>
      <c r="C110" s="35"/>
      <c r="D110" s="35"/>
      <c r="E110" s="70" t="str">
        <f t="shared" si="6"/>
        <v/>
      </c>
      <c r="F110" s="71" t="str">
        <f t="shared" si="7"/>
        <v/>
      </c>
      <c r="G110" s="26"/>
      <c r="H110" s="26"/>
      <c r="I110" s="26"/>
      <c r="J110" s="26"/>
      <c r="K110" s="26"/>
      <c r="L110" s="26"/>
      <c r="M110" s="26"/>
      <c r="N110" s="26"/>
      <c r="O110" s="26"/>
      <c r="P110" s="27"/>
    </row>
    <row r="111" ht="15.75" customHeight="1">
      <c r="A111" s="68"/>
      <c r="B111" s="21">
        <v>107.0</v>
      </c>
      <c r="C111" s="33"/>
      <c r="D111" s="33"/>
      <c r="E111" s="70" t="str">
        <f t="shared" si="6"/>
        <v/>
      </c>
      <c r="F111" s="71" t="str">
        <f t="shared" si="7"/>
        <v/>
      </c>
      <c r="G111" s="26"/>
      <c r="H111" s="26"/>
      <c r="I111" s="26"/>
      <c r="J111" s="26"/>
      <c r="K111" s="26"/>
      <c r="L111" s="26"/>
      <c r="M111" s="26"/>
      <c r="N111" s="26"/>
      <c r="O111" s="26"/>
      <c r="P111" s="27"/>
    </row>
    <row r="112" ht="15.75" customHeight="1">
      <c r="A112" s="47"/>
      <c r="B112" s="29">
        <v>108.0</v>
      </c>
      <c r="C112" s="35"/>
      <c r="D112" s="35"/>
      <c r="E112" s="70" t="str">
        <f t="shared" si="6"/>
        <v/>
      </c>
      <c r="F112" s="71" t="str">
        <f t="shared" si="7"/>
        <v/>
      </c>
      <c r="G112" s="26"/>
      <c r="H112" s="26"/>
      <c r="I112" s="26"/>
      <c r="J112" s="26"/>
      <c r="K112" s="26"/>
      <c r="L112" s="26"/>
      <c r="M112" s="26"/>
      <c r="N112" s="26"/>
      <c r="O112" s="26"/>
      <c r="P112" s="27"/>
    </row>
    <row r="113" ht="15.75" customHeight="1">
      <c r="A113" s="68"/>
      <c r="B113" s="21">
        <v>109.0</v>
      </c>
      <c r="C113" s="33"/>
      <c r="D113" s="33"/>
      <c r="E113" s="70" t="str">
        <f t="shared" si="6"/>
        <v/>
      </c>
      <c r="F113" s="71" t="str">
        <f t="shared" si="7"/>
        <v/>
      </c>
      <c r="G113" s="26"/>
      <c r="H113" s="26"/>
      <c r="I113" s="26"/>
      <c r="J113" s="26"/>
      <c r="K113" s="26"/>
      <c r="L113" s="26"/>
      <c r="M113" s="26"/>
      <c r="N113" s="26"/>
      <c r="O113" s="26"/>
      <c r="P113" s="27"/>
    </row>
    <row r="114" ht="15.75" customHeight="1">
      <c r="A114" s="47"/>
      <c r="B114" s="29">
        <v>110.0</v>
      </c>
      <c r="C114" s="35"/>
      <c r="D114" s="35"/>
      <c r="E114" s="70" t="str">
        <f t="shared" si="6"/>
        <v/>
      </c>
      <c r="F114" s="71" t="str">
        <f t="shared" si="7"/>
        <v/>
      </c>
      <c r="G114" s="26"/>
      <c r="H114" s="26"/>
      <c r="I114" s="26"/>
      <c r="J114" s="26"/>
      <c r="K114" s="26"/>
      <c r="L114" s="26"/>
      <c r="M114" s="26"/>
      <c r="N114" s="26"/>
      <c r="O114" s="26"/>
      <c r="P114" s="27"/>
    </row>
    <row r="115" ht="15.75" customHeight="1">
      <c r="A115" s="68"/>
      <c r="B115" s="21">
        <v>111.0</v>
      </c>
      <c r="C115" s="33"/>
      <c r="D115" s="33"/>
      <c r="E115" s="70" t="str">
        <f t="shared" si="6"/>
        <v/>
      </c>
      <c r="F115" s="71" t="str">
        <f t="shared" si="7"/>
        <v/>
      </c>
      <c r="G115" s="26"/>
      <c r="H115" s="26"/>
      <c r="I115" s="26"/>
      <c r="J115" s="26"/>
      <c r="K115" s="26"/>
      <c r="L115" s="26"/>
      <c r="M115" s="26"/>
      <c r="N115" s="26"/>
      <c r="O115" s="26"/>
      <c r="P115" s="27"/>
    </row>
    <row r="116" ht="15.75" customHeight="1">
      <c r="A116" s="47"/>
      <c r="B116" s="29">
        <v>112.0</v>
      </c>
      <c r="C116" s="35"/>
      <c r="D116" s="35"/>
      <c r="E116" s="70" t="str">
        <f t="shared" si="6"/>
        <v/>
      </c>
      <c r="F116" s="71" t="str">
        <f t="shared" si="7"/>
        <v/>
      </c>
      <c r="G116" s="26"/>
      <c r="H116" s="26"/>
      <c r="I116" s="26"/>
      <c r="J116" s="26"/>
      <c r="K116" s="26"/>
      <c r="L116" s="26"/>
      <c r="M116" s="26"/>
      <c r="N116" s="26"/>
      <c r="O116" s="26"/>
      <c r="P116" s="27"/>
    </row>
    <row r="117" ht="15.75" customHeight="1">
      <c r="A117" s="68"/>
      <c r="B117" s="21">
        <v>113.0</v>
      </c>
      <c r="C117" s="33"/>
      <c r="D117" s="33"/>
      <c r="E117" s="70" t="str">
        <f t="shared" si="6"/>
        <v/>
      </c>
      <c r="F117" s="71" t="str">
        <f t="shared" si="7"/>
        <v/>
      </c>
      <c r="G117" s="26"/>
      <c r="H117" s="26"/>
      <c r="I117" s="26"/>
      <c r="J117" s="26"/>
      <c r="K117" s="26"/>
      <c r="L117" s="26"/>
      <c r="M117" s="26"/>
      <c r="N117" s="26"/>
      <c r="O117" s="26"/>
      <c r="P117" s="27"/>
    </row>
    <row r="118" ht="15.75" customHeight="1">
      <c r="A118" s="47"/>
      <c r="B118" s="29">
        <v>114.0</v>
      </c>
      <c r="C118" s="35"/>
      <c r="D118" s="35"/>
      <c r="E118" s="70" t="str">
        <f t="shared" si="6"/>
        <v/>
      </c>
      <c r="F118" s="71" t="str">
        <f t="shared" si="7"/>
        <v/>
      </c>
      <c r="G118" s="26"/>
      <c r="H118" s="26"/>
      <c r="I118" s="26"/>
      <c r="J118" s="26"/>
      <c r="K118" s="26"/>
      <c r="L118" s="26"/>
      <c r="M118" s="26"/>
      <c r="N118" s="26"/>
      <c r="O118" s="26"/>
      <c r="P118" s="27"/>
    </row>
    <row r="119" ht="15.75" customHeight="1">
      <c r="A119" s="68"/>
      <c r="B119" s="21">
        <v>115.0</v>
      </c>
      <c r="C119" s="33"/>
      <c r="D119" s="33"/>
      <c r="E119" s="70" t="str">
        <f t="shared" si="6"/>
        <v/>
      </c>
      <c r="F119" s="71" t="str">
        <f t="shared" si="7"/>
        <v/>
      </c>
      <c r="G119" s="26"/>
      <c r="H119" s="26"/>
      <c r="I119" s="26"/>
      <c r="J119" s="26"/>
      <c r="K119" s="26"/>
      <c r="L119" s="26"/>
      <c r="M119" s="26"/>
      <c r="N119" s="26"/>
      <c r="O119" s="26"/>
      <c r="P119" s="27"/>
    </row>
    <row r="120" ht="15.75" customHeight="1">
      <c r="A120" s="47"/>
      <c r="B120" s="29">
        <v>116.0</v>
      </c>
      <c r="C120" s="35"/>
      <c r="D120" s="35"/>
      <c r="E120" s="70" t="str">
        <f t="shared" si="6"/>
        <v/>
      </c>
      <c r="F120" s="71" t="str">
        <f t="shared" si="7"/>
        <v/>
      </c>
      <c r="G120" s="26"/>
      <c r="H120" s="26"/>
      <c r="I120" s="26"/>
      <c r="J120" s="26"/>
      <c r="K120" s="26"/>
      <c r="L120" s="26"/>
      <c r="M120" s="26"/>
      <c r="N120" s="26"/>
      <c r="O120" s="26"/>
      <c r="P120" s="27"/>
    </row>
    <row r="121" ht="15.75" customHeight="1">
      <c r="A121" s="68"/>
      <c r="B121" s="21">
        <v>117.0</v>
      </c>
      <c r="C121" s="33"/>
      <c r="D121" s="33"/>
      <c r="E121" s="70" t="str">
        <f t="shared" si="6"/>
        <v/>
      </c>
      <c r="F121" s="71" t="str">
        <f t="shared" si="7"/>
        <v/>
      </c>
      <c r="G121" s="26"/>
      <c r="H121" s="26"/>
      <c r="I121" s="26"/>
      <c r="J121" s="26"/>
      <c r="K121" s="26"/>
      <c r="L121" s="26"/>
      <c r="M121" s="26"/>
      <c r="N121" s="26"/>
      <c r="O121" s="26"/>
      <c r="P121" s="27"/>
    </row>
    <row r="122" ht="15.75" customHeight="1">
      <c r="A122" s="91"/>
      <c r="B122" s="55">
        <v>118.0</v>
      </c>
      <c r="C122" s="56"/>
      <c r="D122" s="56"/>
      <c r="E122" s="92" t="str">
        <f t="shared" si="6"/>
        <v/>
      </c>
      <c r="F122" s="93" t="str">
        <f t="shared" si="7"/>
        <v/>
      </c>
      <c r="G122" s="17"/>
      <c r="H122" s="17"/>
      <c r="I122" s="17"/>
      <c r="J122" s="17"/>
      <c r="K122" s="17"/>
      <c r="L122" s="17"/>
      <c r="M122" s="17"/>
      <c r="N122" s="17"/>
      <c r="O122" s="17"/>
      <c r="P122" s="1"/>
    </row>
    <row r="123" ht="15.75" customHeight="1">
      <c r="A123" s="91"/>
      <c r="B123" s="55">
        <v>119.0</v>
      </c>
      <c r="C123" s="56"/>
      <c r="D123" s="56"/>
      <c r="E123" s="92" t="str">
        <f t="shared" si="6"/>
        <v/>
      </c>
      <c r="F123" s="93" t="str">
        <f t="shared" si="7"/>
        <v/>
      </c>
      <c r="G123" s="17"/>
      <c r="H123" s="17"/>
      <c r="I123" s="17"/>
      <c r="J123" s="17"/>
      <c r="K123" s="17"/>
      <c r="L123" s="17"/>
      <c r="M123" s="17"/>
      <c r="N123" s="17"/>
      <c r="O123" s="17"/>
      <c r="P123" s="1"/>
    </row>
    <row r="124" ht="15.75" customHeight="1">
      <c r="A124" s="91"/>
      <c r="B124" s="55">
        <v>120.0</v>
      </c>
      <c r="C124" s="56"/>
      <c r="D124" s="56"/>
      <c r="E124" s="92" t="str">
        <f t="shared" si="6"/>
        <v/>
      </c>
      <c r="F124" s="93" t="str">
        <f t="shared" si="7"/>
        <v/>
      </c>
      <c r="G124" s="17"/>
      <c r="H124" s="17"/>
      <c r="I124" s="17"/>
      <c r="J124" s="17"/>
      <c r="K124" s="17"/>
      <c r="L124" s="17"/>
      <c r="M124" s="17"/>
      <c r="N124" s="17"/>
      <c r="O124" s="17"/>
      <c r="P124" s="1"/>
    </row>
    <row r="125" ht="15.75" customHeight="1">
      <c r="A125" s="13"/>
      <c r="B125" s="13"/>
      <c r="C125" s="13"/>
      <c r="D125" s="13"/>
      <c r="E125" s="13"/>
      <c r="F125" s="13"/>
      <c r="G125" s="13"/>
      <c r="H125" s="13"/>
      <c r="I125" s="13"/>
      <c r="J125" s="13"/>
      <c r="K125" s="13"/>
      <c r="L125" s="13"/>
      <c r="M125" s="13"/>
      <c r="N125" s="13"/>
      <c r="O125" s="13"/>
      <c r="P125" s="13"/>
    </row>
    <row r="126" ht="15.75" customHeight="1">
      <c r="A126" s="13"/>
      <c r="B126" s="13"/>
      <c r="C126" s="13"/>
      <c r="D126" s="13"/>
      <c r="E126" s="13"/>
      <c r="F126" s="13"/>
      <c r="G126" s="13"/>
      <c r="H126" s="13"/>
      <c r="I126" s="13"/>
      <c r="J126" s="13"/>
      <c r="K126" s="13"/>
      <c r="L126" s="13"/>
      <c r="M126" s="13"/>
      <c r="N126" s="13"/>
      <c r="O126" s="13"/>
      <c r="P126" s="13"/>
    </row>
    <row r="127" ht="15.75" customHeight="1">
      <c r="A127" s="13"/>
      <c r="B127" s="13"/>
      <c r="C127" s="13"/>
      <c r="D127" s="13"/>
      <c r="E127" s="13"/>
      <c r="F127" s="13"/>
      <c r="G127" s="13"/>
      <c r="H127" s="13"/>
      <c r="I127" s="13"/>
      <c r="J127" s="13"/>
      <c r="K127" s="13"/>
      <c r="L127" s="13"/>
      <c r="M127" s="13"/>
      <c r="N127" s="13"/>
      <c r="O127" s="13"/>
      <c r="P127" s="13"/>
    </row>
    <row r="128" ht="15.75" customHeight="1">
      <c r="A128" s="13"/>
      <c r="B128" s="13"/>
      <c r="C128" s="13"/>
      <c r="D128" s="13"/>
      <c r="E128" s="13"/>
      <c r="F128" s="13"/>
      <c r="G128" s="13"/>
      <c r="H128" s="13"/>
      <c r="I128" s="13"/>
      <c r="J128" s="13"/>
      <c r="K128" s="13"/>
      <c r="L128" s="13"/>
      <c r="M128" s="13"/>
      <c r="N128" s="13"/>
      <c r="O128" s="13"/>
      <c r="P128" s="13"/>
    </row>
    <row r="129" ht="15.75" customHeight="1">
      <c r="A129" s="13"/>
      <c r="B129" s="13"/>
      <c r="C129" s="13"/>
      <c r="D129" s="13"/>
      <c r="E129" s="13"/>
      <c r="F129" s="13"/>
      <c r="G129" s="13"/>
      <c r="H129" s="13"/>
      <c r="I129" s="13"/>
      <c r="J129" s="13"/>
      <c r="K129" s="13"/>
      <c r="L129" s="13"/>
      <c r="M129" s="13"/>
      <c r="N129" s="13"/>
      <c r="O129" s="13"/>
      <c r="P129" s="13"/>
    </row>
    <row r="130" ht="15.75" customHeight="1">
      <c r="A130" s="13"/>
      <c r="B130" s="13"/>
      <c r="C130" s="13"/>
      <c r="D130" s="13"/>
      <c r="E130" s="13"/>
      <c r="F130" s="13"/>
      <c r="G130" s="13"/>
      <c r="H130" s="13"/>
      <c r="I130" s="13"/>
      <c r="J130" s="13"/>
      <c r="K130" s="13"/>
      <c r="L130" s="13"/>
      <c r="M130" s="13"/>
      <c r="N130" s="13"/>
      <c r="O130" s="13"/>
      <c r="P130" s="13"/>
    </row>
    <row r="131" ht="15.75" customHeight="1">
      <c r="A131" s="13"/>
      <c r="B131" s="13"/>
      <c r="C131" s="13"/>
      <c r="D131" s="13"/>
      <c r="E131" s="13"/>
      <c r="F131" s="13"/>
      <c r="G131" s="13"/>
      <c r="H131" s="13"/>
      <c r="I131" s="13"/>
      <c r="J131" s="13"/>
      <c r="K131" s="13"/>
      <c r="L131" s="13"/>
      <c r="M131" s="13"/>
      <c r="N131" s="13"/>
      <c r="O131" s="13"/>
      <c r="P131" s="13"/>
    </row>
    <row r="132" ht="15.75" customHeight="1">
      <c r="A132" s="13"/>
      <c r="B132" s="13"/>
      <c r="C132" s="13"/>
      <c r="D132" s="13"/>
      <c r="E132" s="13"/>
      <c r="F132" s="13"/>
      <c r="G132" s="13"/>
      <c r="H132" s="13"/>
      <c r="I132" s="13"/>
      <c r="J132" s="13"/>
      <c r="K132" s="13"/>
      <c r="L132" s="13"/>
      <c r="M132" s="13"/>
      <c r="N132" s="13"/>
      <c r="O132" s="13"/>
      <c r="P132" s="13"/>
    </row>
    <row r="133" ht="15.75" customHeight="1">
      <c r="A133" s="13"/>
      <c r="B133" s="13"/>
      <c r="C133" s="13"/>
      <c r="D133" s="13"/>
      <c r="E133" s="13"/>
      <c r="F133" s="13"/>
      <c r="G133" s="13"/>
      <c r="H133" s="13"/>
      <c r="I133" s="13"/>
      <c r="J133" s="13"/>
      <c r="K133" s="13"/>
      <c r="L133" s="13"/>
      <c r="M133" s="13"/>
      <c r="N133" s="13"/>
      <c r="O133" s="13"/>
      <c r="P133" s="13"/>
    </row>
    <row r="134" ht="15.75" customHeight="1">
      <c r="A134" s="13"/>
      <c r="B134" s="13"/>
      <c r="C134" s="13"/>
      <c r="D134" s="13"/>
      <c r="E134" s="13"/>
      <c r="F134" s="13"/>
      <c r="G134" s="13"/>
      <c r="H134" s="13"/>
      <c r="I134" s="13"/>
      <c r="J134" s="13"/>
      <c r="K134" s="13"/>
      <c r="L134" s="13"/>
      <c r="M134" s="13"/>
      <c r="N134" s="13"/>
      <c r="O134" s="13"/>
      <c r="P134" s="13"/>
    </row>
    <row r="135" ht="15.75" customHeight="1">
      <c r="A135" s="13"/>
      <c r="B135" s="13"/>
      <c r="C135" s="13"/>
      <c r="D135" s="13"/>
      <c r="E135" s="13"/>
      <c r="F135" s="13"/>
      <c r="G135" s="13"/>
      <c r="H135" s="13"/>
      <c r="I135" s="13"/>
      <c r="J135" s="13"/>
      <c r="K135" s="13"/>
      <c r="L135" s="13"/>
      <c r="M135" s="13"/>
      <c r="N135" s="13"/>
      <c r="O135" s="13"/>
      <c r="P135" s="13"/>
    </row>
    <row r="136" ht="15.75" customHeight="1">
      <c r="A136" s="13"/>
      <c r="B136" s="13"/>
      <c r="C136" s="13"/>
      <c r="D136" s="13"/>
      <c r="E136" s="13"/>
      <c r="F136" s="13"/>
      <c r="G136" s="13"/>
      <c r="H136" s="13"/>
      <c r="I136" s="13"/>
      <c r="J136" s="13"/>
      <c r="K136" s="13"/>
      <c r="L136" s="13"/>
      <c r="M136" s="13"/>
      <c r="N136" s="13"/>
      <c r="O136" s="13"/>
      <c r="P136" s="13"/>
    </row>
    <row r="137" ht="15.75" customHeight="1">
      <c r="A137" s="13"/>
      <c r="B137" s="13"/>
      <c r="C137" s="13"/>
      <c r="D137" s="13"/>
      <c r="E137" s="13"/>
      <c r="F137" s="13"/>
      <c r="G137" s="13"/>
      <c r="H137" s="13"/>
      <c r="I137" s="13"/>
      <c r="J137" s="13"/>
      <c r="K137" s="13"/>
      <c r="L137" s="13"/>
      <c r="M137" s="13"/>
      <c r="N137" s="13"/>
      <c r="O137" s="13"/>
      <c r="P137" s="13"/>
    </row>
    <row r="138" ht="15.75" customHeight="1">
      <c r="A138" s="13"/>
      <c r="B138" s="13"/>
      <c r="C138" s="13"/>
      <c r="D138" s="13"/>
      <c r="E138" s="13"/>
      <c r="F138" s="13"/>
      <c r="G138" s="13"/>
      <c r="H138" s="13"/>
      <c r="I138" s="13"/>
      <c r="J138" s="13"/>
      <c r="K138" s="13"/>
      <c r="L138" s="13"/>
      <c r="M138" s="13"/>
      <c r="N138" s="13"/>
      <c r="O138" s="13"/>
      <c r="P138" s="13"/>
    </row>
    <row r="139" ht="15.75" customHeight="1">
      <c r="A139" s="13"/>
      <c r="B139" s="13"/>
      <c r="C139" s="13"/>
      <c r="D139" s="13"/>
      <c r="E139" s="13"/>
      <c r="F139" s="13"/>
      <c r="G139" s="13"/>
      <c r="H139" s="13"/>
      <c r="I139" s="13"/>
      <c r="J139" s="13"/>
      <c r="K139" s="13"/>
      <c r="L139" s="13"/>
      <c r="M139" s="13"/>
      <c r="N139" s="13"/>
      <c r="O139" s="13"/>
      <c r="P139" s="13"/>
    </row>
    <row r="140" ht="15.75" customHeight="1">
      <c r="A140" s="13"/>
      <c r="B140" s="13"/>
      <c r="C140" s="13"/>
      <c r="D140" s="13"/>
      <c r="E140" s="13"/>
      <c r="F140" s="13"/>
      <c r="G140" s="13"/>
      <c r="H140" s="13"/>
      <c r="I140" s="13"/>
      <c r="J140" s="13"/>
      <c r="K140" s="13"/>
      <c r="L140" s="13"/>
      <c r="M140" s="13"/>
      <c r="N140" s="13"/>
      <c r="O140" s="13"/>
      <c r="P140" s="13"/>
    </row>
    <row r="141" ht="15.75" customHeight="1">
      <c r="A141" s="13"/>
      <c r="B141" s="13"/>
      <c r="C141" s="13"/>
      <c r="D141" s="13"/>
      <c r="E141" s="13"/>
      <c r="F141" s="13"/>
      <c r="G141" s="13"/>
      <c r="H141" s="13"/>
      <c r="I141" s="13"/>
      <c r="J141" s="13"/>
      <c r="K141" s="13"/>
      <c r="L141" s="13"/>
      <c r="M141" s="13"/>
      <c r="N141" s="13"/>
      <c r="O141" s="13"/>
      <c r="P141" s="13"/>
    </row>
    <row r="142" ht="15.75" customHeight="1">
      <c r="A142" s="13"/>
      <c r="B142" s="13"/>
      <c r="C142" s="13"/>
      <c r="D142" s="13"/>
      <c r="E142" s="13"/>
      <c r="F142" s="13"/>
      <c r="G142" s="13"/>
      <c r="H142" s="13"/>
      <c r="I142" s="13"/>
      <c r="J142" s="13"/>
      <c r="K142" s="13"/>
      <c r="L142" s="13"/>
      <c r="M142" s="13"/>
      <c r="N142" s="13"/>
      <c r="O142" s="13"/>
      <c r="P142" s="13"/>
    </row>
    <row r="143" ht="15.75" customHeight="1">
      <c r="A143" s="13"/>
      <c r="B143" s="13"/>
      <c r="C143" s="13"/>
      <c r="D143" s="13"/>
      <c r="E143" s="13"/>
      <c r="F143" s="13"/>
      <c r="G143" s="13"/>
      <c r="H143" s="13"/>
      <c r="I143" s="13"/>
      <c r="J143" s="13"/>
      <c r="K143" s="13"/>
      <c r="L143" s="13"/>
      <c r="M143" s="13"/>
      <c r="N143" s="13"/>
      <c r="O143" s="13"/>
      <c r="P143" s="13"/>
    </row>
    <row r="144" ht="15.75" customHeight="1">
      <c r="A144" s="13"/>
      <c r="B144" s="13"/>
      <c r="C144" s="13"/>
      <c r="D144" s="13"/>
      <c r="E144" s="13"/>
      <c r="F144" s="13"/>
      <c r="G144" s="13"/>
      <c r="H144" s="13"/>
      <c r="I144" s="13"/>
      <c r="J144" s="13"/>
      <c r="K144" s="13"/>
      <c r="L144" s="13"/>
      <c r="M144" s="13"/>
      <c r="N144" s="13"/>
      <c r="O144" s="13"/>
      <c r="P144" s="13"/>
    </row>
    <row r="145" ht="15.75" customHeight="1">
      <c r="A145" s="13"/>
      <c r="B145" s="13"/>
      <c r="C145" s="13"/>
      <c r="D145" s="13"/>
      <c r="E145" s="13"/>
      <c r="F145" s="13"/>
      <c r="G145" s="13"/>
      <c r="H145" s="13"/>
      <c r="I145" s="13"/>
      <c r="J145" s="13"/>
      <c r="K145" s="13"/>
      <c r="L145" s="13"/>
      <c r="M145" s="13"/>
      <c r="N145" s="13"/>
      <c r="O145" s="13"/>
      <c r="P145" s="13"/>
    </row>
    <row r="146" ht="15.75" customHeight="1">
      <c r="A146" s="13"/>
      <c r="B146" s="13"/>
      <c r="C146" s="13"/>
      <c r="D146" s="13"/>
      <c r="E146" s="13"/>
      <c r="F146" s="13"/>
      <c r="G146" s="13"/>
      <c r="H146" s="13"/>
      <c r="I146" s="13"/>
      <c r="J146" s="13"/>
      <c r="K146" s="13"/>
      <c r="L146" s="13"/>
      <c r="M146" s="13"/>
      <c r="N146" s="13"/>
      <c r="O146" s="13"/>
      <c r="P146" s="13"/>
    </row>
    <row r="147" ht="15.75" customHeight="1">
      <c r="A147" s="13"/>
      <c r="B147" s="13"/>
      <c r="C147" s="13"/>
      <c r="D147" s="13"/>
      <c r="E147" s="13"/>
      <c r="F147" s="13"/>
      <c r="G147" s="13"/>
      <c r="H147" s="13"/>
      <c r="I147" s="13"/>
      <c r="J147" s="13"/>
      <c r="K147" s="13"/>
      <c r="L147" s="13"/>
      <c r="M147" s="13"/>
      <c r="N147" s="13"/>
      <c r="O147" s="13"/>
      <c r="P147" s="13"/>
    </row>
    <row r="148" ht="15.75" customHeight="1">
      <c r="A148" s="13"/>
      <c r="B148" s="13"/>
      <c r="C148" s="13"/>
      <c r="D148" s="13"/>
      <c r="E148" s="13"/>
      <c r="F148" s="13"/>
      <c r="G148" s="13"/>
      <c r="H148" s="13"/>
      <c r="I148" s="13"/>
      <c r="J148" s="13"/>
      <c r="K148" s="13"/>
      <c r="L148" s="13"/>
      <c r="M148" s="13"/>
      <c r="N148" s="13"/>
      <c r="O148" s="13"/>
      <c r="P148" s="13"/>
    </row>
    <row r="149" ht="15.75" customHeight="1">
      <c r="A149" s="13"/>
      <c r="B149" s="13"/>
      <c r="C149" s="13"/>
      <c r="D149" s="13"/>
      <c r="E149" s="13"/>
      <c r="F149" s="13"/>
      <c r="G149" s="13"/>
      <c r="H149" s="13"/>
      <c r="I149" s="13"/>
      <c r="J149" s="13"/>
      <c r="K149" s="13"/>
      <c r="L149" s="13"/>
      <c r="M149" s="13"/>
      <c r="N149" s="13"/>
      <c r="O149" s="13"/>
      <c r="P149" s="13"/>
    </row>
    <row r="150" ht="15.75" customHeight="1">
      <c r="A150" s="13"/>
      <c r="B150" s="13"/>
      <c r="C150" s="13"/>
      <c r="D150" s="13"/>
      <c r="E150" s="13"/>
      <c r="F150" s="13"/>
      <c r="G150" s="13"/>
      <c r="H150" s="13"/>
      <c r="I150" s="13"/>
      <c r="J150" s="13"/>
      <c r="K150" s="13"/>
      <c r="L150" s="13"/>
      <c r="M150" s="13"/>
      <c r="N150" s="13"/>
      <c r="O150" s="13"/>
      <c r="P150" s="13"/>
    </row>
    <row r="151" ht="15.75" customHeight="1">
      <c r="A151" s="13"/>
      <c r="B151" s="13"/>
      <c r="C151" s="13"/>
      <c r="D151" s="13"/>
      <c r="E151" s="13"/>
      <c r="F151" s="13"/>
      <c r="G151" s="13"/>
      <c r="H151" s="13"/>
      <c r="I151" s="13"/>
      <c r="J151" s="13"/>
      <c r="K151" s="13"/>
      <c r="L151" s="13"/>
      <c r="M151" s="13"/>
      <c r="N151" s="13"/>
      <c r="O151" s="13"/>
      <c r="P151" s="13"/>
    </row>
    <row r="152" ht="15.75" customHeight="1">
      <c r="A152" s="13"/>
      <c r="B152" s="13"/>
      <c r="C152" s="13"/>
      <c r="D152" s="13"/>
      <c r="E152" s="13"/>
      <c r="F152" s="13"/>
      <c r="G152" s="13"/>
      <c r="H152" s="13"/>
      <c r="I152" s="13"/>
      <c r="J152" s="13"/>
      <c r="K152" s="13"/>
      <c r="L152" s="13"/>
      <c r="M152" s="13"/>
      <c r="N152" s="13"/>
      <c r="O152" s="13"/>
      <c r="P152" s="13"/>
    </row>
    <row r="153" ht="15.75" customHeight="1">
      <c r="A153" s="13"/>
      <c r="B153" s="13"/>
      <c r="C153" s="13"/>
      <c r="D153" s="13"/>
      <c r="E153" s="13"/>
      <c r="F153" s="13"/>
      <c r="G153" s="13"/>
      <c r="H153" s="13"/>
      <c r="I153" s="13"/>
      <c r="J153" s="13"/>
      <c r="K153" s="13"/>
      <c r="L153" s="13"/>
      <c r="M153" s="13"/>
      <c r="N153" s="13"/>
      <c r="O153" s="13"/>
      <c r="P153" s="13"/>
    </row>
    <row r="154" ht="15.75" customHeight="1">
      <c r="A154" s="13"/>
      <c r="B154" s="13"/>
      <c r="C154" s="13"/>
      <c r="D154" s="13"/>
      <c r="E154" s="13"/>
      <c r="F154" s="13"/>
      <c r="G154" s="13"/>
      <c r="H154" s="13"/>
      <c r="I154" s="13"/>
      <c r="J154" s="13"/>
      <c r="K154" s="13"/>
      <c r="L154" s="13"/>
      <c r="M154" s="13"/>
      <c r="N154" s="13"/>
      <c r="O154" s="13"/>
      <c r="P154" s="13"/>
    </row>
    <row r="155" ht="15.75" customHeight="1">
      <c r="A155" s="13"/>
      <c r="B155" s="13"/>
      <c r="C155" s="13"/>
      <c r="D155" s="13"/>
      <c r="E155" s="13"/>
      <c r="F155" s="13"/>
      <c r="G155" s="13"/>
      <c r="H155" s="13"/>
      <c r="I155" s="13"/>
      <c r="J155" s="13"/>
      <c r="K155" s="13"/>
      <c r="L155" s="13"/>
      <c r="M155" s="13"/>
      <c r="N155" s="13"/>
      <c r="O155" s="13"/>
      <c r="P155" s="13"/>
    </row>
    <row r="156" ht="15.75" customHeight="1">
      <c r="A156" s="13"/>
      <c r="B156" s="13"/>
      <c r="C156" s="13"/>
      <c r="D156" s="13"/>
      <c r="E156" s="13"/>
      <c r="F156" s="13"/>
      <c r="G156" s="13"/>
      <c r="H156" s="13"/>
      <c r="I156" s="13"/>
      <c r="J156" s="13"/>
      <c r="K156" s="13"/>
      <c r="L156" s="13"/>
      <c r="M156" s="13"/>
      <c r="N156" s="13"/>
      <c r="O156" s="13"/>
      <c r="P156" s="13"/>
    </row>
    <row r="157" ht="15.75" customHeight="1">
      <c r="A157" s="13"/>
      <c r="B157" s="13"/>
      <c r="C157" s="13"/>
      <c r="D157" s="13"/>
      <c r="E157" s="13"/>
      <c r="F157" s="13"/>
      <c r="G157" s="13"/>
      <c r="H157" s="13"/>
      <c r="I157" s="13"/>
      <c r="J157" s="13"/>
      <c r="K157" s="13"/>
      <c r="L157" s="13"/>
      <c r="M157" s="13"/>
      <c r="N157" s="13"/>
      <c r="O157" s="13"/>
      <c r="P157" s="13"/>
    </row>
    <row r="158" ht="15.75" customHeight="1">
      <c r="A158" s="13"/>
      <c r="B158" s="13"/>
      <c r="C158" s="13"/>
      <c r="D158" s="13"/>
      <c r="E158" s="13"/>
      <c r="F158" s="13"/>
      <c r="G158" s="13"/>
      <c r="H158" s="13"/>
      <c r="I158" s="13"/>
      <c r="J158" s="13"/>
      <c r="K158" s="13"/>
      <c r="L158" s="13"/>
      <c r="M158" s="13"/>
      <c r="N158" s="13"/>
      <c r="O158" s="13"/>
      <c r="P158" s="13"/>
    </row>
    <row r="159" ht="15.75" customHeight="1">
      <c r="A159" s="13"/>
      <c r="B159" s="13"/>
      <c r="C159" s="13"/>
      <c r="D159" s="13"/>
      <c r="E159" s="13"/>
      <c r="F159" s="13"/>
      <c r="G159" s="13"/>
      <c r="H159" s="13"/>
      <c r="I159" s="13"/>
      <c r="J159" s="13"/>
      <c r="K159" s="13"/>
      <c r="L159" s="13"/>
      <c r="M159" s="13"/>
      <c r="N159" s="13"/>
      <c r="O159" s="13"/>
      <c r="P159" s="13"/>
    </row>
    <row r="160" ht="15.75" customHeight="1">
      <c r="A160" s="13"/>
      <c r="B160" s="13"/>
      <c r="C160" s="13"/>
      <c r="D160" s="13"/>
      <c r="E160" s="13"/>
      <c r="F160" s="13"/>
      <c r="G160" s="13"/>
      <c r="H160" s="13"/>
      <c r="I160" s="13"/>
      <c r="J160" s="13"/>
      <c r="K160" s="13"/>
      <c r="L160" s="13"/>
      <c r="M160" s="13"/>
      <c r="N160" s="13"/>
      <c r="O160" s="13"/>
      <c r="P160" s="13"/>
    </row>
    <row r="161" ht="15.75" customHeight="1">
      <c r="A161" s="13"/>
      <c r="B161" s="13"/>
      <c r="C161" s="13"/>
      <c r="D161" s="13"/>
      <c r="E161" s="13"/>
      <c r="F161" s="13"/>
      <c r="G161" s="13"/>
      <c r="H161" s="13"/>
      <c r="I161" s="13"/>
      <c r="J161" s="13"/>
      <c r="K161" s="13"/>
      <c r="L161" s="13"/>
      <c r="M161" s="13"/>
      <c r="N161" s="13"/>
      <c r="O161" s="13"/>
      <c r="P161" s="13"/>
    </row>
    <row r="162" ht="15.75" customHeight="1">
      <c r="A162" s="13"/>
      <c r="B162" s="13"/>
      <c r="C162" s="13"/>
      <c r="D162" s="13"/>
      <c r="E162" s="13"/>
      <c r="F162" s="13"/>
      <c r="G162" s="13"/>
      <c r="H162" s="13"/>
      <c r="I162" s="13"/>
      <c r="J162" s="13"/>
      <c r="K162" s="13"/>
      <c r="L162" s="13"/>
      <c r="M162" s="13"/>
      <c r="N162" s="13"/>
      <c r="O162" s="13"/>
      <c r="P162" s="13"/>
    </row>
    <row r="163" ht="15.75" customHeight="1">
      <c r="A163" s="13"/>
      <c r="B163" s="13"/>
      <c r="C163" s="13"/>
      <c r="D163" s="13"/>
      <c r="E163" s="13"/>
      <c r="F163" s="13"/>
      <c r="G163" s="13"/>
      <c r="H163" s="13"/>
      <c r="I163" s="13"/>
      <c r="J163" s="13"/>
      <c r="K163" s="13"/>
      <c r="L163" s="13"/>
      <c r="M163" s="13"/>
      <c r="N163" s="13"/>
      <c r="O163" s="13"/>
      <c r="P163" s="13"/>
    </row>
    <row r="164" ht="15.75" customHeight="1">
      <c r="A164" s="13"/>
      <c r="B164" s="13"/>
      <c r="C164" s="13"/>
      <c r="D164" s="13"/>
      <c r="E164" s="13"/>
      <c r="F164" s="13"/>
      <c r="G164" s="13"/>
      <c r="H164" s="13"/>
      <c r="I164" s="13"/>
      <c r="J164" s="13"/>
      <c r="K164" s="13"/>
      <c r="L164" s="13"/>
      <c r="M164" s="13"/>
      <c r="N164" s="13"/>
      <c r="O164" s="13"/>
      <c r="P164" s="13"/>
    </row>
    <row r="165" ht="15.75" customHeight="1">
      <c r="A165" s="13"/>
      <c r="B165" s="13"/>
      <c r="C165" s="13"/>
      <c r="D165" s="13"/>
      <c r="E165" s="13"/>
      <c r="F165" s="13"/>
      <c r="G165" s="13"/>
      <c r="H165" s="13"/>
      <c r="I165" s="13"/>
      <c r="J165" s="13"/>
      <c r="K165" s="13"/>
      <c r="L165" s="13"/>
      <c r="M165" s="13"/>
      <c r="N165" s="13"/>
      <c r="O165" s="13"/>
      <c r="P165" s="13"/>
    </row>
    <row r="166" ht="15.75" customHeight="1">
      <c r="A166" s="13"/>
      <c r="B166" s="13"/>
      <c r="C166" s="13"/>
      <c r="D166" s="13"/>
      <c r="E166" s="13"/>
      <c r="F166" s="13"/>
      <c r="G166" s="13"/>
      <c r="H166" s="13"/>
      <c r="I166" s="13"/>
      <c r="J166" s="13"/>
      <c r="K166" s="13"/>
      <c r="L166" s="13"/>
      <c r="M166" s="13"/>
      <c r="N166" s="13"/>
      <c r="O166" s="13"/>
      <c r="P166" s="13"/>
    </row>
    <row r="167" ht="15.75" customHeight="1">
      <c r="A167" s="13"/>
      <c r="B167" s="13"/>
      <c r="C167" s="13"/>
      <c r="D167" s="13"/>
      <c r="E167" s="13"/>
      <c r="F167" s="13"/>
      <c r="G167" s="13"/>
      <c r="H167" s="13"/>
      <c r="I167" s="13"/>
      <c r="J167" s="13"/>
      <c r="K167" s="13"/>
      <c r="L167" s="13"/>
      <c r="M167" s="13"/>
      <c r="N167" s="13"/>
      <c r="O167" s="13"/>
      <c r="P167" s="13"/>
    </row>
    <row r="168" ht="15.75" customHeight="1">
      <c r="A168" s="13"/>
      <c r="B168" s="13"/>
      <c r="C168" s="13"/>
      <c r="D168" s="13"/>
      <c r="E168" s="13"/>
      <c r="F168" s="13"/>
      <c r="G168" s="13"/>
      <c r="H168" s="13"/>
      <c r="I168" s="13"/>
      <c r="J168" s="13"/>
      <c r="K168" s="13"/>
      <c r="L168" s="13"/>
      <c r="M168" s="13"/>
      <c r="N168" s="13"/>
      <c r="O168" s="13"/>
      <c r="P168" s="13"/>
    </row>
    <row r="169" ht="15.75" customHeight="1">
      <c r="A169" s="13"/>
      <c r="B169" s="13"/>
      <c r="C169" s="13"/>
      <c r="D169" s="13"/>
      <c r="E169" s="13"/>
      <c r="F169" s="13"/>
      <c r="G169" s="13"/>
      <c r="H169" s="13"/>
      <c r="I169" s="13"/>
      <c r="J169" s="13"/>
      <c r="K169" s="13"/>
      <c r="L169" s="13"/>
      <c r="M169" s="13"/>
      <c r="N169" s="13"/>
      <c r="O169" s="13"/>
      <c r="P169" s="13"/>
    </row>
    <row r="170" ht="15.75" customHeight="1">
      <c r="A170" s="13"/>
      <c r="B170" s="13"/>
      <c r="C170" s="13"/>
      <c r="D170" s="13"/>
      <c r="E170" s="13"/>
      <c r="F170" s="13"/>
      <c r="G170" s="13"/>
      <c r="H170" s="13"/>
      <c r="I170" s="13"/>
      <c r="J170" s="13"/>
      <c r="K170" s="13"/>
      <c r="L170" s="13"/>
      <c r="M170" s="13"/>
      <c r="N170" s="13"/>
      <c r="O170" s="13"/>
      <c r="P170" s="13"/>
    </row>
    <row r="171" ht="15.75" customHeight="1">
      <c r="A171" s="13"/>
      <c r="B171" s="13"/>
      <c r="C171" s="13"/>
      <c r="D171" s="13"/>
      <c r="E171" s="13"/>
      <c r="F171" s="13"/>
      <c r="G171" s="13"/>
      <c r="H171" s="13"/>
      <c r="I171" s="13"/>
      <c r="J171" s="13"/>
      <c r="K171" s="13"/>
      <c r="L171" s="13"/>
      <c r="M171" s="13"/>
      <c r="N171" s="13"/>
      <c r="O171" s="13"/>
      <c r="P171" s="13"/>
    </row>
    <row r="172" ht="15.75" customHeight="1">
      <c r="A172" s="13"/>
      <c r="B172" s="13"/>
      <c r="C172" s="13"/>
      <c r="D172" s="13"/>
      <c r="E172" s="13"/>
      <c r="F172" s="13"/>
      <c r="G172" s="13"/>
      <c r="H172" s="13"/>
      <c r="I172" s="13"/>
      <c r="J172" s="13"/>
      <c r="K172" s="13"/>
      <c r="L172" s="13"/>
      <c r="M172" s="13"/>
      <c r="N172" s="13"/>
      <c r="O172" s="13"/>
      <c r="P172" s="13"/>
    </row>
    <row r="173" ht="15.75" customHeight="1">
      <c r="A173" s="13"/>
      <c r="B173" s="13"/>
      <c r="C173" s="13"/>
      <c r="D173" s="13"/>
      <c r="E173" s="13"/>
      <c r="F173" s="13"/>
      <c r="G173" s="13"/>
      <c r="H173" s="13"/>
      <c r="I173" s="13"/>
      <c r="J173" s="13"/>
      <c r="K173" s="13"/>
      <c r="L173" s="13"/>
      <c r="M173" s="13"/>
      <c r="N173" s="13"/>
      <c r="O173" s="13"/>
      <c r="P173" s="13"/>
    </row>
    <row r="174" ht="15.75" customHeight="1">
      <c r="A174" s="13"/>
      <c r="B174" s="13"/>
      <c r="C174" s="13"/>
      <c r="D174" s="13"/>
      <c r="E174" s="13"/>
      <c r="F174" s="13"/>
      <c r="G174" s="13"/>
      <c r="H174" s="13"/>
      <c r="I174" s="13"/>
      <c r="J174" s="13"/>
      <c r="K174" s="13"/>
      <c r="L174" s="13"/>
      <c r="M174" s="13"/>
      <c r="N174" s="13"/>
      <c r="O174" s="13"/>
      <c r="P174" s="13"/>
    </row>
    <row r="175" ht="15.75" customHeight="1">
      <c r="A175" s="13"/>
      <c r="B175" s="13"/>
      <c r="C175" s="13"/>
      <c r="D175" s="13"/>
      <c r="E175" s="13"/>
      <c r="F175" s="13"/>
      <c r="G175" s="13"/>
      <c r="H175" s="13"/>
      <c r="I175" s="13"/>
      <c r="J175" s="13"/>
      <c r="K175" s="13"/>
      <c r="L175" s="13"/>
      <c r="M175" s="13"/>
      <c r="N175" s="13"/>
      <c r="O175" s="13"/>
      <c r="P175" s="13"/>
    </row>
    <row r="176" ht="15.75" customHeight="1">
      <c r="A176" s="13"/>
      <c r="B176" s="13"/>
      <c r="C176" s="13"/>
      <c r="D176" s="13"/>
      <c r="E176" s="13"/>
      <c r="F176" s="13"/>
      <c r="G176" s="13"/>
      <c r="H176" s="13"/>
      <c r="I176" s="13"/>
      <c r="J176" s="13"/>
      <c r="K176" s="13"/>
      <c r="L176" s="13"/>
      <c r="M176" s="13"/>
      <c r="N176" s="13"/>
      <c r="O176" s="13"/>
      <c r="P176" s="13"/>
    </row>
    <row r="177" ht="15.75" customHeight="1">
      <c r="A177" s="13"/>
      <c r="B177" s="13"/>
      <c r="C177" s="13"/>
      <c r="D177" s="13"/>
      <c r="E177" s="13"/>
      <c r="F177" s="13"/>
      <c r="G177" s="13"/>
      <c r="H177" s="13"/>
      <c r="I177" s="13"/>
      <c r="J177" s="13"/>
      <c r="K177" s="13"/>
      <c r="L177" s="13"/>
      <c r="M177" s="13"/>
      <c r="N177" s="13"/>
      <c r="O177" s="13"/>
      <c r="P177" s="13"/>
    </row>
    <row r="178" ht="15.75" customHeight="1">
      <c r="A178" s="13"/>
      <c r="B178" s="13"/>
      <c r="C178" s="13"/>
      <c r="D178" s="13"/>
      <c r="E178" s="13"/>
      <c r="F178" s="13"/>
      <c r="G178" s="13"/>
      <c r="H178" s="13"/>
      <c r="I178" s="13"/>
      <c r="J178" s="13"/>
      <c r="K178" s="13"/>
      <c r="L178" s="13"/>
      <c r="M178" s="13"/>
      <c r="N178" s="13"/>
      <c r="O178" s="13"/>
      <c r="P178" s="13"/>
    </row>
    <row r="179" ht="15.75" customHeight="1">
      <c r="A179" s="13"/>
      <c r="B179" s="13"/>
      <c r="C179" s="13"/>
      <c r="D179" s="13"/>
      <c r="E179" s="13"/>
      <c r="F179" s="13"/>
      <c r="G179" s="13"/>
      <c r="H179" s="13"/>
      <c r="I179" s="13"/>
      <c r="J179" s="13"/>
      <c r="K179" s="13"/>
      <c r="L179" s="13"/>
      <c r="M179" s="13"/>
      <c r="N179" s="13"/>
      <c r="O179" s="13"/>
      <c r="P179" s="13"/>
    </row>
    <row r="180" ht="15.75" customHeight="1">
      <c r="A180" s="13"/>
      <c r="B180" s="13"/>
      <c r="C180" s="13"/>
      <c r="D180" s="13"/>
      <c r="E180" s="13"/>
      <c r="F180" s="13"/>
      <c r="G180" s="13"/>
      <c r="H180" s="13"/>
      <c r="I180" s="13"/>
      <c r="J180" s="13"/>
      <c r="K180" s="13"/>
      <c r="L180" s="13"/>
      <c r="M180" s="13"/>
      <c r="N180" s="13"/>
      <c r="O180" s="13"/>
      <c r="P180" s="13"/>
    </row>
    <row r="181" ht="15.75" customHeight="1">
      <c r="A181" s="13"/>
      <c r="B181" s="13"/>
      <c r="C181" s="13"/>
      <c r="D181" s="13"/>
      <c r="E181" s="13"/>
      <c r="F181" s="13"/>
      <c r="G181" s="13"/>
      <c r="H181" s="13"/>
      <c r="I181" s="13"/>
      <c r="J181" s="13"/>
      <c r="K181" s="13"/>
      <c r="L181" s="13"/>
      <c r="M181" s="13"/>
      <c r="N181" s="13"/>
      <c r="O181" s="13"/>
      <c r="P181" s="13"/>
    </row>
    <row r="182" ht="15.75" customHeight="1">
      <c r="A182" s="13"/>
      <c r="B182" s="13"/>
      <c r="C182" s="13"/>
      <c r="D182" s="13"/>
      <c r="E182" s="13"/>
      <c r="F182" s="13"/>
      <c r="G182" s="13"/>
      <c r="H182" s="13"/>
      <c r="I182" s="13"/>
      <c r="J182" s="13"/>
      <c r="K182" s="13"/>
      <c r="L182" s="13"/>
      <c r="M182" s="13"/>
      <c r="N182" s="13"/>
      <c r="O182" s="13"/>
      <c r="P182" s="13"/>
    </row>
    <row r="183" ht="15.75" customHeight="1">
      <c r="A183" s="13"/>
      <c r="B183" s="13"/>
      <c r="C183" s="13"/>
      <c r="D183" s="13"/>
      <c r="E183" s="13"/>
      <c r="F183" s="13"/>
      <c r="G183" s="13"/>
      <c r="H183" s="13"/>
      <c r="I183" s="13"/>
      <c r="J183" s="13"/>
      <c r="K183" s="13"/>
      <c r="L183" s="13"/>
      <c r="M183" s="13"/>
      <c r="N183" s="13"/>
      <c r="O183" s="13"/>
      <c r="P183" s="13"/>
    </row>
    <row r="184" ht="15.75" customHeight="1">
      <c r="A184" s="13"/>
      <c r="B184" s="13"/>
      <c r="C184" s="13"/>
      <c r="D184" s="13"/>
      <c r="E184" s="13"/>
      <c r="F184" s="13"/>
      <c r="G184" s="13"/>
      <c r="H184" s="13"/>
      <c r="I184" s="13"/>
      <c r="J184" s="13"/>
      <c r="K184" s="13"/>
      <c r="L184" s="13"/>
      <c r="M184" s="13"/>
      <c r="N184" s="13"/>
      <c r="O184" s="13"/>
      <c r="P184" s="13"/>
    </row>
    <row r="185" ht="15.75" customHeight="1">
      <c r="A185" s="13"/>
      <c r="B185" s="13"/>
      <c r="C185" s="13"/>
      <c r="D185" s="13"/>
      <c r="E185" s="13"/>
      <c r="F185" s="13"/>
      <c r="G185" s="13"/>
      <c r="H185" s="13"/>
      <c r="I185" s="13"/>
      <c r="J185" s="13"/>
      <c r="K185" s="13"/>
      <c r="L185" s="13"/>
      <c r="M185" s="13"/>
      <c r="N185" s="13"/>
      <c r="O185" s="13"/>
      <c r="P185" s="13"/>
    </row>
    <row r="186" ht="15.75" customHeight="1">
      <c r="A186" s="13"/>
      <c r="B186" s="13"/>
      <c r="C186" s="13"/>
      <c r="D186" s="13"/>
      <c r="E186" s="13"/>
      <c r="F186" s="13"/>
      <c r="G186" s="13"/>
      <c r="H186" s="13"/>
      <c r="I186" s="13"/>
      <c r="J186" s="13"/>
      <c r="K186" s="13"/>
      <c r="L186" s="13"/>
      <c r="M186" s="13"/>
      <c r="N186" s="13"/>
      <c r="O186" s="13"/>
      <c r="P186" s="13"/>
    </row>
    <row r="187" ht="15.75" customHeight="1">
      <c r="A187" s="13"/>
      <c r="B187" s="13"/>
      <c r="C187" s="13"/>
      <c r="D187" s="13"/>
      <c r="E187" s="13"/>
      <c r="F187" s="13"/>
      <c r="G187" s="13"/>
      <c r="H187" s="13"/>
      <c r="I187" s="13"/>
      <c r="J187" s="13"/>
      <c r="K187" s="13"/>
      <c r="L187" s="13"/>
      <c r="M187" s="13"/>
      <c r="N187" s="13"/>
      <c r="O187" s="13"/>
      <c r="P187" s="13"/>
    </row>
    <row r="188" ht="15.75" customHeight="1">
      <c r="A188" s="13"/>
      <c r="B188" s="13"/>
      <c r="C188" s="13"/>
      <c r="D188" s="13"/>
      <c r="E188" s="13"/>
      <c r="F188" s="13"/>
      <c r="G188" s="13"/>
      <c r="H188" s="13"/>
      <c r="I188" s="13"/>
      <c r="J188" s="13"/>
      <c r="K188" s="13"/>
      <c r="L188" s="13"/>
      <c r="M188" s="13"/>
      <c r="N188" s="13"/>
      <c r="O188" s="13"/>
      <c r="P188" s="13"/>
    </row>
    <row r="189" ht="15.75" customHeight="1">
      <c r="A189" s="13"/>
      <c r="B189" s="13"/>
      <c r="C189" s="13"/>
      <c r="D189" s="13"/>
      <c r="E189" s="13"/>
      <c r="F189" s="13"/>
      <c r="G189" s="13"/>
      <c r="H189" s="13"/>
      <c r="I189" s="13"/>
      <c r="J189" s="13"/>
      <c r="K189" s="13"/>
      <c r="L189" s="13"/>
      <c r="M189" s="13"/>
      <c r="N189" s="13"/>
      <c r="O189" s="13"/>
      <c r="P189" s="13"/>
    </row>
    <row r="190" ht="15.75" customHeight="1">
      <c r="A190" s="13"/>
      <c r="B190" s="13"/>
      <c r="C190" s="13"/>
      <c r="D190" s="13"/>
      <c r="E190" s="13"/>
      <c r="F190" s="13"/>
      <c r="G190" s="13"/>
      <c r="H190" s="13"/>
      <c r="I190" s="13"/>
      <c r="J190" s="13"/>
      <c r="K190" s="13"/>
      <c r="L190" s="13"/>
      <c r="M190" s="13"/>
      <c r="N190" s="13"/>
      <c r="O190" s="13"/>
      <c r="P190" s="13"/>
    </row>
    <row r="191" ht="15.75" customHeight="1">
      <c r="A191" s="13"/>
      <c r="B191" s="13"/>
      <c r="C191" s="13"/>
      <c r="D191" s="13"/>
      <c r="E191" s="13"/>
      <c r="F191" s="13"/>
      <c r="G191" s="13"/>
      <c r="H191" s="13"/>
      <c r="I191" s="13"/>
      <c r="J191" s="13"/>
      <c r="K191" s="13"/>
      <c r="L191" s="13"/>
      <c r="M191" s="13"/>
      <c r="N191" s="13"/>
      <c r="O191" s="13"/>
      <c r="P191" s="13"/>
    </row>
    <row r="192" ht="15.75" customHeight="1">
      <c r="A192" s="13"/>
      <c r="B192" s="13"/>
      <c r="C192" s="13"/>
      <c r="D192" s="13"/>
      <c r="E192" s="13"/>
      <c r="F192" s="13"/>
      <c r="G192" s="13"/>
      <c r="H192" s="13"/>
      <c r="I192" s="13"/>
      <c r="J192" s="13"/>
      <c r="K192" s="13"/>
      <c r="L192" s="13"/>
      <c r="M192" s="13"/>
      <c r="N192" s="13"/>
      <c r="O192" s="13"/>
      <c r="P192" s="13"/>
    </row>
    <row r="193" ht="15.75" customHeight="1">
      <c r="A193" s="13"/>
      <c r="B193" s="13"/>
      <c r="C193" s="13"/>
      <c r="D193" s="13"/>
      <c r="E193" s="13"/>
      <c r="F193" s="13"/>
      <c r="G193" s="13"/>
      <c r="H193" s="13"/>
      <c r="I193" s="13"/>
      <c r="J193" s="13"/>
      <c r="K193" s="13"/>
      <c r="L193" s="13"/>
      <c r="M193" s="13"/>
      <c r="N193" s="13"/>
      <c r="O193" s="13"/>
      <c r="P193" s="13"/>
    </row>
    <row r="194" ht="15.75" customHeight="1">
      <c r="A194" s="13"/>
      <c r="B194" s="13"/>
      <c r="C194" s="13"/>
      <c r="D194" s="13"/>
      <c r="E194" s="13"/>
      <c r="F194" s="13"/>
      <c r="G194" s="13"/>
      <c r="H194" s="13"/>
      <c r="I194" s="13"/>
      <c r="J194" s="13"/>
      <c r="K194" s="13"/>
      <c r="L194" s="13"/>
      <c r="M194" s="13"/>
      <c r="N194" s="13"/>
      <c r="O194" s="13"/>
      <c r="P194" s="13"/>
    </row>
    <row r="195" ht="15.75" customHeight="1">
      <c r="A195" s="13"/>
      <c r="B195" s="13"/>
      <c r="C195" s="13"/>
      <c r="D195" s="13"/>
      <c r="E195" s="13"/>
      <c r="F195" s="13"/>
      <c r="G195" s="13"/>
      <c r="H195" s="13"/>
      <c r="I195" s="13"/>
      <c r="J195" s="13"/>
      <c r="K195" s="13"/>
      <c r="L195" s="13"/>
      <c r="M195" s="13"/>
      <c r="N195" s="13"/>
      <c r="O195" s="13"/>
      <c r="P195" s="13"/>
    </row>
    <row r="196" ht="15.75" customHeight="1">
      <c r="A196" s="13"/>
      <c r="B196" s="13"/>
      <c r="C196" s="13"/>
      <c r="D196" s="13"/>
      <c r="E196" s="13"/>
      <c r="F196" s="13"/>
      <c r="G196" s="13"/>
      <c r="H196" s="13"/>
      <c r="I196" s="13"/>
      <c r="J196" s="13"/>
      <c r="K196" s="13"/>
      <c r="L196" s="13"/>
      <c r="M196" s="13"/>
      <c r="N196" s="13"/>
      <c r="O196" s="13"/>
      <c r="P196" s="13"/>
    </row>
    <row r="197" ht="15.75" customHeight="1">
      <c r="A197" s="13"/>
      <c r="B197" s="13"/>
      <c r="C197" s="13"/>
      <c r="D197" s="13"/>
      <c r="E197" s="13"/>
      <c r="F197" s="13"/>
      <c r="G197" s="13"/>
      <c r="H197" s="13"/>
      <c r="I197" s="13"/>
      <c r="J197" s="13"/>
      <c r="K197" s="13"/>
      <c r="L197" s="13"/>
      <c r="M197" s="13"/>
      <c r="N197" s="13"/>
      <c r="O197" s="13"/>
      <c r="P197" s="13"/>
    </row>
    <row r="198" ht="15.75" customHeight="1">
      <c r="A198" s="13"/>
      <c r="B198" s="13"/>
      <c r="C198" s="13"/>
      <c r="D198" s="13"/>
      <c r="E198" s="13"/>
      <c r="F198" s="13"/>
      <c r="G198" s="13"/>
      <c r="H198" s="13"/>
      <c r="I198" s="13"/>
      <c r="J198" s="13"/>
      <c r="K198" s="13"/>
      <c r="L198" s="13"/>
      <c r="M198" s="13"/>
      <c r="N198" s="13"/>
      <c r="O198" s="13"/>
      <c r="P198" s="13"/>
    </row>
    <row r="199" ht="15.75" customHeight="1">
      <c r="A199" s="13"/>
      <c r="B199" s="13"/>
      <c r="C199" s="13"/>
      <c r="D199" s="13"/>
      <c r="E199" s="13"/>
      <c r="F199" s="13"/>
      <c r="G199" s="13"/>
      <c r="H199" s="13"/>
      <c r="I199" s="13"/>
      <c r="J199" s="13"/>
      <c r="K199" s="13"/>
      <c r="L199" s="13"/>
      <c r="M199" s="13"/>
      <c r="N199" s="13"/>
      <c r="O199" s="13"/>
      <c r="P199" s="13"/>
    </row>
    <row r="200" ht="15.75" customHeight="1">
      <c r="A200" s="13"/>
      <c r="B200" s="13"/>
      <c r="C200" s="13"/>
      <c r="D200" s="13"/>
      <c r="E200" s="13"/>
      <c r="F200" s="13"/>
      <c r="G200" s="13"/>
      <c r="H200" s="13"/>
      <c r="I200" s="13"/>
      <c r="J200" s="13"/>
      <c r="K200" s="13"/>
      <c r="L200" s="13"/>
      <c r="M200" s="13"/>
      <c r="N200" s="13"/>
      <c r="O200" s="13"/>
      <c r="P200" s="13"/>
    </row>
    <row r="201" ht="15.75" customHeight="1">
      <c r="A201" s="13"/>
      <c r="B201" s="13"/>
      <c r="C201" s="13"/>
      <c r="D201" s="13"/>
      <c r="E201" s="13"/>
      <c r="F201" s="13"/>
      <c r="G201" s="13"/>
      <c r="H201" s="13"/>
      <c r="I201" s="13"/>
      <c r="J201" s="13"/>
      <c r="K201" s="13"/>
      <c r="L201" s="13"/>
      <c r="M201" s="13"/>
      <c r="N201" s="13"/>
      <c r="O201" s="13"/>
      <c r="P201" s="13"/>
    </row>
    <row r="202" ht="15.75" customHeight="1">
      <c r="A202" s="13"/>
      <c r="B202" s="13"/>
      <c r="C202" s="13"/>
      <c r="D202" s="13"/>
      <c r="E202" s="13"/>
      <c r="F202" s="13"/>
      <c r="G202" s="13"/>
      <c r="H202" s="13"/>
      <c r="I202" s="13"/>
      <c r="J202" s="13"/>
      <c r="K202" s="13"/>
      <c r="L202" s="13"/>
      <c r="M202" s="13"/>
      <c r="N202" s="13"/>
      <c r="O202" s="13"/>
      <c r="P202" s="13"/>
    </row>
    <row r="203" ht="15.75" customHeight="1">
      <c r="A203" s="13"/>
      <c r="B203" s="13"/>
      <c r="C203" s="13"/>
      <c r="D203" s="13"/>
      <c r="E203" s="13"/>
      <c r="F203" s="13"/>
      <c r="G203" s="13"/>
      <c r="H203" s="13"/>
      <c r="I203" s="13"/>
      <c r="J203" s="13"/>
      <c r="K203" s="13"/>
      <c r="L203" s="13"/>
      <c r="M203" s="13"/>
      <c r="N203" s="13"/>
      <c r="O203" s="13"/>
      <c r="P203" s="13"/>
    </row>
    <row r="204" ht="15.75" customHeight="1">
      <c r="A204" s="13"/>
      <c r="B204" s="13"/>
      <c r="C204" s="13"/>
      <c r="D204" s="13"/>
      <c r="E204" s="13"/>
      <c r="F204" s="13"/>
      <c r="G204" s="13"/>
      <c r="H204" s="13"/>
      <c r="I204" s="13"/>
      <c r="J204" s="13"/>
      <c r="K204" s="13"/>
      <c r="L204" s="13"/>
      <c r="M204" s="13"/>
      <c r="N204" s="13"/>
      <c r="O204" s="13"/>
      <c r="P204" s="13"/>
    </row>
    <row r="205" ht="15.75" customHeight="1">
      <c r="A205" s="13"/>
      <c r="B205" s="13"/>
      <c r="C205" s="13"/>
      <c r="D205" s="13"/>
      <c r="E205" s="13"/>
      <c r="F205" s="13"/>
      <c r="G205" s="13"/>
      <c r="H205" s="13"/>
      <c r="I205" s="13"/>
      <c r="J205" s="13"/>
      <c r="K205" s="13"/>
      <c r="L205" s="13"/>
      <c r="M205" s="13"/>
      <c r="N205" s="13"/>
      <c r="O205" s="13"/>
      <c r="P205" s="13"/>
    </row>
    <row r="206" ht="15.75" customHeight="1">
      <c r="A206" s="13"/>
      <c r="B206" s="13"/>
      <c r="C206" s="13"/>
      <c r="D206" s="13"/>
      <c r="E206" s="13"/>
      <c r="F206" s="13"/>
      <c r="G206" s="13"/>
      <c r="H206" s="13"/>
      <c r="I206" s="13"/>
      <c r="J206" s="13"/>
      <c r="K206" s="13"/>
      <c r="L206" s="13"/>
      <c r="M206" s="13"/>
      <c r="N206" s="13"/>
      <c r="O206" s="13"/>
      <c r="P206" s="13"/>
    </row>
    <row r="207" ht="15.75" customHeight="1">
      <c r="A207" s="13"/>
      <c r="B207" s="13"/>
      <c r="C207" s="13"/>
      <c r="D207" s="13"/>
      <c r="E207" s="13"/>
      <c r="F207" s="13"/>
      <c r="G207" s="13"/>
      <c r="H207" s="13"/>
      <c r="I207" s="13"/>
      <c r="J207" s="13"/>
      <c r="K207" s="13"/>
      <c r="L207" s="13"/>
      <c r="M207" s="13"/>
      <c r="N207" s="13"/>
      <c r="O207" s="13"/>
      <c r="P207" s="13"/>
    </row>
    <row r="208" ht="15.75" customHeight="1">
      <c r="A208" s="13"/>
      <c r="B208" s="13"/>
      <c r="C208" s="13"/>
      <c r="D208" s="13"/>
      <c r="E208" s="13"/>
      <c r="F208" s="13"/>
      <c r="G208" s="13"/>
      <c r="H208" s="13"/>
      <c r="I208" s="13"/>
      <c r="J208" s="13"/>
      <c r="K208" s="13"/>
      <c r="L208" s="13"/>
      <c r="M208" s="13"/>
      <c r="N208" s="13"/>
      <c r="O208" s="13"/>
      <c r="P208" s="13"/>
    </row>
    <row r="209" ht="15.75" customHeight="1">
      <c r="A209" s="13"/>
      <c r="B209" s="13"/>
      <c r="C209" s="13"/>
      <c r="D209" s="13"/>
      <c r="E209" s="13"/>
      <c r="F209" s="13"/>
      <c r="G209" s="13"/>
      <c r="H209" s="13"/>
      <c r="I209" s="13"/>
      <c r="J209" s="13"/>
      <c r="K209" s="13"/>
      <c r="L209" s="13"/>
      <c r="M209" s="13"/>
      <c r="N209" s="13"/>
      <c r="O209" s="13"/>
      <c r="P209" s="13"/>
    </row>
    <row r="210" ht="15.75" customHeight="1">
      <c r="A210" s="13"/>
      <c r="B210" s="13"/>
      <c r="C210" s="13"/>
      <c r="D210" s="13"/>
      <c r="E210" s="13"/>
      <c r="F210" s="13"/>
      <c r="G210" s="13"/>
      <c r="H210" s="13"/>
      <c r="I210" s="13"/>
      <c r="J210" s="13"/>
      <c r="K210" s="13"/>
      <c r="L210" s="13"/>
      <c r="M210" s="13"/>
      <c r="N210" s="13"/>
      <c r="O210" s="13"/>
      <c r="P210" s="13"/>
    </row>
    <row r="211" ht="15.75" customHeight="1">
      <c r="A211" s="13"/>
      <c r="B211" s="13"/>
      <c r="C211" s="13"/>
      <c r="D211" s="13"/>
      <c r="E211" s="13"/>
      <c r="F211" s="13"/>
      <c r="G211" s="13"/>
      <c r="H211" s="13"/>
      <c r="I211" s="13"/>
      <c r="J211" s="13"/>
      <c r="K211" s="13"/>
      <c r="L211" s="13"/>
      <c r="M211" s="13"/>
      <c r="N211" s="13"/>
      <c r="O211" s="13"/>
      <c r="P211" s="13"/>
    </row>
    <row r="212" ht="15.75" customHeight="1">
      <c r="A212" s="13"/>
      <c r="B212" s="13"/>
      <c r="C212" s="13"/>
      <c r="D212" s="13"/>
      <c r="E212" s="13"/>
      <c r="F212" s="13"/>
      <c r="G212" s="13"/>
      <c r="H212" s="13"/>
      <c r="I212" s="13"/>
      <c r="J212" s="13"/>
      <c r="K212" s="13"/>
      <c r="L212" s="13"/>
      <c r="M212" s="13"/>
      <c r="N212" s="13"/>
      <c r="O212" s="13"/>
      <c r="P212" s="13"/>
    </row>
    <row r="213" ht="15.75" customHeight="1">
      <c r="A213" s="13"/>
      <c r="B213" s="13"/>
      <c r="C213" s="13"/>
      <c r="D213" s="13"/>
      <c r="E213" s="13"/>
      <c r="F213" s="13"/>
      <c r="G213" s="13"/>
      <c r="H213" s="13"/>
      <c r="I213" s="13"/>
      <c r="J213" s="13"/>
      <c r="K213" s="13"/>
      <c r="L213" s="13"/>
      <c r="M213" s="13"/>
      <c r="N213" s="13"/>
      <c r="O213" s="13"/>
      <c r="P213" s="13"/>
    </row>
    <row r="214" ht="15.75" customHeight="1">
      <c r="A214" s="13"/>
      <c r="B214" s="13"/>
      <c r="C214" s="13"/>
      <c r="D214" s="13"/>
      <c r="E214" s="13"/>
      <c r="F214" s="13"/>
      <c r="G214" s="13"/>
      <c r="H214" s="13"/>
      <c r="I214" s="13"/>
      <c r="J214" s="13"/>
      <c r="K214" s="13"/>
      <c r="L214" s="13"/>
      <c r="M214" s="13"/>
      <c r="N214" s="13"/>
      <c r="O214" s="13"/>
      <c r="P214" s="13"/>
    </row>
    <row r="215" ht="15.75" customHeight="1">
      <c r="A215" s="13"/>
      <c r="B215" s="13"/>
      <c r="C215" s="13"/>
      <c r="D215" s="13"/>
      <c r="E215" s="13"/>
      <c r="F215" s="13"/>
      <c r="G215" s="13"/>
      <c r="H215" s="13"/>
      <c r="I215" s="13"/>
      <c r="J215" s="13"/>
      <c r="K215" s="13"/>
      <c r="L215" s="13"/>
      <c r="M215" s="13"/>
      <c r="N215" s="13"/>
      <c r="O215" s="13"/>
      <c r="P215" s="13"/>
    </row>
    <row r="216" ht="15.75" customHeight="1">
      <c r="A216" s="13"/>
      <c r="B216" s="13"/>
      <c r="C216" s="13"/>
      <c r="D216" s="13"/>
      <c r="E216" s="13"/>
      <c r="F216" s="13"/>
      <c r="G216" s="13"/>
      <c r="H216" s="13"/>
      <c r="I216" s="13"/>
      <c r="J216" s="13"/>
      <c r="K216" s="13"/>
      <c r="L216" s="13"/>
      <c r="M216" s="13"/>
      <c r="N216" s="13"/>
      <c r="O216" s="13"/>
      <c r="P216" s="13"/>
    </row>
    <row r="217" ht="15.75" customHeight="1">
      <c r="A217" s="13"/>
      <c r="B217" s="13"/>
      <c r="C217" s="13"/>
      <c r="D217" s="13"/>
      <c r="E217" s="13"/>
      <c r="F217" s="13"/>
      <c r="G217" s="13"/>
      <c r="H217" s="13"/>
      <c r="I217" s="13"/>
      <c r="J217" s="13"/>
      <c r="K217" s="13"/>
      <c r="L217" s="13"/>
      <c r="M217" s="13"/>
      <c r="N217" s="13"/>
      <c r="O217" s="13"/>
      <c r="P217" s="13"/>
    </row>
    <row r="218" ht="15.75" customHeight="1">
      <c r="A218" s="13"/>
      <c r="B218" s="13"/>
      <c r="C218" s="13"/>
      <c r="D218" s="13"/>
      <c r="E218" s="13"/>
      <c r="F218" s="13"/>
      <c r="G218" s="13"/>
      <c r="H218" s="13"/>
      <c r="I218" s="13"/>
      <c r="J218" s="13"/>
      <c r="K218" s="13"/>
      <c r="L218" s="13"/>
      <c r="M218" s="13"/>
      <c r="N218" s="13"/>
      <c r="O218" s="13"/>
      <c r="P218" s="13"/>
    </row>
    <row r="219" ht="15.75" customHeight="1">
      <c r="A219" s="13"/>
      <c r="B219" s="13"/>
      <c r="C219" s="13"/>
      <c r="D219" s="13"/>
      <c r="E219" s="13"/>
      <c r="F219" s="13"/>
      <c r="G219" s="13"/>
      <c r="H219" s="13"/>
      <c r="I219" s="13"/>
      <c r="J219" s="13"/>
      <c r="K219" s="13"/>
      <c r="L219" s="13"/>
      <c r="M219" s="13"/>
      <c r="N219" s="13"/>
      <c r="O219" s="13"/>
      <c r="P219" s="13"/>
    </row>
    <row r="220" ht="15.75" customHeight="1">
      <c r="A220" s="13"/>
      <c r="B220" s="13"/>
      <c r="C220" s="13"/>
      <c r="D220" s="13"/>
      <c r="E220" s="13"/>
      <c r="F220" s="13"/>
      <c r="G220" s="13"/>
      <c r="H220" s="13"/>
      <c r="I220" s="13"/>
      <c r="J220" s="13"/>
      <c r="K220" s="13"/>
      <c r="L220" s="13"/>
      <c r="M220" s="13"/>
      <c r="N220" s="13"/>
      <c r="O220" s="13"/>
      <c r="P220" s="13"/>
    </row>
    <row r="221" ht="15.75" customHeight="1">
      <c r="A221" s="13"/>
      <c r="B221" s="13"/>
      <c r="C221" s="13"/>
      <c r="D221" s="13"/>
      <c r="E221" s="13"/>
      <c r="F221" s="13"/>
      <c r="G221" s="13"/>
      <c r="H221" s="13"/>
      <c r="I221" s="13"/>
      <c r="J221" s="13"/>
      <c r="K221" s="13"/>
      <c r="L221" s="13"/>
      <c r="M221" s="13"/>
      <c r="N221" s="13"/>
      <c r="O221" s="13"/>
      <c r="P221" s="13"/>
    </row>
    <row r="222" ht="15.75" customHeight="1">
      <c r="A222" s="13"/>
      <c r="B222" s="13"/>
      <c r="C222" s="13"/>
      <c r="D222" s="13"/>
      <c r="E222" s="13"/>
      <c r="F222" s="13"/>
      <c r="G222" s="13"/>
      <c r="H222" s="13"/>
      <c r="I222" s="13"/>
      <c r="J222" s="13"/>
      <c r="K222" s="13"/>
      <c r="L222" s="13"/>
      <c r="M222" s="13"/>
      <c r="N222" s="13"/>
      <c r="O222" s="13"/>
      <c r="P222" s="13"/>
    </row>
    <row r="223" ht="15.75" customHeight="1">
      <c r="A223" s="13"/>
      <c r="B223" s="13"/>
      <c r="C223" s="13"/>
      <c r="D223" s="13"/>
      <c r="E223" s="13"/>
      <c r="F223" s="13"/>
      <c r="G223" s="13"/>
      <c r="H223" s="13"/>
      <c r="I223" s="13"/>
      <c r="J223" s="13"/>
      <c r="K223" s="13"/>
      <c r="L223" s="13"/>
      <c r="M223" s="13"/>
      <c r="N223" s="13"/>
      <c r="O223" s="13"/>
      <c r="P223" s="13"/>
    </row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B1:D2"/>
    <mergeCell ref="E1:F2"/>
  </mergeCells>
  <dataValidations>
    <dataValidation type="list" allowBlank="1" showErrorMessage="1" sqref="G4:P65 K66:P66 G66:G67 N67:P67 G68:P124">
      <formula1>"선택,완료"</formula1>
    </dataValidation>
  </dataValidations>
  <hyperlinks>
    <hyperlink r:id="rId1" ref="D5"/>
    <hyperlink r:id="rId2" ref="D22"/>
    <hyperlink r:id="rId3" ref="D23"/>
    <hyperlink r:id="rId4" ref="D27"/>
    <hyperlink r:id="rId5" ref="D44"/>
    <hyperlink r:id="rId6" ref="D45"/>
    <hyperlink r:id="rId7" ref="D50"/>
    <hyperlink r:id="rId8" ref="D51"/>
    <hyperlink r:id="rId9" ref="D55"/>
    <hyperlink r:id="rId10" ref="D64"/>
    <hyperlink r:id="rId11" ref="D69"/>
    <hyperlink r:id="rId12" ref="D86"/>
    <hyperlink r:id="rId13" ref="D98"/>
    <hyperlink r:id="rId14" ref="D107"/>
  </hyperlinks>
  <drawing r:id="rId15"/>
  <tableParts count="1">
    <tablePart r:id="rId17"/>
  </tableParts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0"/>
  <cols>
    <col customWidth="1" min="1" max="2" width="4.88"/>
    <col customWidth="1" min="3" max="3" width="18.63"/>
    <col customWidth="1" min="4" max="4" width="21.13"/>
    <col customWidth="1" min="5" max="6" width="12.63"/>
  </cols>
  <sheetData>
    <row r="1" ht="15.75" customHeight="1">
      <c r="A1" s="59"/>
      <c r="B1" s="60" t="s">
        <v>0</v>
      </c>
      <c r="E1" s="3" t="s">
        <v>1</v>
      </c>
      <c r="G1" s="5" t="s">
        <v>265</v>
      </c>
      <c r="H1" s="5" t="s">
        <v>266</v>
      </c>
      <c r="I1" s="5" t="s">
        <v>267</v>
      </c>
      <c r="J1" s="5" t="s">
        <v>268</v>
      </c>
      <c r="K1" s="5" t="s">
        <v>269</v>
      </c>
      <c r="L1" s="5" t="s">
        <v>270</v>
      </c>
      <c r="M1" s="5" t="s">
        <v>271</v>
      </c>
      <c r="N1" s="5" t="s">
        <v>272</v>
      </c>
      <c r="O1" s="5" t="s">
        <v>273</v>
      </c>
    </row>
    <row r="2" ht="15.75" customHeight="1">
      <c r="A2" s="61"/>
      <c r="G2" s="7" t="s">
        <v>274</v>
      </c>
      <c r="H2" s="7" t="s">
        <v>275</v>
      </c>
      <c r="I2" s="7" t="s">
        <v>276</v>
      </c>
      <c r="J2" s="7" t="s">
        <v>277</v>
      </c>
      <c r="K2" s="7" t="s">
        <v>278</v>
      </c>
      <c r="L2" s="7" t="s">
        <v>279</v>
      </c>
      <c r="M2" s="7" t="s">
        <v>280</v>
      </c>
      <c r="N2" s="7" t="s">
        <v>281</v>
      </c>
      <c r="O2" s="7" t="s">
        <v>282</v>
      </c>
    </row>
    <row r="3" ht="15.75" customHeight="1">
      <c r="A3" s="1"/>
      <c r="B3" s="1"/>
      <c r="C3" s="1"/>
      <c r="D3" s="1"/>
      <c r="E3" s="8"/>
      <c r="F3" s="8"/>
      <c r="G3" s="10" t="str">
        <f t="shared" ref="G3:O3" si="1">COUNTIF(G5:G200, "완료") &amp; "명 완료"
</f>
        <v>62명 완료</v>
      </c>
      <c r="H3" s="10" t="str">
        <f t="shared" si="1"/>
        <v>62명 완료</v>
      </c>
      <c r="I3" s="10" t="str">
        <f t="shared" si="1"/>
        <v>62명 완료</v>
      </c>
      <c r="J3" s="10" t="str">
        <f t="shared" si="1"/>
        <v>62명 완료</v>
      </c>
      <c r="K3" s="10" t="str">
        <f t="shared" si="1"/>
        <v>62명 완료</v>
      </c>
      <c r="L3" s="10" t="str">
        <f t="shared" si="1"/>
        <v>59명 완료</v>
      </c>
      <c r="M3" s="10" t="str">
        <f t="shared" si="1"/>
        <v>57명 완료</v>
      </c>
      <c r="N3" s="10" t="str">
        <f t="shared" si="1"/>
        <v>59명 완료</v>
      </c>
      <c r="O3" s="10" t="str">
        <f t="shared" si="1"/>
        <v>47명 완료</v>
      </c>
    </row>
    <row r="4" ht="15.75" customHeight="1">
      <c r="A4" s="62"/>
      <c r="B4" s="63" t="s">
        <v>20</v>
      </c>
      <c r="C4" s="64" t="s">
        <v>21</v>
      </c>
      <c r="D4" s="64" t="s">
        <v>22</v>
      </c>
      <c r="E4" s="65" t="s">
        <v>23</v>
      </c>
      <c r="F4" s="65" t="s">
        <v>24</v>
      </c>
      <c r="G4" s="66" t="s">
        <v>25</v>
      </c>
      <c r="H4" s="66" t="s">
        <v>25</v>
      </c>
      <c r="I4" s="66" t="s">
        <v>25</v>
      </c>
      <c r="J4" s="66" t="s">
        <v>25</v>
      </c>
      <c r="K4" s="66" t="s">
        <v>25</v>
      </c>
      <c r="L4" s="66" t="s">
        <v>25</v>
      </c>
      <c r="M4" s="66" t="s">
        <v>25</v>
      </c>
      <c r="N4" s="66" t="s">
        <v>25</v>
      </c>
      <c r="O4" s="66" t="s">
        <v>25</v>
      </c>
    </row>
    <row r="5" ht="15.75" customHeight="1">
      <c r="A5" s="68"/>
      <c r="B5" s="21">
        <v>1.0</v>
      </c>
      <c r="C5" s="22" t="s">
        <v>26</v>
      </c>
      <c r="D5" s="69" t="s">
        <v>27</v>
      </c>
      <c r="E5" s="70" t="str">
        <f t="shared" ref="E5:E124" si="2">IF(COUNTIF(G5:O5, "완료")=0, "", COUNTIF($G$4:$O$4, "완료") &amp; "번 중 " &amp; COUNTIF(G5:O5, "완료") &amp; "번 참여")
</f>
        <v>9번 중 9번 참여</v>
      </c>
      <c r="F5" s="71">
        <f t="shared" ref="F5:F124" si="3">IF(COUNTIF($G$4:$O$4, "완료")=0, "", IF(COUNTIF(G5:O5, "완료")=0, "", COUNTIF(G5:O5, "완료") / COUNTIF($G$4:$O$4, "완료")))
</f>
        <v>1</v>
      </c>
      <c r="G5" s="26" t="s">
        <v>25</v>
      </c>
      <c r="H5" s="26" t="s">
        <v>25</v>
      </c>
      <c r="I5" s="26" t="s">
        <v>25</v>
      </c>
      <c r="J5" s="26" t="s">
        <v>25</v>
      </c>
      <c r="K5" s="26" t="s">
        <v>25</v>
      </c>
      <c r="L5" s="26" t="s">
        <v>25</v>
      </c>
      <c r="M5" s="26" t="s">
        <v>25</v>
      </c>
      <c r="N5" s="26" t="s">
        <v>25</v>
      </c>
      <c r="O5" s="26" t="s">
        <v>25</v>
      </c>
    </row>
    <row r="6" ht="15.75" customHeight="1">
      <c r="A6" s="47"/>
      <c r="B6" s="29">
        <v>2.0</v>
      </c>
      <c r="C6" s="30" t="s">
        <v>28</v>
      </c>
      <c r="D6" s="30" t="s">
        <v>29</v>
      </c>
      <c r="E6" s="70" t="str">
        <f t="shared" si="2"/>
        <v>9번 중 9번 참여</v>
      </c>
      <c r="F6" s="71">
        <f t="shared" si="3"/>
        <v>1</v>
      </c>
      <c r="G6" s="26" t="s">
        <v>25</v>
      </c>
      <c r="H6" s="26" t="s">
        <v>25</v>
      </c>
      <c r="I6" s="26" t="s">
        <v>25</v>
      </c>
      <c r="J6" s="26" t="s">
        <v>25</v>
      </c>
      <c r="K6" s="26" t="s">
        <v>25</v>
      </c>
      <c r="L6" s="26" t="s">
        <v>25</v>
      </c>
      <c r="M6" s="26" t="s">
        <v>25</v>
      </c>
      <c r="N6" s="26" t="s">
        <v>25</v>
      </c>
      <c r="O6" s="26" t="s">
        <v>25</v>
      </c>
    </row>
    <row r="7" ht="15.75" customHeight="1">
      <c r="A7" s="68"/>
      <c r="B7" s="21">
        <v>3.0</v>
      </c>
      <c r="C7" s="30" t="s">
        <v>30</v>
      </c>
      <c r="D7" s="30" t="s">
        <v>31</v>
      </c>
      <c r="E7" s="70" t="str">
        <f t="shared" si="2"/>
        <v>9번 중 6번 참여</v>
      </c>
      <c r="F7" s="71">
        <f t="shared" si="3"/>
        <v>0.6666666667</v>
      </c>
      <c r="G7" s="26" t="s">
        <v>25</v>
      </c>
      <c r="H7" s="26" t="s">
        <v>25</v>
      </c>
      <c r="I7" s="26" t="s">
        <v>25</v>
      </c>
      <c r="J7" s="26" t="s">
        <v>25</v>
      </c>
      <c r="K7" s="26" t="s">
        <v>25</v>
      </c>
      <c r="L7" s="26" t="s">
        <v>25</v>
      </c>
      <c r="M7" s="26"/>
      <c r="N7" s="26"/>
      <c r="O7" s="26"/>
    </row>
    <row r="8" ht="15.75" customHeight="1">
      <c r="A8" s="47"/>
      <c r="B8" s="29">
        <v>4.0</v>
      </c>
      <c r="C8" s="22" t="s">
        <v>32</v>
      </c>
      <c r="D8" s="22" t="s">
        <v>33</v>
      </c>
      <c r="E8" s="70" t="str">
        <f t="shared" si="2"/>
        <v>9번 중 6번 참여</v>
      </c>
      <c r="F8" s="71">
        <f t="shared" si="3"/>
        <v>0.6666666667</v>
      </c>
      <c r="G8" s="26" t="s">
        <v>25</v>
      </c>
      <c r="H8" s="26" t="s">
        <v>25</v>
      </c>
      <c r="I8" s="26" t="s">
        <v>25</v>
      </c>
      <c r="J8" s="26" t="s">
        <v>25</v>
      </c>
      <c r="K8" s="26" t="s">
        <v>25</v>
      </c>
      <c r="L8" s="26" t="s">
        <v>25</v>
      </c>
      <c r="M8" s="26"/>
      <c r="N8" s="26"/>
      <c r="O8" s="26"/>
    </row>
    <row r="9" ht="15.75" customHeight="1">
      <c r="A9" s="68"/>
      <c r="B9" s="21">
        <v>5.0</v>
      </c>
      <c r="C9" s="30" t="s">
        <v>34</v>
      </c>
      <c r="D9" s="30" t="s">
        <v>35</v>
      </c>
      <c r="E9" s="70" t="str">
        <f t="shared" si="2"/>
        <v>9번 중 8번 참여</v>
      </c>
      <c r="F9" s="71">
        <f t="shared" si="3"/>
        <v>0.8888888889</v>
      </c>
      <c r="G9" s="26"/>
      <c r="H9" s="26" t="s">
        <v>25</v>
      </c>
      <c r="I9" s="26" t="s">
        <v>25</v>
      </c>
      <c r="J9" s="26" t="s">
        <v>25</v>
      </c>
      <c r="K9" s="26" t="s">
        <v>25</v>
      </c>
      <c r="L9" s="26" t="s">
        <v>25</v>
      </c>
      <c r="M9" s="26" t="s">
        <v>25</v>
      </c>
      <c r="N9" s="26" t="s">
        <v>25</v>
      </c>
      <c r="O9" s="26" t="s">
        <v>25</v>
      </c>
    </row>
    <row r="10" ht="15.75" customHeight="1">
      <c r="A10" s="47"/>
      <c r="B10" s="29">
        <v>6.0</v>
      </c>
      <c r="C10" s="22" t="s">
        <v>36</v>
      </c>
      <c r="D10" s="22" t="s">
        <v>72</v>
      </c>
      <c r="E10" s="70" t="str">
        <f t="shared" si="2"/>
        <v>9번 중 9번 참여</v>
      </c>
      <c r="F10" s="71">
        <f t="shared" si="3"/>
        <v>1</v>
      </c>
      <c r="G10" s="26" t="s">
        <v>25</v>
      </c>
      <c r="H10" s="26" t="s">
        <v>25</v>
      </c>
      <c r="I10" s="26" t="s">
        <v>25</v>
      </c>
      <c r="J10" s="26" t="s">
        <v>25</v>
      </c>
      <c r="K10" s="26" t="s">
        <v>25</v>
      </c>
      <c r="L10" s="26" t="s">
        <v>25</v>
      </c>
      <c r="M10" s="26" t="s">
        <v>25</v>
      </c>
      <c r="N10" s="26" t="s">
        <v>25</v>
      </c>
      <c r="O10" s="26" t="s">
        <v>25</v>
      </c>
    </row>
    <row r="11" ht="15.75" customHeight="1">
      <c r="A11" s="68"/>
      <c r="B11" s="21">
        <v>7.0</v>
      </c>
      <c r="C11" s="30" t="s">
        <v>38</v>
      </c>
      <c r="D11" s="30" t="s">
        <v>39</v>
      </c>
      <c r="E11" s="70" t="str">
        <f t="shared" si="2"/>
        <v>9번 중 9번 참여</v>
      </c>
      <c r="F11" s="71">
        <f t="shared" si="3"/>
        <v>1</v>
      </c>
      <c r="G11" s="26" t="s">
        <v>25</v>
      </c>
      <c r="H11" s="26" t="s">
        <v>25</v>
      </c>
      <c r="I11" s="26" t="s">
        <v>25</v>
      </c>
      <c r="J11" s="26" t="s">
        <v>25</v>
      </c>
      <c r="K11" s="26" t="s">
        <v>25</v>
      </c>
      <c r="L11" s="26" t="s">
        <v>25</v>
      </c>
      <c r="M11" s="26" t="s">
        <v>25</v>
      </c>
      <c r="N11" s="26" t="s">
        <v>25</v>
      </c>
      <c r="O11" s="26" t="s">
        <v>25</v>
      </c>
    </row>
    <row r="12" ht="15.75" customHeight="1">
      <c r="A12" s="47"/>
      <c r="B12" s="29">
        <v>8.0</v>
      </c>
      <c r="C12" s="22" t="s">
        <v>40</v>
      </c>
      <c r="D12" s="22" t="s">
        <v>41</v>
      </c>
      <c r="E12" s="70" t="str">
        <f t="shared" si="2"/>
        <v>9번 중 9번 참여</v>
      </c>
      <c r="F12" s="71">
        <f t="shared" si="3"/>
        <v>1</v>
      </c>
      <c r="G12" s="26" t="s">
        <v>25</v>
      </c>
      <c r="H12" s="26" t="s">
        <v>25</v>
      </c>
      <c r="I12" s="26" t="s">
        <v>25</v>
      </c>
      <c r="J12" s="26" t="s">
        <v>25</v>
      </c>
      <c r="K12" s="26" t="s">
        <v>25</v>
      </c>
      <c r="L12" s="26" t="s">
        <v>25</v>
      </c>
      <c r="M12" s="26" t="s">
        <v>25</v>
      </c>
      <c r="N12" s="26" t="s">
        <v>25</v>
      </c>
      <c r="O12" s="26" t="s">
        <v>25</v>
      </c>
    </row>
    <row r="13" ht="15.75" customHeight="1">
      <c r="A13" s="68"/>
      <c r="B13" s="21">
        <v>9.0</v>
      </c>
      <c r="C13" s="30" t="s">
        <v>42</v>
      </c>
      <c r="D13" s="30" t="s">
        <v>73</v>
      </c>
      <c r="E13" s="70" t="str">
        <f t="shared" si="2"/>
        <v>9번 중 7번 참여</v>
      </c>
      <c r="F13" s="71">
        <f t="shared" si="3"/>
        <v>0.7777777778</v>
      </c>
      <c r="G13" s="26" t="s">
        <v>25</v>
      </c>
      <c r="H13" s="26"/>
      <c r="I13" s="26" t="s">
        <v>25</v>
      </c>
      <c r="J13" s="26" t="s">
        <v>25</v>
      </c>
      <c r="K13" s="26"/>
      <c r="L13" s="26" t="s">
        <v>25</v>
      </c>
      <c r="M13" s="26" t="s">
        <v>25</v>
      </c>
      <c r="N13" s="26" t="s">
        <v>25</v>
      </c>
      <c r="O13" s="26" t="s">
        <v>25</v>
      </c>
    </row>
    <row r="14" ht="15.75" customHeight="1">
      <c r="A14" s="47"/>
      <c r="B14" s="29">
        <v>10.0</v>
      </c>
      <c r="C14" s="22" t="s">
        <v>44</v>
      </c>
      <c r="D14" s="22" t="s">
        <v>45</v>
      </c>
      <c r="E14" s="70" t="str">
        <f t="shared" si="2"/>
        <v>9번 중 9번 참여</v>
      </c>
      <c r="F14" s="71">
        <f t="shared" si="3"/>
        <v>1</v>
      </c>
      <c r="G14" s="26" t="s">
        <v>25</v>
      </c>
      <c r="H14" s="26" t="s">
        <v>25</v>
      </c>
      <c r="I14" s="26" t="s">
        <v>25</v>
      </c>
      <c r="J14" s="26" t="s">
        <v>25</v>
      </c>
      <c r="K14" s="26" t="s">
        <v>25</v>
      </c>
      <c r="L14" s="26" t="s">
        <v>25</v>
      </c>
      <c r="M14" s="26" t="s">
        <v>25</v>
      </c>
      <c r="N14" s="26" t="s">
        <v>25</v>
      </c>
      <c r="O14" s="26" t="s">
        <v>25</v>
      </c>
    </row>
    <row r="15" ht="15.75" customHeight="1">
      <c r="A15" s="68"/>
      <c r="B15" s="21">
        <v>11.0</v>
      </c>
      <c r="C15" s="30" t="s">
        <v>46</v>
      </c>
      <c r="D15" s="30" t="s">
        <v>47</v>
      </c>
      <c r="E15" s="70" t="str">
        <f t="shared" si="2"/>
        <v>9번 중 6번 참여</v>
      </c>
      <c r="F15" s="71">
        <f t="shared" si="3"/>
        <v>0.6666666667</v>
      </c>
      <c r="G15" s="26"/>
      <c r="H15" s="26"/>
      <c r="I15" s="26"/>
      <c r="J15" s="26" t="s">
        <v>25</v>
      </c>
      <c r="K15" s="26" t="s">
        <v>25</v>
      </c>
      <c r="L15" s="26" t="s">
        <v>25</v>
      </c>
      <c r="M15" s="26" t="s">
        <v>25</v>
      </c>
      <c r="N15" s="26" t="s">
        <v>25</v>
      </c>
      <c r="O15" s="26" t="s">
        <v>25</v>
      </c>
    </row>
    <row r="16" ht="15.75" customHeight="1">
      <c r="A16" s="47"/>
      <c r="B16" s="29">
        <v>12.0</v>
      </c>
      <c r="C16" s="22" t="s">
        <v>48</v>
      </c>
      <c r="D16" s="22" t="s">
        <v>49</v>
      </c>
      <c r="E16" s="70" t="str">
        <f t="shared" si="2"/>
        <v>9번 중 8번 참여</v>
      </c>
      <c r="F16" s="71">
        <f t="shared" si="3"/>
        <v>0.8888888889</v>
      </c>
      <c r="G16" s="26" t="s">
        <v>25</v>
      </c>
      <c r="H16" s="26" t="s">
        <v>25</v>
      </c>
      <c r="I16" s="26"/>
      <c r="J16" s="26" t="s">
        <v>25</v>
      </c>
      <c r="K16" s="26" t="s">
        <v>25</v>
      </c>
      <c r="L16" s="26" t="s">
        <v>25</v>
      </c>
      <c r="M16" s="26" t="s">
        <v>25</v>
      </c>
      <c r="N16" s="26" t="s">
        <v>25</v>
      </c>
      <c r="O16" s="26" t="s">
        <v>25</v>
      </c>
    </row>
    <row r="17" ht="15.75" customHeight="1">
      <c r="A17" s="68"/>
      <c r="B17" s="21">
        <v>13.0</v>
      </c>
      <c r="C17" s="30" t="s">
        <v>50</v>
      </c>
      <c r="D17" s="30" t="s">
        <v>51</v>
      </c>
      <c r="E17" s="70" t="str">
        <f t="shared" si="2"/>
        <v>9번 중 8번 참여</v>
      </c>
      <c r="F17" s="71">
        <f t="shared" si="3"/>
        <v>0.8888888889</v>
      </c>
      <c r="G17" s="26" t="s">
        <v>25</v>
      </c>
      <c r="H17" s="26" t="s">
        <v>25</v>
      </c>
      <c r="I17" s="26" t="s">
        <v>25</v>
      </c>
      <c r="J17" s="26" t="s">
        <v>25</v>
      </c>
      <c r="K17" s="26" t="s">
        <v>25</v>
      </c>
      <c r="L17" s="26" t="s">
        <v>25</v>
      </c>
      <c r="M17" s="26" t="s">
        <v>25</v>
      </c>
      <c r="N17" s="26" t="s">
        <v>25</v>
      </c>
      <c r="O17" s="26"/>
    </row>
    <row r="18" ht="15.75" customHeight="1">
      <c r="A18" s="47"/>
      <c r="B18" s="29">
        <v>14.0</v>
      </c>
      <c r="C18" s="22" t="s">
        <v>52</v>
      </c>
      <c r="D18" s="22" t="s">
        <v>53</v>
      </c>
      <c r="E18" s="70" t="str">
        <f t="shared" si="2"/>
        <v>9번 중 8번 참여</v>
      </c>
      <c r="F18" s="71">
        <f t="shared" si="3"/>
        <v>0.8888888889</v>
      </c>
      <c r="G18" s="26" t="s">
        <v>25</v>
      </c>
      <c r="H18" s="26" t="s">
        <v>25</v>
      </c>
      <c r="I18" s="26" t="s">
        <v>25</v>
      </c>
      <c r="J18" s="26" t="s">
        <v>25</v>
      </c>
      <c r="K18" s="26" t="s">
        <v>25</v>
      </c>
      <c r="L18" s="26" t="s">
        <v>25</v>
      </c>
      <c r="M18" s="26" t="s">
        <v>25</v>
      </c>
      <c r="N18" s="26" t="s">
        <v>25</v>
      </c>
      <c r="O18" s="26"/>
    </row>
    <row r="19" ht="15.75" customHeight="1">
      <c r="A19" s="68"/>
      <c r="B19" s="21">
        <v>15.0</v>
      </c>
      <c r="C19" s="22" t="s">
        <v>54</v>
      </c>
      <c r="D19" s="22" t="s">
        <v>55</v>
      </c>
      <c r="E19" s="70" t="str">
        <f t="shared" si="2"/>
        <v>9번 중 9번 참여</v>
      </c>
      <c r="F19" s="71">
        <f t="shared" si="3"/>
        <v>1</v>
      </c>
      <c r="G19" s="26" t="s">
        <v>25</v>
      </c>
      <c r="H19" s="26" t="s">
        <v>25</v>
      </c>
      <c r="I19" s="26" t="s">
        <v>25</v>
      </c>
      <c r="J19" s="26" t="s">
        <v>25</v>
      </c>
      <c r="K19" s="26" t="s">
        <v>25</v>
      </c>
      <c r="L19" s="26" t="s">
        <v>25</v>
      </c>
      <c r="M19" s="26" t="s">
        <v>25</v>
      </c>
      <c r="N19" s="26" t="s">
        <v>25</v>
      </c>
      <c r="O19" s="26" t="s">
        <v>25</v>
      </c>
    </row>
    <row r="20" ht="15.75" customHeight="1">
      <c r="A20" s="47"/>
      <c r="B20" s="29">
        <v>16.0</v>
      </c>
      <c r="C20" s="22" t="s">
        <v>56</v>
      </c>
      <c r="D20" s="22" t="s">
        <v>57</v>
      </c>
      <c r="E20" s="70" t="str">
        <f t="shared" si="2"/>
        <v>9번 중 9번 참여</v>
      </c>
      <c r="F20" s="71">
        <f t="shared" si="3"/>
        <v>1</v>
      </c>
      <c r="G20" s="26" t="s">
        <v>25</v>
      </c>
      <c r="H20" s="26" t="s">
        <v>25</v>
      </c>
      <c r="I20" s="26" t="s">
        <v>25</v>
      </c>
      <c r="J20" s="26" t="s">
        <v>25</v>
      </c>
      <c r="K20" s="26" t="s">
        <v>25</v>
      </c>
      <c r="L20" s="26" t="s">
        <v>25</v>
      </c>
      <c r="M20" s="26" t="s">
        <v>25</v>
      </c>
      <c r="N20" s="26" t="s">
        <v>25</v>
      </c>
      <c r="O20" s="26" t="s">
        <v>25</v>
      </c>
    </row>
    <row r="21" ht="15.75" customHeight="1">
      <c r="A21" s="68"/>
      <c r="B21" s="21">
        <v>17.0</v>
      </c>
      <c r="C21" s="30" t="s">
        <v>58</v>
      </c>
      <c r="D21" s="72" t="s">
        <v>59</v>
      </c>
      <c r="E21" s="70" t="str">
        <f t="shared" si="2"/>
        <v/>
      </c>
      <c r="F21" s="71" t="str">
        <f t="shared" si="3"/>
        <v/>
      </c>
      <c r="G21" s="26"/>
      <c r="H21" s="26"/>
      <c r="I21" s="26"/>
      <c r="J21" s="26"/>
      <c r="K21" s="26"/>
      <c r="L21" s="26"/>
      <c r="M21" s="26"/>
      <c r="N21" s="26"/>
      <c r="O21" s="26"/>
    </row>
    <row r="22" ht="15.75" customHeight="1">
      <c r="A22" s="47"/>
      <c r="B22" s="29">
        <v>18.0</v>
      </c>
      <c r="C22" s="22" t="s">
        <v>60</v>
      </c>
      <c r="D22" s="69" t="s">
        <v>61</v>
      </c>
      <c r="E22" s="70" t="str">
        <f t="shared" si="2"/>
        <v>9번 중 9번 참여</v>
      </c>
      <c r="F22" s="71">
        <f t="shared" si="3"/>
        <v>1</v>
      </c>
      <c r="G22" s="26" t="s">
        <v>25</v>
      </c>
      <c r="H22" s="26" t="s">
        <v>25</v>
      </c>
      <c r="I22" s="26" t="s">
        <v>25</v>
      </c>
      <c r="J22" s="26" t="s">
        <v>25</v>
      </c>
      <c r="K22" s="26" t="s">
        <v>25</v>
      </c>
      <c r="L22" s="26" t="s">
        <v>25</v>
      </c>
      <c r="M22" s="26" t="s">
        <v>25</v>
      </c>
      <c r="N22" s="26" t="s">
        <v>25</v>
      </c>
      <c r="O22" s="26" t="s">
        <v>25</v>
      </c>
    </row>
    <row r="23" ht="15.75" customHeight="1">
      <c r="A23" s="68"/>
      <c r="B23" s="21">
        <v>19.0</v>
      </c>
      <c r="C23" s="42" t="s">
        <v>62</v>
      </c>
      <c r="D23" s="73" t="s">
        <v>63</v>
      </c>
      <c r="E23" s="70" t="str">
        <f t="shared" si="2"/>
        <v>9번 중 9번 참여</v>
      </c>
      <c r="F23" s="71">
        <f t="shared" si="3"/>
        <v>1</v>
      </c>
      <c r="G23" s="26" t="s">
        <v>25</v>
      </c>
      <c r="H23" s="26" t="s">
        <v>25</v>
      </c>
      <c r="I23" s="26" t="s">
        <v>25</v>
      </c>
      <c r="J23" s="26" t="s">
        <v>25</v>
      </c>
      <c r="K23" s="26" t="s">
        <v>25</v>
      </c>
      <c r="L23" s="26" t="s">
        <v>25</v>
      </c>
      <c r="M23" s="26" t="s">
        <v>25</v>
      </c>
      <c r="N23" s="26" t="s">
        <v>25</v>
      </c>
      <c r="O23" s="26" t="s">
        <v>25</v>
      </c>
    </row>
    <row r="24" ht="15.75" customHeight="1">
      <c r="A24" s="47"/>
      <c r="B24" s="29">
        <v>20.0</v>
      </c>
      <c r="C24" s="22" t="s">
        <v>64</v>
      </c>
      <c r="D24" s="74" t="s">
        <v>65</v>
      </c>
      <c r="E24" s="70" t="str">
        <f t="shared" si="2"/>
        <v/>
      </c>
      <c r="F24" s="71" t="str">
        <f t="shared" si="3"/>
        <v/>
      </c>
      <c r="G24" s="26"/>
      <c r="H24" s="26"/>
      <c r="I24" s="26"/>
      <c r="J24" s="26"/>
      <c r="K24" s="26"/>
      <c r="L24" s="26"/>
      <c r="M24" s="26"/>
      <c r="N24" s="26"/>
      <c r="O24" s="26"/>
    </row>
    <row r="25" ht="15.75" customHeight="1">
      <c r="A25" s="68"/>
      <c r="B25" s="21">
        <v>21.0</v>
      </c>
      <c r="C25" s="30" t="s">
        <v>66</v>
      </c>
      <c r="D25" s="72" t="s">
        <v>67</v>
      </c>
      <c r="E25" s="70" t="str">
        <f t="shared" si="2"/>
        <v>9번 중 9번 참여</v>
      </c>
      <c r="F25" s="71">
        <f t="shared" si="3"/>
        <v>1</v>
      </c>
      <c r="G25" s="26" t="s">
        <v>25</v>
      </c>
      <c r="H25" s="26" t="s">
        <v>25</v>
      </c>
      <c r="I25" s="26" t="s">
        <v>25</v>
      </c>
      <c r="J25" s="26" t="s">
        <v>25</v>
      </c>
      <c r="K25" s="26" t="s">
        <v>25</v>
      </c>
      <c r="L25" s="26" t="s">
        <v>25</v>
      </c>
      <c r="M25" s="26" t="s">
        <v>25</v>
      </c>
      <c r="N25" s="26" t="s">
        <v>25</v>
      </c>
      <c r="O25" s="26" t="s">
        <v>25</v>
      </c>
    </row>
    <row r="26" ht="15.75" customHeight="1">
      <c r="A26" s="47"/>
      <c r="B26" s="29">
        <v>22.0</v>
      </c>
      <c r="C26" s="75" t="s">
        <v>68</v>
      </c>
      <c r="D26" s="76" t="s">
        <v>69</v>
      </c>
      <c r="E26" s="70" t="str">
        <f t="shared" si="2"/>
        <v/>
      </c>
      <c r="F26" s="71" t="str">
        <f t="shared" si="3"/>
        <v/>
      </c>
      <c r="G26" s="26"/>
      <c r="H26" s="26"/>
      <c r="I26" s="26"/>
      <c r="J26" s="26"/>
      <c r="K26" s="26"/>
      <c r="L26" s="26"/>
      <c r="M26" s="26"/>
      <c r="N26" s="26"/>
      <c r="O26" s="26"/>
    </row>
    <row r="27" ht="15.75" customHeight="1">
      <c r="A27" s="68"/>
      <c r="B27" s="21">
        <v>23.0</v>
      </c>
      <c r="C27" s="30" t="s">
        <v>74</v>
      </c>
      <c r="D27" s="72" t="s">
        <v>75</v>
      </c>
      <c r="E27" s="70" t="str">
        <f t="shared" si="2"/>
        <v>9번 중 7번 참여</v>
      </c>
      <c r="F27" s="71">
        <f t="shared" si="3"/>
        <v>0.7777777778</v>
      </c>
      <c r="G27" s="26"/>
      <c r="H27" s="26" t="s">
        <v>25</v>
      </c>
      <c r="I27" s="26"/>
      <c r="J27" s="26" t="s">
        <v>25</v>
      </c>
      <c r="K27" s="26" t="s">
        <v>25</v>
      </c>
      <c r="L27" s="26" t="s">
        <v>25</v>
      </c>
      <c r="M27" s="26" t="s">
        <v>25</v>
      </c>
      <c r="N27" s="26" t="s">
        <v>25</v>
      </c>
      <c r="O27" s="26" t="s">
        <v>25</v>
      </c>
    </row>
    <row r="28" ht="15.75" customHeight="1">
      <c r="A28" s="47"/>
      <c r="B28" s="29">
        <v>24.0</v>
      </c>
      <c r="C28" s="22" t="s">
        <v>76</v>
      </c>
      <c r="D28" s="69" t="s">
        <v>77</v>
      </c>
      <c r="E28" s="70" t="str">
        <f t="shared" si="2"/>
        <v>9번 중 5번 참여</v>
      </c>
      <c r="F28" s="71">
        <f t="shared" si="3"/>
        <v>0.5555555556</v>
      </c>
      <c r="G28" s="26" t="s">
        <v>25</v>
      </c>
      <c r="H28" s="26" t="s">
        <v>25</v>
      </c>
      <c r="I28" s="26" t="s">
        <v>25</v>
      </c>
      <c r="J28" s="26" t="s">
        <v>25</v>
      </c>
      <c r="K28" s="26" t="s">
        <v>25</v>
      </c>
      <c r="L28" s="26"/>
      <c r="M28" s="26"/>
      <c r="N28" s="26"/>
      <c r="O28" s="26"/>
    </row>
    <row r="29" ht="15.75" customHeight="1">
      <c r="A29" s="68"/>
      <c r="B29" s="21">
        <v>25.0</v>
      </c>
      <c r="C29" s="30" t="s">
        <v>78</v>
      </c>
      <c r="D29" s="78" t="s">
        <v>79</v>
      </c>
      <c r="E29" s="70" t="str">
        <f t="shared" si="2"/>
        <v>9번 중 9번 참여</v>
      </c>
      <c r="F29" s="71">
        <f t="shared" si="3"/>
        <v>1</v>
      </c>
      <c r="G29" s="26" t="s">
        <v>25</v>
      </c>
      <c r="H29" s="26" t="s">
        <v>25</v>
      </c>
      <c r="I29" s="26" t="s">
        <v>25</v>
      </c>
      <c r="J29" s="26" t="s">
        <v>25</v>
      </c>
      <c r="K29" s="26" t="s">
        <v>25</v>
      </c>
      <c r="L29" s="26" t="s">
        <v>25</v>
      </c>
      <c r="M29" s="26" t="s">
        <v>25</v>
      </c>
      <c r="N29" s="26" t="s">
        <v>25</v>
      </c>
      <c r="O29" s="26" t="s">
        <v>25</v>
      </c>
    </row>
    <row r="30" ht="15.75" customHeight="1">
      <c r="A30" s="47"/>
      <c r="B30" s="29">
        <v>26.0</v>
      </c>
      <c r="C30" s="30" t="s">
        <v>81</v>
      </c>
      <c r="D30" s="30" t="s">
        <v>82</v>
      </c>
      <c r="E30" s="70" t="str">
        <f t="shared" si="2"/>
        <v>9번 중 7번 참여</v>
      </c>
      <c r="F30" s="71">
        <f t="shared" si="3"/>
        <v>0.7777777778</v>
      </c>
      <c r="G30" s="26" t="s">
        <v>25</v>
      </c>
      <c r="H30" s="26" t="s">
        <v>25</v>
      </c>
      <c r="I30" s="26" t="s">
        <v>25</v>
      </c>
      <c r="J30" s="26" t="s">
        <v>25</v>
      </c>
      <c r="K30" s="26" t="s">
        <v>25</v>
      </c>
      <c r="L30" s="26"/>
      <c r="M30" s="26"/>
      <c r="N30" s="26" t="s">
        <v>25</v>
      </c>
      <c r="O30" s="26" t="s">
        <v>25</v>
      </c>
    </row>
    <row r="31" ht="15.75" customHeight="1">
      <c r="A31" s="68"/>
      <c r="B31" s="21">
        <v>27.0</v>
      </c>
      <c r="C31" s="30" t="s">
        <v>83</v>
      </c>
      <c r="D31" s="72" t="s">
        <v>84</v>
      </c>
      <c r="E31" s="70" t="str">
        <f t="shared" si="2"/>
        <v/>
      </c>
      <c r="F31" s="71" t="str">
        <f t="shared" si="3"/>
        <v/>
      </c>
      <c r="G31" s="26"/>
      <c r="H31" s="26"/>
      <c r="I31" s="26"/>
      <c r="J31" s="26"/>
      <c r="K31" s="26"/>
      <c r="L31" s="26"/>
      <c r="M31" s="26"/>
      <c r="N31" s="26"/>
      <c r="O31" s="26"/>
    </row>
    <row r="32" ht="15.75" customHeight="1">
      <c r="A32" s="47"/>
      <c r="B32" s="29">
        <v>28.0</v>
      </c>
      <c r="C32" s="30" t="s">
        <v>85</v>
      </c>
      <c r="D32" s="72" t="s">
        <v>86</v>
      </c>
      <c r="E32" s="70" t="str">
        <f t="shared" si="2"/>
        <v>9번 중 8번 참여</v>
      </c>
      <c r="F32" s="71">
        <f t="shared" si="3"/>
        <v>0.8888888889</v>
      </c>
      <c r="G32" s="26" t="s">
        <v>25</v>
      </c>
      <c r="H32" s="26" t="s">
        <v>25</v>
      </c>
      <c r="I32" s="26" t="s">
        <v>25</v>
      </c>
      <c r="J32" s="26" t="s">
        <v>25</v>
      </c>
      <c r="K32" s="26"/>
      <c r="L32" s="26" t="s">
        <v>25</v>
      </c>
      <c r="M32" s="26" t="s">
        <v>25</v>
      </c>
      <c r="N32" s="26" t="s">
        <v>25</v>
      </c>
      <c r="O32" s="26" t="s">
        <v>25</v>
      </c>
    </row>
    <row r="33" ht="15.75" customHeight="1">
      <c r="A33" s="68"/>
      <c r="B33" s="21">
        <v>29.0</v>
      </c>
      <c r="C33" s="22" t="s">
        <v>87</v>
      </c>
      <c r="D33" s="69" t="s">
        <v>88</v>
      </c>
      <c r="E33" s="70" t="str">
        <f t="shared" si="2"/>
        <v>9번 중 6번 참여</v>
      </c>
      <c r="F33" s="71">
        <f t="shared" si="3"/>
        <v>0.6666666667</v>
      </c>
      <c r="G33" s="26" t="s">
        <v>25</v>
      </c>
      <c r="H33" s="26"/>
      <c r="I33" s="26"/>
      <c r="J33" s="26" t="s">
        <v>25</v>
      </c>
      <c r="K33" s="26" t="s">
        <v>25</v>
      </c>
      <c r="L33" s="26" t="s">
        <v>25</v>
      </c>
      <c r="M33" s="26"/>
      <c r="N33" s="26" t="s">
        <v>25</v>
      </c>
      <c r="O33" s="26" t="s">
        <v>25</v>
      </c>
    </row>
    <row r="34" ht="15.75" customHeight="1">
      <c r="A34" s="47"/>
      <c r="B34" s="29">
        <v>30.0</v>
      </c>
      <c r="C34" s="39" t="s">
        <v>89</v>
      </c>
      <c r="D34" s="79" t="s">
        <v>90</v>
      </c>
      <c r="E34" s="70" t="str">
        <f t="shared" si="2"/>
        <v/>
      </c>
      <c r="F34" s="71" t="str">
        <f t="shared" si="3"/>
        <v/>
      </c>
      <c r="G34" s="26"/>
      <c r="H34" s="26"/>
      <c r="I34" s="26"/>
      <c r="J34" s="26"/>
      <c r="K34" s="26" t="s">
        <v>80</v>
      </c>
      <c r="L34" s="26"/>
      <c r="M34" s="26"/>
      <c r="N34" s="26"/>
      <c r="O34" s="26"/>
    </row>
    <row r="35" ht="15.75" customHeight="1">
      <c r="A35" s="68"/>
      <c r="B35" s="21">
        <v>31.0</v>
      </c>
      <c r="C35" s="44" t="s">
        <v>91</v>
      </c>
      <c r="D35" s="44" t="s">
        <v>92</v>
      </c>
      <c r="E35" s="70" t="str">
        <f t="shared" si="2"/>
        <v>9번 중 8번 참여</v>
      </c>
      <c r="F35" s="71">
        <f t="shared" si="3"/>
        <v>0.8888888889</v>
      </c>
      <c r="G35" s="26" t="s">
        <v>25</v>
      </c>
      <c r="H35" s="26" t="s">
        <v>25</v>
      </c>
      <c r="I35" s="26" t="s">
        <v>25</v>
      </c>
      <c r="J35" s="26" t="s">
        <v>25</v>
      </c>
      <c r="K35" s="26" t="s">
        <v>25</v>
      </c>
      <c r="L35" s="26" t="s">
        <v>25</v>
      </c>
      <c r="M35" s="26" t="s">
        <v>25</v>
      </c>
      <c r="N35" s="26" t="s">
        <v>25</v>
      </c>
      <c r="O35" s="26"/>
    </row>
    <row r="36" ht="15.75" customHeight="1">
      <c r="A36" s="47"/>
      <c r="B36" s="29">
        <v>32.0</v>
      </c>
      <c r="C36" s="30" t="s">
        <v>93</v>
      </c>
      <c r="D36" s="30" t="s">
        <v>94</v>
      </c>
      <c r="E36" s="70" t="str">
        <f t="shared" si="2"/>
        <v>9번 중 8번 참여</v>
      </c>
      <c r="F36" s="71">
        <f t="shared" si="3"/>
        <v>0.8888888889</v>
      </c>
      <c r="G36" s="26" t="s">
        <v>25</v>
      </c>
      <c r="H36" s="26" t="s">
        <v>25</v>
      </c>
      <c r="I36" s="26" t="s">
        <v>25</v>
      </c>
      <c r="J36" s="26" t="s">
        <v>25</v>
      </c>
      <c r="K36" s="26" t="s">
        <v>25</v>
      </c>
      <c r="L36" s="26" t="s">
        <v>25</v>
      </c>
      <c r="M36" s="26" t="s">
        <v>25</v>
      </c>
      <c r="N36" s="26" t="s">
        <v>25</v>
      </c>
      <c r="O36" s="26"/>
    </row>
    <row r="37" ht="15.75" customHeight="1">
      <c r="A37" s="68"/>
      <c r="B37" s="21">
        <v>33.0</v>
      </c>
      <c r="C37" s="22" t="s">
        <v>95</v>
      </c>
      <c r="D37" s="22" t="s">
        <v>96</v>
      </c>
      <c r="E37" s="70" t="str">
        <f t="shared" si="2"/>
        <v>9번 중 9번 참여</v>
      </c>
      <c r="F37" s="71">
        <f t="shared" si="3"/>
        <v>1</v>
      </c>
      <c r="G37" s="26" t="s">
        <v>25</v>
      </c>
      <c r="H37" s="26" t="s">
        <v>25</v>
      </c>
      <c r="I37" s="26" t="s">
        <v>25</v>
      </c>
      <c r="J37" s="26" t="s">
        <v>25</v>
      </c>
      <c r="K37" s="26" t="s">
        <v>25</v>
      </c>
      <c r="L37" s="26" t="s">
        <v>25</v>
      </c>
      <c r="M37" s="26" t="s">
        <v>25</v>
      </c>
      <c r="N37" s="26" t="s">
        <v>25</v>
      </c>
      <c r="O37" s="26" t="s">
        <v>25</v>
      </c>
    </row>
    <row r="38" ht="15.75" customHeight="1">
      <c r="A38" s="47"/>
      <c r="B38" s="29">
        <v>34.0</v>
      </c>
      <c r="C38" s="30" t="s">
        <v>97</v>
      </c>
      <c r="D38" s="30" t="s">
        <v>98</v>
      </c>
      <c r="E38" s="70" t="str">
        <f t="shared" si="2"/>
        <v>9번 중 9번 참여</v>
      </c>
      <c r="F38" s="71">
        <f t="shared" si="3"/>
        <v>1</v>
      </c>
      <c r="G38" s="26" t="s">
        <v>25</v>
      </c>
      <c r="H38" s="26" t="s">
        <v>25</v>
      </c>
      <c r="I38" s="26" t="s">
        <v>25</v>
      </c>
      <c r="J38" s="26" t="s">
        <v>25</v>
      </c>
      <c r="K38" s="26" t="s">
        <v>25</v>
      </c>
      <c r="L38" s="26" t="s">
        <v>25</v>
      </c>
      <c r="M38" s="26" t="s">
        <v>25</v>
      </c>
      <c r="N38" s="26" t="s">
        <v>25</v>
      </c>
      <c r="O38" s="26" t="s">
        <v>25</v>
      </c>
    </row>
    <row r="39" ht="15.75" customHeight="1">
      <c r="A39" s="68"/>
      <c r="B39" s="21">
        <v>35.0</v>
      </c>
      <c r="C39" s="22" t="s">
        <v>99</v>
      </c>
      <c r="D39" s="22" t="s">
        <v>100</v>
      </c>
      <c r="E39" s="70" t="str">
        <f t="shared" si="2"/>
        <v>9번 중 3번 참여</v>
      </c>
      <c r="F39" s="71">
        <f t="shared" si="3"/>
        <v>0.3333333333</v>
      </c>
      <c r="G39" s="26" t="s">
        <v>25</v>
      </c>
      <c r="H39" s="26"/>
      <c r="I39" s="26" t="s">
        <v>25</v>
      </c>
      <c r="J39" s="26"/>
      <c r="K39" s="26"/>
      <c r="L39" s="26" t="s">
        <v>25</v>
      </c>
      <c r="M39" s="26"/>
      <c r="N39" s="26"/>
      <c r="O39" s="26"/>
    </row>
    <row r="40" ht="15.75" customHeight="1">
      <c r="A40" s="47"/>
      <c r="B40" s="29">
        <v>36.0</v>
      </c>
      <c r="C40" s="30" t="s">
        <v>101</v>
      </c>
      <c r="D40" s="72" t="s">
        <v>102</v>
      </c>
      <c r="E40" s="70" t="str">
        <f t="shared" si="2"/>
        <v>9번 중 7번 참여</v>
      </c>
      <c r="F40" s="71">
        <f t="shared" si="3"/>
        <v>0.7777777778</v>
      </c>
      <c r="G40" s="26" t="s">
        <v>25</v>
      </c>
      <c r="H40" s="26" t="s">
        <v>25</v>
      </c>
      <c r="I40" s="26"/>
      <c r="J40" s="26" t="s">
        <v>25</v>
      </c>
      <c r="K40" s="26" t="s">
        <v>25</v>
      </c>
      <c r="L40" s="26" t="s">
        <v>25</v>
      </c>
      <c r="M40" s="26" t="s">
        <v>25</v>
      </c>
      <c r="N40" s="26" t="s">
        <v>25</v>
      </c>
      <c r="O40" s="26"/>
    </row>
    <row r="41" ht="15.75" customHeight="1">
      <c r="A41" s="68"/>
      <c r="B41" s="21">
        <v>37.0</v>
      </c>
      <c r="C41" s="22" t="s">
        <v>103</v>
      </c>
      <c r="D41" s="22" t="s">
        <v>104</v>
      </c>
      <c r="E41" s="70" t="str">
        <f t="shared" si="2"/>
        <v>9번 중 9번 참여</v>
      </c>
      <c r="F41" s="71">
        <f t="shared" si="3"/>
        <v>1</v>
      </c>
      <c r="G41" s="26" t="s">
        <v>25</v>
      </c>
      <c r="H41" s="26" t="s">
        <v>25</v>
      </c>
      <c r="I41" s="26" t="s">
        <v>25</v>
      </c>
      <c r="J41" s="26" t="s">
        <v>25</v>
      </c>
      <c r="K41" s="26" t="s">
        <v>25</v>
      </c>
      <c r="L41" s="26" t="s">
        <v>25</v>
      </c>
      <c r="M41" s="26" t="s">
        <v>25</v>
      </c>
      <c r="N41" s="26" t="s">
        <v>25</v>
      </c>
      <c r="O41" s="26" t="s">
        <v>25</v>
      </c>
    </row>
    <row r="42" ht="15.75" customHeight="1">
      <c r="A42" s="47"/>
      <c r="B42" s="29">
        <v>38.0</v>
      </c>
      <c r="C42" s="43" t="s">
        <v>283</v>
      </c>
      <c r="D42" s="98" t="s">
        <v>284</v>
      </c>
      <c r="E42" s="70" t="str">
        <f t="shared" si="2"/>
        <v>9번 중 9번 참여</v>
      </c>
      <c r="F42" s="71">
        <f t="shared" si="3"/>
        <v>1</v>
      </c>
      <c r="G42" s="26" t="s">
        <v>25</v>
      </c>
      <c r="H42" s="26" t="s">
        <v>25</v>
      </c>
      <c r="I42" s="26" t="s">
        <v>25</v>
      </c>
      <c r="J42" s="26" t="s">
        <v>25</v>
      </c>
      <c r="K42" s="26" t="s">
        <v>25</v>
      </c>
      <c r="L42" s="26" t="s">
        <v>25</v>
      </c>
      <c r="M42" s="26" t="s">
        <v>25</v>
      </c>
      <c r="N42" s="26" t="s">
        <v>25</v>
      </c>
      <c r="O42" s="26" t="s">
        <v>25</v>
      </c>
    </row>
    <row r="43" ht="15.75" customHeight="1">
      <c r="A43" s="68"/>
      <c r="B43" s="21">
        <v>39.0</v>
      </c>
      <c r="C43" s="44" t="s">
        <v>107</v>
      </c>
      <c r="D43" s="81" t="s">
        <v>108</v>
      </c>
      <c r="E43" s="70" t="str">
        <f t="shared" si="2"/>
        <v>9번 중 8번 참여</v>
      </c>
      <c r="F43" s="71">
        <f t="shared" si="3"/>
        <v>0.8888888889</v>
      </c>
      <c r="G43" s="26" t="s">
        <v>25</v>
      </c>
      <c r="H43" s="26" t="s">
        <v>25</v>
      </c>
      <c r="I43" s="26" t="s">
        <v>25</v>
      </c>
      <c r="J43" s="26" t="s">
        <v>25</v>
      </c>
      <c r="K43" s="26" t="s">
        <v>25</v>
      </c>
      <c r="L43" s="26" t="s">
        <v>25</v>
      </c>
      <c r="M43" s="26" t="s">
        <v>25</v>
      </c>
      <c r="N43" s="26" t="s">
        <v>25</v>
      </c>
      <c r="O43" s="26"/>
    </row>
    <row r="44" ht="15.75" customHeight="1">
      <c r="A44" s="47"/>
      <c r="B44" s="29">
        <v>40.0</v>
      </c>
      <c r="C44" s="22" t="s">
        <v>109</v>
      </c>
      <c r="D44" s="22" t="s">
        <v>110</v>
      </c>
      <c r="E44" s="70" t="str">
        <f t="shared" si="2"/>
        <v>9번 중 7번 참여</v>
      </c>
      <c r="F44" s="71">
        <f t="shared" si="3"/>
        <v>0.7777777778</v>
      </c>
      <c r="G44" s="26" t="s">
        <v>25</v>
      </c>
      <c r="H44" s="26" t="s">
        <v>25</v>
      </c>
      <c r="I44" s="26" t="s">
        <v>25</v>
      </c>
      <c r="J44" s="26" t="s">
        <v>25</v>
      </c>
      <c r="K44" s="26" t="s">
        <v>25</v>
      </c>
      <c r="L44" s="26" t="s">
        <v>25</v>
      </c>
      <c r="M44" s="26"/>
      <c r="N44" s="26" t="s">
        <v>25</v>
      </c>
      <c r="O44" s="26"/>
    </row>
    <row r="45" ht="15.75" customHeight="1">
      <c r="A45" s="68"/>
      <c r="B45" s="21">
        <v>41.0</v>
      </c>
      <c r="C45" s="30" t="s">
        <v>111</v>
      </c>
      <c r="D45" s="30" t="s">
        <v>112</v>
      </c>
      <c r="E45" s="70" t="str">
        <f t="shared" si="2"/>
        <v/>
      </c>
      <c r="F45" s="71" t="str">
        <f t="shared" si="3"/>
        <v/>
      </c>
      <c r="G45" s="26"/>
      <c r="H45" s="26"/>
      <c r="I45" s="26"/>
      <c r="J45" s="26"/>
      <c r="K45" s="26"/>
      <c r="L45" s="26"/>
      <c r="M45" s="26"/>
      <c r="N45" s="26"/>
      <c r="O45" s="26"/>
    </row>
    <row r="46" ht="15.75" customHeight="1">
      <c r="A46" s="47"/>
      <c r="B46" s="29">
        <v>42.0</v>
      </c>
      <c r="C46" s="22" t="s">
        <v>113</v>
      </c>
      <c r="D46" s="22" t="s">
        <v>114</v>
      </c>
      <c r="E46" s="70" t="str">
        <f t="shared" si="2"/>
        <v>9번 중 9번 참여</v>
      </c>
      <c r="F46" s="71">
        <f t="shared" si="3"/>
        <v>1</v>
      </c>
      <c r="G46" s="26" t="s">
        <v>25</v>
      </c>
      <c r="H46" s="26" t="s">
        <v>25</v>
      </c>
      <c r="I46" s="26" t="s">
        <v>25</v>
      </c>
      <c r="J46" s="26" t="s">
        <v>25</v>
      </c>
      <c r="K46" s="26" t="s">
        <v>25</v>
      </c>
      <c r="L46" s="26" t="s">
        <v>25</v>
      </c>
      <c r="M46" s="26" t="s">
        <v>25</v>
      </c>
      <c r="N46" s="26" t="s">
        <v>25</v>
      </c>
      <c r="O46" s="26" t="s">
        <v>25</v>
      </c>
    </row>
    <row r="47" ht="15.75" customHeight="1">
      <c r="A47" s="68"/>
      <c r="B47" s="21"/>
      <c r="C47" s="22"/>
      <c r="D47" s="22"/>
      <c r="E47" s="70" t="str">
        <f t="shared" si="2"/>
        <v/>
      </c>
      <c r="F47" s="71" t="str">
        <f t="shared" si="3"/>
        <v/>
      </c>
      <c r="G47" s="26"/>
      <c r="H47" s="26"/>
      <c r="I47" s="26"/>
      <c r="J47" s="26"/>
      <c r="K47" s="26"/>
      <c r="L47" s="26"/>
      <c r="M47" s="26"/>
      <c r="N47" s="26"/>
      <c r="O47" s="26"/>
    </row>
    <row r="48" ht="15.75" customHeight="1">
      <c r="A48" s="47" t="s">
        <v>228</v>
      </c>
      <c r="B48" s="29">
        <v>44.0</v>
      </c>
      <c r="C48" s="30" t="s">
        <v>285</v>
      </c>
      <c r="D48" s="30" t="s">
        <v>119</v>
      </c>
      <c r="E48" s="70" t="str">
        <f t="shared" si="2"/>
        <v>9번 중 9번 참여</v>
      </c>
      <c r="F48" s="71">
        <f t="shared" si="3"/>
        <v>1</v>
      </c>
      <c r="G48" s="26" t="s">
        <v>25</v>
      </c>
      <c r="H48" s="26" t="s">
        <v>25</v>
      </c>
      <c r="I48" s="26" t="s">
        <v>25</v>
      </c>
      <c r="J48" s="26" t="s">
        <v>25</v>
      </c>
      <c r="K48" s="26" t="s">
        <v>25</v>
      </c>
      <c r="L48" s="26" t="s">
        <v>25</v>
      </c>
      <c r="M48" s="26" t="s">
        <v>25</v>
      </c>
      <c r="N48" s="26" t="s">
        <v>25</v>
      </c>
      <c r="O48" s="26" t="s">
        <v>25</v>
      </c>
    </row>
    <row r="49" ht="15.75" customHeight="1">
      <c r="A49" s="68"/>
      <c r="B49" s="21">
        <v>45.0</v>
      </c>
      <c r="C49" s="22" t="s">
        <v>286</v>
      </c>
      <c r="D49" s="74" t="s">
        <v>121</v>
      </c>
      <c r="E49" s="70" t="str">
        <f t="shared" si="2"/>
        <v>9번 중 9번 참여</v>
      </c>
      <c r="F49" s="71">
        <f t="shared" si="3"/>
        <v>1</v>
      </c>
      <c r="G49" s="26" t="s">
        <v>25</v>
      </c>
      <c r="H49" s="26" t="s">
        <v>25</v>
      </c>
      <c r="I49" s="26" t="s">
        <v>25</v>
      </c>
      <c r="J49" s="26" t="s">
        <v>25</v>
      </c>
      <c r="K49" s="26" t="s">
        <v>25</v>
      </c>
      <c r="L49" s="26" t="s">
        <v>25</v>
      </c>
      <c r="M49" s="26" t="s">
        <v>25</v>
      </c>
      <c r="N49" s="26" t="s">
        <v>25</v>
      </c>
      <c r="O49" s="26" t="s">
        <v>25</v>
      </c>
    </row>
    <row r="50" ht="15.75" customHeight="1">
      <c r="A50" s="47"/>
      <c r="B50" s="29">
        <v>46.0</v>
      </c>
      <c r="C50" s="30"/>
      <c r="D50" s="72"/>
      <c r="E50" s="70" t="str">
        <f t="shared" si="2"/>
        <v/>
      </c>
      <c r="F50" s="71" t="str">
        <f t="shared" si="3"/>
        <v/>
      </c>
      <c r="G50" s="26"/>
      <c r="H50" s="26"/>
      <c r="I50" s="26"/>
      <c r="J50" s="26"/>
      <c r="K50" s="26"/>
      <c r="L50" s="26"/>
      <c r="M50" s="26"/>
      <c r="N50" s="26"/>
      <c r="O50" s="26"/>
    </row>
    <row r="51" ht="15.75" customHeight="1">
      <c r="A51" s="68"/>
      <c r="B51" s="21"/>
      <c r="C51" s="43"/>
      <c r="D51" s="99"/>
      <c r="E51" s="70" t="str">
        <f t="shared" si="2"/>
        <v/>
      </c>
      <c r="F51" s="71" t="str">
        <f t="shared" si="3"/>
        <v/>
      </c>
      <c r="G51" s="26"/>
      <c r="H51" s="26"/>
      <c r="I51" s="26"/>
      <c r="J51" s="26"/>
      <c r="K51" s="26"/>
      <c r="L51" s="26"/>
      <c r="M51" s="26"/>
      <c r="N51" s="26"/>
      <c r="O51" s="26"/>
    </row>
    <row r="52" ht="15.75" customHeight="1">
      <c r="A52" s="47"/>
      <c r="B52" s="29">
        <v>48.0</v>
      </c>
      <c r="C52" s="44" t="s">
        <v>126</v>
      </c>
      <c r="D52" s="81" t="s">
        <v>127</v>
      </c>
      <c r="E52" s="70" t="str">
        <f t="shared" si="2"/>
        <v>9번 중 9번 참여</v>
      </c>
      <c r="F52" s="71">
        <f t="shared" si="3"/>
        <v>1</v>
      </c>
      <c r="G52" s="26" t="s">
        <v>25</v>
      </c>
      <c r="H52" s="26" t="s">
        <v>25</v>
      </c>
      <c r="I52" s="26" t="s">
        <v>25</v>
      </c>
      <c r="J52" s="26" t="s">
        <v>25</v>
      </c>
      <c r="K52" s="26" t="s">
        <v>25</v>
      </c>
      <c r="L52" s="26" t="s">
        <v>25</v>
      </c>
      <c r="M52" s="26" t="s">
        <v>25</v>
      </c>
      <c r="N52" s="26" t="s">
        <v>25</v>
      </c>
      <c r="O52" s="26" t="s">
        <v>25</v>
      </c>
    </row>
    <row r="53" ht="15.75" customHeight="1">
      <c r="A53" s="68"/>
      <c r="B53" s="21"/>
      <c r="C53" s="22"/>
      <c r="D53" s="22"/>
      <c r="E53" s="70" t="str">
        <f t="shared" si="2"/>
        <v/>
      </c>
      <c r="F53" s="71" t="str">
        <f t="shared" si="3"/>
        <v/>
      </c>
      <c r="G53" s="26"/>
      <c r="H53" s="26"/>
      <c r="I53" s="26"/>
      <c r="J53" s="26"/>
      <c r="K53" s="26"/>
      <c r="L53" s="26"/>
      <c r="M53" s="26"/>
      <c r="N53" s="26"/>
      <c r="O53" s="26"/>
    </row>
    <row r="54" ht="15.75" customHeight="1">
      <c r="A54" s="47"/>
      <c r="B54" s="29"/>
      <c r="C54" s="30"/>
      <c r="D54" s="30"/>
      <c r="E54" s="70" t="str">
        <f t="shared" si="2"/>
        <v>9번 중 1번 참여</v>
      </c>
      <c r="F54" s="71">
        <f t="shared" si="3"/>
        <v>0.1111111111</v>
      </c>
      <c r="G54" s="26"/>
      <c r="H54" s="26"/>
      <c r="I54" s="26" t="s">
        <v>25</v>
      </c>
      <c r="J54" s="26"/>
      <c r="K54" s="26"/>
      <c r="L54" s="26"/>
      <c r="M54" s="26"/>
      <c r="N54" s="26"/>
      <c r="O54" s="26"/>
    </row>
    <row r="55" ht="15.75" customHeight="1">
      <c r="A55" s="68"/>
      <c r="B55" s="21">
        <v>51.0</v>
      </c>
      <c r="C55" s="22" t="s">
        <v>132</v>
      </c>
      <c r="D55" s="22" t="s">
        <v>133</v>
      </c>
      <c r="E55" s="70" t="str">
        <f t="shared" si="2"/>
        <v>9번 중 9번 참여</v>
      </c>
      <c r="F55" s="71">
        <f t="shared" si="3"/>
        <v>1</v>
      </c>
      <c r="G55" s="26" t="s">
        <v>25</v>
      </c>
      <c r="H55" s="26" t="s">
        <v>25</v>
      </c>
      <c r="I55" s="26" t="s">
        <v>25</v>
      </c>
      <c r="J55" s="26" t="s">
        <v>25</v>
      </c>
      <c r="K55" s="26" t="s">
        <v>25</v>
      </c>
      <c r="L55" s="26" t="s">
        <v>25</v>
      </c>
      <c r="M55" s="26" t="s">
        <v>25</v>
      </c>
      <c r="N55" s="26" t="s">
        <v>25</v>
      </c>
      <c r="O55" s="26" t="s">
        <v>25</v>
      </c>
    </row>
    <row r="56" ht="15.75" customHeight="1">
      <c r="A56" s="47"/>
      <c r="B56" s="29">
        <v>52.0</v>
      </c>
      <c r="C56" s="42" t="s">
        <v>28</v>
      </c>
      <c r="D56" s="42" t="s">
        <v>70</v>
      </c>
      <c r="E56" s="70" t="str">
        <f t="shared" si="2"/>
        <v>9번 중 9번 참여</v>
      </c>
      <c r="F56" s="71">
        <f t="shared" si="3"/>
        <v>1</v>
      </c>
      <c r="G56" s="26" t="s">
        <v>25</v>
      </c>
      <c r="H56" s="26" t="s">
        <v>25</v>
      </c>
      <c r="I56" s="26" t="s">
        <v>25</v>
      </c>
      <c r="J56" s="26" t="s">
        <v>25</v>
      </c>
      <c r="K56" s="26" t="s">
        <v>25</v>
      </c>
      <c r="L56" s="26" t="s">
        <v>25</v>
      </c>
      <c r="M56" s="26" t="s">
        <v>25</v>
      </c>
      <c r="N56" s="26" t="s">
        <v>25</v>
      </c>
      <c r="O56" s="26" t="s">
        <v>25</v>
      </c>
    </row>
    <row r="57" ht="15.75" customHeight="1">
      <c r="A57" s="68"/>
      <c r="B57" s="21">
        <v>53.0</v>
      </c>
      <c r="C57" s="30" t="s">
        <v>136</v>
      </c>
      <c r="D57" s="30" t="s">
        <v>137</v>
      </c>
      <c r="E57" s="70" t="str">
        <f t="shared" si="2"/>
        <v>9번 중 9번 참여</v>
      </c>
      <c r="F57" s="71">
        <f t="shared" si="3"/>
        <v>1</v>
      </c>
      <c r="G57" s="26" t="s">
        <v>25</v>
      </c>
      <c r="H57" s="26" t="s">
        <v>25</v>
      </c>
      <c r="I57" s="26" t="s">
        <v>25</v>
      </c>
      <c r="J57" s="26" t="s">
        <v>25</v>
      </c>
      <c r="K57" s="26" t="s">
        <v>25</v>
      </c>
      <c r="L57" s="26" t="s">
        <v>25</v>
      </c>
      <c r="M57" s="26" t="s">
        <v>25</v>
      </c>
      <c r="N57" s="26" t="s">
        <v>25</v>
      </c>
      <c r="O57" s="26" t="s">
        <v>25</v>
      </c>
    </row>
    <row r="58" ht="15.75" customHeight="1">
      <c r="A58" s="47"/>
      <c r="B58" s="29">
        <v>54.0</v>
      </c>
      <c r="C58" s="22" t="s">
        <v>138</v>
      </c>
      <c r="D58" s="22" t="s">
        <v>139</v>
      </c>
      <c r="E58" s="70" t="str">
        <f t="shared" si="2"/>
        <v>9번 중 9번 참여</v>
      </c>
      <c r="F58" s="71">
        <f t="shared" si="3"/>
        <v>1</v>
      </c>
      <c r="G58" s="26" t="s">
        <v>25</v>
      </c>
      <c r="H58" s="26" t="s">
        <v>25</v>
      </c>
      <c r="I58" s="26" t="s">
        <v>25</v>
      </c>
      <c r="J58" s="26" t="s">
        <v>25</v>
      </c>
      <c r="K58" s="26" t="s">
        <v>25</v>
      </c>
      <c r="L58" s="26" t="s">
        <v>25</v>
      </c>
      <c r="M58" s="26" t="s">
        <v>25</v>
      </c>
      <c r="N58" s="26" t="s">
        <v>25</v>
      </c>
      <c r="O58" s="26" t="s">
        <v>25</v>
      </c>
    </row>
    <row r="59" ht="15.75" customHeight="1">
      <c r="A59" s="68"/>
      <c r="B59" s="21">
        <v>55.0</v>
      </c>
      <c r="C59" s="30" t="s">
        <v>140</v>
      </c>
      <c r="D59" s="22" t="s">
        <v>141</v>
      </c>
      <c r="E59" s="70" t="str">
        <f t="shared" si="2"/>
        <v>9번 중 7번 참여</v>
      </c>
      <c r="F59" s="71">
        <f t="shared" si="3"/>
        <v>0.7777777778</v>
      </c>
      <c r="G59" s="26" t="s">
        <v>25</v>
      </c>
      <c r="H59" s="26" t="s">
        <v>25</v>
      </c>
      <c r="I59" s="26" t="s">
        <v>25</v>
      </c>
      <c r="J59" s="26"/>
      <c r="K59" s="26" t="s">
        <v>25</v>
      </c>
      <c r="L59" s="26" t="s">
        <v>25</v>
      </c>
      <c r="M59" s="26" t="s">
        <v>25</v>
      </c>
      <c r="N59" s="26" t="s">
        <v>25</v>
      </c>
      <c r="O59" s="26"/>
    </row>
    <row r="60" ht="15.75" customHeight="1">
      <c r="A60" s="47"/>
      <c r="B60" s="29">
        <v>56.0</v>
      </c>
      <c r="C60" s="22" t="s">
        <v>142</v>
      </c>
      <c r="D60" s="22" t="s">
        <v>143</v>
      </c>
      <c r="E60" s="70" t="str">
        <f t="shared" si="2"/>
        <v/>
      </c>
      <c r="F60" s="71" t="str">
        <f t="shared" si="3"/>
        <v/>
      </c>
      <c r="G60" s="26"/>
      <c r="H60" s="26"/>
      <c r="I60" s="26"/>
      <c r="J60" s="26"/>
      <c r="K60" s="26"/>
      <c r="L60" s="26"/>
      <c r="M60" s="26"/>
      <c r="N60" s="26"/>
      <c r="O60" s="26"/>
    </row>
    <row r="61" ht="15.75" customHeight="1">
      <c r="A61" s="68"/>
      <c r="B61" s="21">
        <v>57.0</v>
      </c>
      <c r="C61" s="30" t="s">
        <v>144</v>
      </c>
      <c r="D61" s="30" t="s">
        <v>145</v>
      </c>
      <c r="E61" s="70" t="str">
        <f t="shared" si="2"/>
        <v/>
      </c>
      <c r="F61" s="71" t="str">
        <f t="shared" si="3"/>
        <v/>
      </c>
      <c r="G61" s="26"/>
      <c r="H61" s="26"/>
      <c r="I61" s="26"/>
      <c r="J61" s="26"/>
      <c r="K61" s="26"/>
      <c r="L61" s="26"/>
      <c r="M61" s="26"/>
      <c r="N61" s="26"/>
      <c r="O61" s="26"/>
    </row>
    <row r="62" ht="15.75" customHeight="1">
      <c r="A62" s="47"/>
      <c r="B62" s="29">
        <v>58.0</v>
      </c>
      <c r="C62" s="22" t="s">
        <v>146</v>
      </c>
      <c r="D62" s="22" t="s">
        <v>147</v>
      </c>
      <c r="E62" s="70" t="str">
        <f t="shared" si="2"/>
        <v>9번 중 9번 참여</v>
      </c>
      <c r="F62" s="71">
        <f t="shared" si="3"/>
        <v>1</v>
      </c>
      <c r="G62" s="26" t="s">
        <v>25</v>
      </c>
      <c r="H62" s="26" t="s">
        <v>25</v>
      </c>
      <c r="I62" s="26" t="s">
        <v>25</v>
      </c>
      <c r="J62" s="26" t="s">
        <v>25</v>
      </c>
      <c r="K62" s="26" t="s">
        <v>25</v>
      </c>
      <c r="L62" s="26" t="s">
        <v>25</v>
      </c>
      <c r="M62" s="26" t="s">
        <v>25</v>
      </c>
      <c r="N62" s="26" t="s">
        <v>25</v>
      </c>
      <c r="O62" s="26" t="s">
        <v>25</v>
      </c>
    </row>
    <row r="63" ht="15.75" customHeight="1">
      <c r="A63" s="68"/>
      <c r="B63" s="21">
        <v>59.0</v>
      </c>
      <c r="C63" s="30" t="s">
        <v>148</v>
      </c>
      <c r="D63" s="30" t="s">
        <v>149</v>
      </c>
      <c r="E63" s="70" t="str">
        <f t="shared" si="2"/>
        <v>9번 중 9번 참여</v>
      </c>
      <c r="F63" s="71">
        <f t="shared" si="3"/>
        <v>1</v>
      </c>
      <c r="G63" s="26" t="s">
        <v>25</v>
      </c>
      <c r="H63" s="26" t="s">
        <v>25</v>
      </c>
      <c r="I63" s="26" t="s">
        <v>25</v>
      </c>
      <c r="J63" s="26" t="s">
        <v>25</v>
      </c>
      <c r="K63" s="26" t="s">
        <v>25</v>
      </c>
      <c r="L63" s="26" t="s">
        <v>25</v>
      </c>
      <c r="M63" s="26" t="s">
        <v>25</v>
      </c>
      <c r="N63" s="26" t="s">
        <v>25</v>
      </c>
      <c r="O63" s="26" t="s">
        <v>25</v>
      </c>
    </row>
    <row r="64" ht="15.75" customHeight="1">
      <c r="A64" s="47"/>
      <c r="B64" s="29">
        <v>60.0</v>
      </c>
      <c r="C64" s="30" t="s">
        <v>150</v>
      </c>
      <c r="D64" s="78" t="s">
        <v>151</v>
      </c>
      <c r="E64" s="70" t="str">
        <f t="shared" si="2"/>
        <v/>
      </c>
      <c r="F64" s="71" t="str">
        <f t="shared" si="3"/>
        <v/>
      </c>
      <c r="G64" s="26"/>
      <c r="H64" s="26"/>
      <c r="I64" s="26"/>
      <c r="J64" s="26"/>
      <c r="K64" s="26"/>
      <c r="L64" s="26"/>
      <c r="M64" s="26"/>
      <c r="N64" s="26"/>
      <c r="O64" s="26"/>
    </row>
    <row r="65" ht="15.75" customHeight="1">
      <c r="A65" s="68"/>
      <c r="B65" s="21">
        <v>61.0</v>
      </c>
      <c r="C65" s="22" t="s">
        <v>152</v>
      </c>
      <c r="D65" s="22" t="s">
        <v>153</v>
      </c>
      <c r="E65" s="70" t="str">
        <f t="shared" si="2"/>
        <v>9번 중 7번 참여</v>
      </c>
      <c r="F65" s="71">
        <f t="shared" si="3"/>
        <v>0.7777777778</v>
      </c>
      <c r="G65" s="26" t="s">
        <v>25</v>
      </c>
      <c r="H65" s="26" t="s">
        <v>25</v>
      </c>
      <c r="I65" s="26" t="s">
        <v>25</v>
      </c>
      <c r="J65" s="26" t="s">
        <v>25</v>
      </c>
      <c r="K65" s="26" t="s">
        <v>25</v>
      </c>
      <c r="L65" s="26" t="s">
        <v>25</v>
      </c>
      <c r="M65" s="26" t="s">
        <v>25</v>
      </c>
      <c r="N65" s="26"/>
      <c r="O65" s="26"/>
    </row>
    <row r="66" ht="15.75" customHeight="1">
      <c r="A66" s="47"/>
      <c r="B66" s="29">
        <v>62.0</v>
      </c>
      <c r="C66" s="30" t="s">
        <v>154</v>
      </c>
      <c r="D66" s="30" t="s">
        <v>155</v>
      </c>
      <c r="E66" s="70" t="str">
        <f t="shared" si="2"/>
        <v>9번 중 9번 참여</v>
      </c>
      <c r="F66" s="71">
        <f t="shared" si="3"/>
        <v>1</v>
      </c>
      <c r="G66" s="26" t="s">
        <v>25</v>
      </c>
      <c r="H66" s="26" t="s">
        <v>25</v>
      </c>
      <c r="I66" s="26" t="s">
        <v>25</v>
      </c>
      <c r="J66" s="26" t="s">
        <v>25</v>
      </c>
      <c r="K66" s="26" t="s">
        <v>25</v>
      </c>
      <c r="L66" s="26" t="s">
        <v>25</v>
      </c>
      <c r="M66" s="26" t="s">
        <v>25</v>
      </c>
      <c r="N66" s="26" t="s">
        <v>25</v>
      </c>
      <c r="O66" s="26" t="s">
        <v>25</v>
      </c>
    </row>
    <row r="67" ht="15.75" customHeight="1">
      <c r="A67" s="68"/>
      <c r="B67" s="21">
        <v>63.0</v>
      </c>
      <c r="C67" s="22" t="s">
        <v>156</v>
      </c>
      <c r="D67" s="22" t="s">
        <v>157</v>
      </c>
      <c r="E67" s="70" t="str">
        <f t="shared" si="2"/>
        <v>9번 중 6번 참여</v>
      </c>
      <c r="F67" s="71">
        <f t="shared" si="3"/>
        <v>0.6666666667</v>
      </c>
      <c r="G67" s="26" t="s">
        <v>25</v>
      </c>
      <c r="H67" s="26" t="s">
        <v>25</v>
      </c>
      <c r="I67" s="26" t="s">
        <v>25</v>
      </c>
      <c r="J67" s="26"/>
      <c r="K67" s="26"/>
      <c r="L67" s="26"/>
      <c r="M67" s="26" t="s">
        <v>25</v>
      </c>
      <c r="N67" s="26" t="s">
        <v>25</v>
      </c>
      <c r="O67" s="26" t="s">
        <v>25</v>
      </c>
    </row>
    <row r="68" ht="15.75" customHeight="1">
      <c r="A68" s="47"/>
      <c r="B68" s="29">
        <v>64.0</v>
      </c>
      <c r="C68" s="42" t="s">
        <v>158</v>
      </c>
      <c r="D68" s="42" t="s">
        <v>159</v>
      </c>
      <c r="E68" s="70" t="str">
        <f t="shared" si="2"/>
        <v>9번 중 9번 참여</v>
      </c>
      <c r="F68" s="71">
        <f t="shared" si="3"/>
        <v>1</v>
      </c>
      <c r="G68" s="26" t="s">
        <v>25</v>
      </c>
      <c r="H68" s="26" t="s">
        <v>25</v>
      </c>
      <c r="I68" s="26" t="s">
        <v>25</v>
      </c>
      <c r="J68" s="26" t="s">
        <v>25</v>
      </c>
      <c r="K68" s="26" t="s">
        <v>25</v>
      </c>
      <c r="L68" s="26" t="s">
        <v>25</v>
      </c>
      <c r="M68" s="26" t="s">
        <v>25</v>
      </c>
      <c r="N68" s="26" t="s">
        <v>25</v>
      </c>
      <c r="O68" s="26" t="s">
        <v>25</v>
      </c>
    </row>
    <row r="69" ht="15.75" customHeight="1">
      <c r="A69" s="68"/>
      <c r="B69" s="21">
        <v>65.0</v>
      </c>
      <c r="C69" s="42" t="s">
        <v>160</v>
      </c>
      <c r="D69" s="42" t="s">
        <v>161</v>
      </c>
      <c r="E69" s="70" t="str">
        <f t="shared" si="2"/>
        <v>9번 중 9번 참여</v>
      </c>
      <c r="F69" s="71">
        <f t="shared" si="3"/>
        <v>1</v>
      </c>
      <c r="G69" s="26" t="s">
        <v>25</v>
      </c>
      <c r="H69" s="26" t="s">
        <v>25</v>
      </c>
      <c r="I69" s="26" t="s">
        <v>25</v>
      </c>
      <c r="J69" s="26" t="s">
        <v>25</v>
      </c>
      <c r="K69" s="26" t="s">
        <v>25</v>
      </c>
      <c r="L69" s="26" t="s">
        <v>25</v>
      </c>
      <c r="M69" s="26" t="s">
        <v>25</v>
      </c>
      <c r="N69" s="26" t="s">
        <v>25</v>
      </c>
      <c r="O69" s="26" t="s">
        <v>25</v>
      </c>
    </row>
    <row r="70" ht="15.75" customHeight="1">
      <c r="A70" s="47"/>
      <c r="B70" s="29">
        <v>66.0</v>
      </c>
      <c r="C70" s="30" t="s">
        <v>162</v>
      </c>
      <c r="D70" s="30" t="s">
        <v>163</v>
      </c>
      <c r="E70" s="70" t="str">
        <f t="shared" si="2"/>
        <v>9번 중 9번 참여</v>
      </c>
      <c r="F70" s="71">
        <f t="shared" si="3"/>
        <v>1</v>
      </c>
      <c r="G70" s="26" t="s">
        <v>25</v>
      </c>
      <c r="H70" s="26" t="s">
        <v>25</v>
      </c>
      <c r="I70" s="26" t="s">
        <v>25</v>
      </c>
      <c r="J70" s="26" t="s">
        <v>25</v>
      </c>
      <c r="K70" s="26" t="s">
        <v>25</v>
      </c>
      <c r="L70" s="26" t="s">
        <v>25</v>
      </c>
      <c r="M70" s="26" t="s">
        <v>25</v>
      </c>
      <c r="N70" s="26" t="s">
        <v>25</v>
      </c>
      <c r="O70" s="26" t="s">
        <v>25</v>
      </c>
    </row>
    <row r="71" ht="15.75" customHeight="1">
      <c r="A71" s="68"/>
      <c r="B71" s="21">
        <v>67.0</v>
      </c>
      <c r="C71" s="22" t="s">
        <v>164</v>
      </c>
      <c r="D71" s="22" t="s">
        <v>165</v>
      </c>
      <c r="E71" s="70" t="str">
        <f t="shared" si="2"/>
        <v>9번 중 5번 참여</v>
      </c>
      <c r="F71" s="71">
        <f t="shared" si="3"/>
        <v>0.5555555556</v>
      </c>
      <c r="G71" s="26" t="s">
        <v>25</v>
      </c>
      <c r="H71" s="26" t="s">
        <v>25</v>
      </c>
      <c r="I71" s="26" t="s">
        <v>25</v>
      </c>
      <c r="J71" s="26" t="s">
        <v>25</v>
      </c>
      <c r="K71" s="26" t="s">
        <v>25</v>
      </c>
      <c r="L71" s="26"/>
      <c r="M71" s="26"/>
      <c r="N71" s="26"/>
      <c r="O71" s="26"/>
    </row>
    <row r="72" ht="15.75" customHeight="1">
      <c r="A72" s="47"/>
      <c r="B72" s="29">
        <v>68.0</v>
      </c>
      <c r="C72" s="42" t="s">
        <v>166</v>
      </c>
      <c r="D72" s="42" t="s">
        <v>167</v>
      </c>
      <c r="E72" s="70" t="str">
        <f t="shared" si="2"/>
        <v>9번 중 8번 참여</v>
      </c>
      <c r="F72" s="71">
        <f t="shared" si="3"/>
        <v>0.8888888889</v>
      </c>
      <c r="G72" s="26" t="s">
        <v>25</v>
      </c>
      <c r="H72" s="26" t="s">
        <v>25</v>
      </c>
      <c r="I72" s="26" t="s">
        <v>25</v>
      </c>
      <c r="J72" s="26" t="s">
        <v>25</v>
      </c>
      <c r="K72" s="26"/>
      <c r="L72" s="26" t="s">
        <v>25</v>
      </c>
      <c r="M72" s="26" t="s">
        <v>25</v>
      </c>
      <c r="N72" s="26" t="s">
        <v>25</v>
      </c>
      <c r="O72" s="26" t="s">
        <v>25</v>
      </c>
    </row>
    <row r="73" ht="15.75" customHeight="1">
      <c r="A73" s="68"/>
      <c r="B73" s="21">
        <v>69.0</v>
      </c>
      <c r="C73" s="22" t="s">
        <v>168</v>
      </c>
      <c r="D73" s="74" t="s">
        <v>169</v>
      </c>
      <c r="E73" s="70" t="str">
        <f t="shared" si="2"/>
        <v>9번 중 7번 참여</v>
      </c>
      <c r="F73" s="71">
        <f t="shared" si="3"/>
        <v>0.7777777778</v>
      </c>
      <c r="G73" s="26" t="s">
        <v>25</v>
      </c>
      <c r="H73" s="26" t="s">
        <v>25</v>
      </c>
      <c r="I73" s="26" t="s">
        <v>25</v>
      </c>
      <c r="J73" s="26" t="s">
        <v>25</v>
      </c>
      <c r="K73" s="26" t="s">
        <v>25</v>
      </c>
      <c r="L73" s="26"/>
      <c r="M73" s="26" t="s">
        <v>25</v>
      </c>
      <c r="N73" s="26" t="s">
        <v>25</v>
      </c>
      <c r="O73" s="26"/>
    </row>
    <row r="74" ht="15.75" customHeight="1">
      <c r="A74" s="47"/>
      <c r="B74" s="29">
        <v>70.0</v>
      </c>
      <c r="C74" s="30" t="s">
        <v>170</v>
      </c>
      <c r="D74" s="30" t="s">
        <v>171</v>
      </c>
      <c r="E74" s="70" t="str">
        <f t="shared" si="2"/>
        <v>9번 중 9번 참여</v>
      </c>
      <c r="F74" s="71">
        <f t="shared" si="3"/>
        <v>1</v>
      </c>
      <c r="G74" s="26" t="s">
        <v>25</v>
      </c>
      <c r="H74" s="26" t="s">
        <v>25</v>
      </c>
      <c r="I74" s="26" t="s">
        <v>25</v>
      </c>
      <c r="J74" s="26" t="s">
        <v>25</v>
      </c>
      <c r="K74" s="26" t="s">
        <v>25</v>
      </c>
      <c r="L74" s="26" t="s">
        <v>25</v>
      </c>
      <c r="M74" s="26" t="s">
        <v>25</v>
      </c>
      <c r="N74" s="26" t="s">
        <v>25</v>
      </c>
      <c r="O74" s="26" t="s">
        <v>25</v>
      </c>
    </row>
    <row r="75" ht="15.75" customHeight="1">
      <c r="A75" s="68"/>
      <c r="B75" s="21">
        <v>71.0</v>
      </c>
      <c r="C75" s="22" t="s">
        <v>172</v>
      </c>
      <c r="D75" s="74" t="s">
        <v>173</v>
      </c>
      <c r="E75" s="70" t="str">
        <f t="shared" si="2"/>
        <v>9번 중 9번 참여</v>
      </c>
      <c r="F75" s="71">
        <f t="shared" si="3"/>
        <v>1</v>
      </c>
      <c r="G75" s="26" t="s">
        <v>25</v>
      </c>
      <c r="H75" s="26" t="s">
        <v>25</v>
      </c>
      <c r="I75" s="26" t="s">
        <v>25</v>
      </c>
      <c r="J75" s="26" t="s">
        <v>25</v>
      </c>
      <c r="K75" s="26" t="s">
        <v>25</v>
      </c>
      <c r="L75" s="26" t="s">
        <v>25</v>
      </c>
      <c r="M75" s="26" t="s">
        <v>25</v>
      </c>
      <c r="N75" s="26" t="s">
        <v>25</v>
      </c>
      <c r="O75" s="26" t="s">
        <v>25</v>
      </c>
    </row>
    <row r="76" ht="15.75" customHeight="1">
      <c r="A76" s="47"/>
      <c r="B76" s="29">
        <v>72.0</v>
      </c>
      <c r="C76" s="30" t="s">
        <v>174</v>
      </c>
      <c r="D76" s="78" t="s">
        <v>175</v>
      </c>
      <c r="E76" s="70" t="str">
        <f t="shared" si="2"/>
        <v>9번 중 5번 참여</v>
      </c>
      <c r="F76" s="71">
        <f t="shared" si="3"/>
        <v>0.5555555556</v>
      </c>
      <c r="G76" s="26"/>
      <c r="H76" s="26" t="s">
        <v>25</v>
      </c>
      <c r="I76" s="26" t="s">
        <v>25</v>
      </c>
      <c r="J76" s="26" t="s">
        <v>25</v>
      </c>
      <c r="K76" s="26" t="s">
        <v>25</v>
      </c>
      <c r="L76" s="26"/>
      <c r="M76" s="26"/>
      <c r="N76" s="26"/>
      <c r="O76" s="26" t="s">
        <v>25</v>
      </c>
    </row>
    <row r="77" ht="15.75" customHeight="1">
      <c r="A77" s="68"/>
      <c r="B77" s="21">
        <v>73.0</v>
      </c>
      <c r="C77" s="39" t="s">
        <v>176</v>
      </c>
      <c r="D77" s="79" t="s">
        <v>177</v>
      </c>
      <c r="E77" s="70" t="str">
        <f t="shared" si="2"/>
        <v>9번 중 8번 참여</v>
      </c>
      <c r="F77" s="71">
        <f t="shared" si="3"/>
        <v>0.8888888889</v>
      </c>
      <c r="G77" s="26" t="s">
        <v>25</v>
      </c>
      <c r="H77" s="26" t="s">
        <v>25</v>
      </c>
      <c r="I77" s="26" t="s">
        <v>25</v>
      </c>
      <c r="J77" s="26" t="s">
        <v>25</v>
      </c>
      <c r="K77" s="26" t="s">
        <v>25</v>
      </c>
      <c r="L77" s="26" t="s">
        <v>25</v>
      </c>
      <c r="M77" s="26" t="s">
        <v>25</v>
      </c>
      <c r="N77" s="26" t="s">
        <v>25</v>
      </c>
      <c r="O77" s="26"/>
    </row>
    <row r="78" ht="15.75" customHeight="1">
      <c r="A78" s="47"/>
      <c r="B78" s="29">
        <v>74.0</v>
      </c>
      <c r="C78" s="30" t="s">
        <v>178</v>
      </c>
      <c r="D78" s="72" t="s">
        <v>179</v>
      </c>
      <c r="E78" s="70" t="str">
        <f t="shared" si="2"/>
        <v>9번 중 9번 참여</v>
      </c>
      <c r="F78" s="71">
        <f t="shared" si="3"/>
        <v>1</v>
      </c>
      <c r="G78" s="26" t="s">
        <v>25</v>
      </c>
      <c r="H78" s="26" t="s">
        <v>25</v>
      </c>
      <c r="I78" s="26" t="s">
        <v>25</v>
      </c>
      <c r="J78" s="26" t="s">
        <v>25</v>
      </c>
      <c r="K78" s="26" t="s">
        <v>25</v>
      </c>
      <c r="L78" s="26" t="s">
        <v>25</v>
      </c>
      <c r="M78" s="26" t="s">
        <v>25</v>
      </c>
      <c r="N78" s="26" t="s">
        <v>25</v>
      </c>
      <c r="O78" s="26" t="s">
        <v>25</v>
      </c>
    </row>
    <row r="79" ht="15.75" customHeight="1">
      <c r="A79" s="68"/>
      <c r="B79" s="21">
        <v>75.0</v>
      </c>
      <c r="C79" s="22" t="s">
        <v>180</v>
      </c>
      <c r="D79" s="74" t="s">
        <v>181</v>
      </c>
      <c r="E79" s="70" t="str">
        <f t="shared" si="2"/>
        <v>9번 중 9번 참여</v>
      </c>
      <c r="F79" s="71">
        <f t="shared" si="3"/>
        <v>1</v>
      </c>
      <c r="G79" s="26" t="s">
        <v>25</v>
      </c>
      <c r="H79" s="26" t="s">
        <v>25</v>
      </c>
      <c r="I79" s="26" t="s">
        <v>25</v>
      </c>
      <c r="J79" s="26" t="s">
        <v>25</v>
      </c>
      <c r="K79" s="26" t="s">
        <v>25</v>
      </c>
      <c r="L79" s="26" t="s">
        <v>25</v>
      </c>
      <c r="M79" s="26" t="s">
        <v>25</v>
      </c>
      <c r="N79" s="26" t="s">
        <v>25</v>
      </c>
      <c r="O79" s="26" t="s">
        <v>25</v>
      </c>
    </row>
    <row r="80" ht="15.75" customHeight="1">
      <c r="A80" s="47"/>
      <c r="B80" s="29">
        <v>76.0</v>
      </c>
      <c r="C80" s="86" t="s">
        <v>207</v>
      </c>
      <c r="D80" s="44" t="s">
        <v>208</v>
      </c>
      <c r="E80" s="70" t="str">
        <f t="shared" si="2"/>
        <v>9번 중 5번 참여</v>
      </c>
      <c r="F80" s="71">
        <f t="shared" si="3"/>
        <v>0.5555555556</v>
      </c>
      <c r="G80" s="26" t="s">
        <v>25</v>
      </c>
      <c r="H80" s="26"/>
      <c r="I80" s="26" t="s">
        <v>25</v>
      </c>
      <c r="J80" s="26"/>
      <c r="K80" s="26" t="s">
        <v>25</v>
      </c>
      <c r="L80" s="26"/>
      <c r="M80" s="26" t="s">
        <v>25</v>
      </c>
      <c r="N80" s="26" t="s">
        <v>25</v>
      </c>
      <c r="O80" s="26"/>
    </row>
    <row r="81" ht="15.75" customHeight="1">
      <c r="A81" s="68"/>
      <c r="B81" s="21">
        <v>77.0</v>
      </c>
      <c r="C81" s="43" t="s">
        <v>182</v>
      </c>
      <c r="D81" s="87" t="s">
        <v>183</v>
      </c>
      <c r="E81" s="70" t="str">
        <f t="shared" si="2"/>
        <v>9번 중 7번 참여</v>
      </c>
      <c r="F81" s="71">
        <f t="shared" si="3"/>
        <v>0.7777777778</v>
      </c>
      <c r="G81" s="26" t="s">
        <v>25</v>
      </c>
      <c r="H81" s="26" t="s">
        <v>25</v>
      </c>
      <c r="I81" s="26"/>
      <c r="J81" s="26" t="s">
        <v>25</v>
      </c>
      <c r="K81" s="26" t="s">
        <v>25</v>
      </c>
      <c r="L81" s="26" t="s">
        <v>25</v>
      </c>
      <c r="M81" s="26" t="s">
        <v>25</v>
      </c>
      <c r="N81" s="26" t="s">
        <v>25</v>
      </c>
      <c r="O81" s="26"/>
    </row>
    <row r="82" ht="15.75" customHeight="1">
      <c r="A82" s="47"/>
      <c r="B82" s="29">
        <v>78.0</v>
      </c>
      <c r="C82" s="30" t="s">
        <v>184</v>
      </c>
      <c r="D82" s="30" t="s">
        <v>185</v>
      </c>
      <c r="E82" s="70" t="str">
        <f t="shared" si="2"/>
        <v>9번 중 8번 참여</v>
      </c>
      <c r="F82" s="71">
        <f t="shared" si="3"/>
        <v>0.8888888889</v>
      </c>
      <c r="G82" s="26" t="s">
        <v>25</v>
      </c>
      <c r="H82" s="26" t="s">
        <v>25</v>
      </c>
      <c r="I82" s="26" t="s">
        <v>25</v>
      </c>
      <c r="J82" s="26" t="s">
        <v>25</v>
      </c>
      <c r="K82" s="26" t="s">
        <v>25</v>
      </c>
      <c r="L82" s="26" t="s">
        <v>25</v>
      </c>
      <c r="M82" s="26" t="s">
        <v>25</v>
      </c>
      <c r="N82" s="26" t="s">
        <v>25</v>
      </c>
      <c r="O82" s="26"/>
    </row>
    <row r="83" ht="15.75" customHeight="1">
      <c r="A83" s="68"/>
      <c r="B83" s="21">
        <v>79.0</v>
      </c>
      <c r="C83" s="22" t="s">
        <v>128</v>
      </c>
      <c r="D83" s="74" t="s">
        <v>129</v>
      </c>
      <c r="E83" s="70" t="str">
        <f t="shared" si="2"/>
        <v>9번 중 9번 참여</v>
      </c>
      <c r="F83" s="71">
        <f t="shared" si="3"/>
        <v>1</v>
      </c>
      <c r="G83" s="26" t="s">
        <v>25</v>
      </c>
      <c r="H83" s="26" t="s">
        <v>25</v>
      </c>
      <c r="I83" s="26" t="s">
        <v>25</v>
      </c>
      <c r="J83" s="26" t="s">
        <v>25</v>
      </c>
      <c r="K83" s="26" t="s">
        <v>25</v>
      </c>
      <c r="L83" s="26" t="s">
        <v>25</v>
      </c>
      <c r="M83" s="26" t="s">
        <v>25</v>
      </c>
      <c r="N83" s="26" t="s">
        <v>25</v>
      </c>
      <c r="O83" s="26" t="s">
        <v>25</v>
      </c>
    </row>
    <row r="84" ht="15.75" customHeight="1">
      <c r="A84" s="47"/>
      <c r="B84" s="29">
        <v>80.0</v>
      </c>
      <c r="C84" s="22" t="s">
        <v>124</v>
      </c>
      <c r="D84" s="22" t="s">
        <v>125</v>
      </c>
      <c r="E84" s="70" t="str">
        <f t="shared" si="2"/>
        <v>9번 중 9번 참여</v>
      </c>
      <c r="F84" s="71">
        <f t="shared" si="3"/>
        <v>1</v>
      </c>
      <c r="G84" s="26" t="s">
        <v>25</v>
      </c>
      <c r="H84" s="26" t="s">
        <v>25</v>
      </c>
      <c r="I84" s="26" t="s">
        <v>25</v>
      </c>
      <c r="J84" s="26" t="s">
        <v>25</v>
      </c>
      <c r="K84" s="26" t="s">
        <v>25</v>
      </c>
      <c r="L84" s="26" t="s">
        <v>25</v>
      </c>
      <c r="M84" s="26" t="s">
        <v>25</v>
      </c>
      <c r="N84" s="26" t="s">
        <v>25</v>
      </c>
      <c r="O84" s="26" t="s">
        <v>25</v>
      </c>
    </row>
    <row r="85" ht="15.75" customHeight="1">
      <c r="A85" s="68"/>
      <c r="B85" s="21">
        <v>81.0</v>
      </c>
      <c r="C85" s="82" t="s">
        <v>115</v>
      </c>
      <c r="D85" s="83" t="s">
        <v>116</v>
      </c>
      <c r="E85" s="70" t="str">
        <f t="shared" si="2"/>
        <v>9번 중 3번 참여</v>
      </c>
      <c r="F85" s="71">
        <f t="shared" si="3"/>
        <v>0.3333333333</v>
      </c>
      <c r="G85" s="26"/>
      <c r="H85" s="26" t="s">
        <v>25</v>
      </c>
      <c r="I85" s="26" t="s">
        <v>25</v>
      </c>
      <c r="J85" s="26"/>
      <c r="K85" s="26" t="s">
        <v>25</v>
      </c>
      <c r="L85" s="26"/>
      <c r="M85" s="26"/>
      <c r="N85" s="26"/>
      <c r="O85" s="26"/>
    </row>
    <row r="86" ht="15.75" customHeight="1">
      <c r="A86" s="47"/>
      <c r="B86" s="29">
        <v>82.0</v>
      </c>
      <c r="C86" s="30" t="s">
        <v>122</v>
      </c>
      <c r="D86" s="78" t="s">
        <v>123</v>
      </c>
      <c r="E86" s="70" t="str">
        <f t="shared" si="2"/>
        <v/>
      </c>
      <c r="F86" s="71" t="str">
        <f t="shared" si="3"/>
        <v/>
      </c>
      <c r="G86" s="26"/>
      <c r="H86" s="26"/>
      <c r="I86" s="26"/>
      <c r="J86" s="26"/>
      <c r="K86" s="26"/>
      <c r="L86" s="26"/>
      <c r="M86" s="26"/>
      <c r="N86" s="26"/>
      <c r="O86" s="26"/>
    </row>
    <row r="87" ht="15.75" customHeight="1">
      <c r="A87" s="68"/>
      <c r="B87" s="21">
        <v>83.0</v>
      </c>
      <c r="C87" s="22"/>
      <c r="D87" s="74"/>
      <c r="E87" s="70" t="str">
        <f t="shared" si="2"/>
        <v/>
      </c>
      <c r="F87" s="71" t="str">
        <f t="shared" si="3"/>
        <v/>
      </c>
      <c r="G87" s="26"/>
      <c r="H87" s="26"/>
      <c r="I87" s="26"/>
      <c r="J87" s="26"/>
      <c r="K87" s="26"/>
      <c r="L87" s="26"/>
      <c r="M87" s="26"/>
      <c r="N87" s="26"/>
      <c r="O87" s="26"/>
    </row>
    <row r="88" ht="15.75" customHeight="1">
      <c r="A88" s="47"/>
      <c r="B88" s="29">
        <v>84.0</v>
      </c>
      <c r="C88" s="30"/>
      <c r="D88" s="72"/>
      <c r="E88" s="70" t="str">
        <f t="shared" si="2"/>
        <v/>
      </c>
      <c r="F88" s="71" t="str">
        <f t="shared" si="3"/>
        <v/>
      </c>
      <c r="G88" s="26"/>
      <c r="H88" s="26"/>
      <c r="I88" s="26"/>
      <c r="J88" s="26"/>
      <c r="K88" s="26"/>
      <c r="L88" s="26"/>
      <c r="M88" s="26"/>
      <c r="N88" s="26"/>
      <c r="O88" s="26"/>
    </row>
    <row r="89" ht="15.75" customHeight="1">
      <c r="A89" s="68"/>
      <c r="B89" s="21">
        <v>85.0</v>
      </c>
      <c r="C89" s="39"/>
      <c r="D89" s="79"/>
      <c r="E89" s="70" t="str">
        <f t="shared" si="2"/>
        <v/>
      </c>
      <c r="F89" s="71" t="str">
        <f t="shared" si="3"/>
        <v/>
      </c>
      <c r="G89" s="26"/>
      <c r="H89" s="26"/>
      <c r="I89" s="26"/>
      <c r="J89" s="26"/>
      <c r="K89" s="26"/>
      <c r="L89" s="26"/>
      <c r="M89" s="26"/>
      <c r="N89" s="26"/>
      <c r="O89" s="26"/>
    </row>
    <row r="90" ht="15.75" customHeight="1">
      <c r="A90" s="47"/>
      <c r="B90" s="29">
        <v>86.0</v>
      </c>
      <c r="C90" s="30"/>
      <c r="D90" s="72"/>
      <c r="E90" s="70" t="str">
        <f t="shared" si="2"/>
        <v/>
      </c>
      <c r="F90" s="71" t="str">
        <f t="shared" si="3"/>
        <v/>
      </c>
      <c r="G90" s="26"/>
      <c r="H90" s="26"/>
      <c r="I90" s="26"/>
      <c r="J90" s="26"/>
      <c r="K90" s="26"/>
      <c r="L90" s="26"/>
      <c r="M90" s="26"/>
      <c r="N90" s="26"/>
      <c r="O90" s="26"/>
    </row>
    <row r="91" ht="15.75" customHeight="1">
      <c r="A91" s="68"/>
      <c r="B91" s="21">
        <v>87.0</v>
      </c>
      <c r="C91" s="22"/>
      <c r="D91" s="74"/>
      <c r="E91" s="70" t="str">
        <f t="shared" si="2"/>
        <v/>
      </c>
      <c r="F91" s="71" t="str">
        <f t="shared" si="3"/>
        <v/>
      </c>
      <c r="G91" s="26"/>
      <c r="H91" s="26"/>
      <c r="I91" s="26"/>
      <c r="J91" s="26"/>
      <c r="K91" s="26"/>
      <c r="L91" s="26"/>
      <c r="M91" s="26"/>
      <c r="N91" s="26"/>
      <c r="O91" s="26"/>
    </row>
    <row r="92" ht="15.75" customHeight="1">
      <c r="A92" s="47"/>
      <c r="B92" s="29">
        <v>88.0</v>
      </c>
      <c r="C92" s="44"/>
      <c r="D92" s="100"/>
      <c r="E92" s="70" t="str">
        <f t="shared" si="2"/>
        <v/>
      </c>
      <c r="F92" s="71" t="str">
        <f t="shared" si="3"/>
        <v/>
      </c>
      <c r="G92" s="26"/>
      <c r="H92" s="26"/>
      <c r="I92" s="26"/>
      <c r="J92" s="26"/>
      <c r="K92" s="26"/>
      <c r="L92" s="26"/>
      <c r="M92" s="26"/>
      <c r="N92" s="26"/>
      <c r="O92" s="26"/>
    </row>
    <row r="93" ht="15.75" customHeight="1">
      <c r="A93" s="68"/>
      <c r="B93" s="21">
        <v>89.0</v>
      </c>
      <c r="C93" s="43"/>
      <c r="D93" s="101"/>
      <c r="E93" s="70" t="str">
        <f t="shared" si="2"/>
        <v/>
      </c>
      <c r="F93" s="71" t="str">
        <f t="shared" si="3"/>
        <v/>
      </c>
      <c r="G93" s="26"/>
      <c r="H93" s="26"/>
      <c r="I93" s="26"/>
      <c r="J93" s="26"/>
      <c r="K93" s="26"/>
      <c r="L93" s="26"/>
      <c r="M93" s="26"/>
      <c r="N93" s="26"/>
      <c r="O93" s="26"/>
    </row>
    <row r="94" ht="15.75" customHeight="1">
      <c r="A94" s="47"/>
      <c r="B94" s="29">
        <v>90.0</v>
      </c>
      <c r="C94" s="86"/>
      <c r="D94" s="44"/>
      <c r="E94" s="70" t="str">
        <f t="shared" si="2"/>
        <v/>
      </c>
      <c r="F94" s="71" t="str">
        <f t="shared" si="3"/>
        <v/>
      </c>
      <c r="G94" s="26"/>
      <c r="H94" s="26"/>
      <c r="I94" s="26"/>
      <c r="J94" s="26"/>
      <c r="K94" s="26"/>
      <c r="L94" s="26"/>
      <c r="M94" s="26"/>
      <c r="N94" s="26"/>
      <c r="O94" s="26"/>
    </row>
    <row r="95" ht="15.75" customHeight="1">
      <c r="A95" s="68"/>
      <c r="B95" s="21">
        <v>91.0</v>
      </c>
      <c r="C95" s="43"/>
      <c r="D95" s="87"/>
      <c r="E95" s="70" t="str">
        <f t="shared" si="2"/>
        <v/>
      </c>
      <c r="F95" s="71" t="str">
        <f t="shared" si="3"/>
        <v/>
      </c>
      <c r="G95" s="26"/>
      <c r="H95" s="26"/>
      <c r="I95" s="26"/>
      <c r="J95" s="26"/>
      <c r="K95" s="26"/>
      <c r="L95" s="26"/>
      <c r="M95" s="26"/>
      <c r="N95" s="26"/>
      <c r="O95" s="26"/>
    </row>
    <row r="96" ht="15.75" customHeight="1">
      <c r="A96" s="47"/>
      <c r="B96" s="29">
        <v>92.0</v>
      </c>
      <c r="C96" s="35"/>
      <c r="D96" s="35"/>
      <c r="E96" s="70" t="str">
        <f t="shared" si="2"/>
        <v/>
      </c>
      <c r="F96" s="71" t="str">
        <f t="shared" si="3"/>
        <v/>
      </c>
      <c r="G96" s="26"/>
      <c r="H96" s="26"/>
      <c r="I96" s="26"/>
      <c r="J96" s="26"/>
      <c r="K96" s="26"/>
      <c r="L96" s="26"/>
      <c r="M96" s="26"/>
      <c r="N96" s="26"/>
      <c r="O96" s="26"/>
    </row>
    <row r="97" ht="15.75" customHeight="1">
      <c r="A97" s="68"/>
      <c r="B97" s="21">
        <v>93.0</v>
      </c>
      <c r="C97" s="33"/>
      <c r="D97" s="33"/>
      <c r="E97" s="70" t="str">
        <f t="shared" si="2"/>
        <v/>
      </c>
      <c r="F97" s="71" t="str">
        <f t="shared" si="3"/>
        <v/>
      </c>
      <c r="G97" s="26"/>
      <c r="H97" s="26"/>
      <c r="I97" s="26"/>
      <c r="J97" s="26"/>
      <c r="K97" s="26"/>
      <c r="L97" s="26"/>
      <c r="M97" s="26"/>
      <c r="N97" s="26"/>
      <c r="O97" s="26"/>
    </row>
    <row r="98" ht="15.75" customHeight="1">
      <c r="A98" s="47"/>
      <c r="B98" s="29">
        <v>94.0</v>
      </c>
      <c r="C98" s="35"/>
      <c r="D98" s="35"/>
      <c r="E98" s="70" t="str">
        <f t="shared" si="2"/>
        <v/>
      </c>
      <c r="F98" s="71" t="str">
        <f t="shared" si="3"/>
        <v/>
      </c>
      <c r="G98" s="26"/>
      <c r="H98" s="26"/>
      <c r="I98" s="26"/>
      <c r="J98" s="26"/>
      <c r="K98" s="26"/>
      <c r="L98" s="26"/>
      <c r="M98" s="26"/>
      <c r="N98" s="26"/>
      <c r="O98" s="26"/>
    </row>
    <row r="99" ht="15.75" customHeight="1">
      <c r="A99" s="68"/>
      <c r="B99" s="21">
        <v>95.0</v>
      </c>
      <c r="C99" s="33"/>
      <c r="D99" s="33"/>
      <c r="E99" s="70" t="str">
        <f t="shared" si="2"/>
        <v/>
      </c>
      <c r="F99" s="71" t="str">
        <f t="shared" si="3"/>
        <v/>
      </c>
      <c r="G99" s="26"/>
      <c r="H99" s="26"/>
      <c r="I99" s="26"/>
      <c r="J99" s="26"/>
      <c r="K99" s="26"/>
      <c r="L99" s="26"/>
      <c r="M99" s="26"/>
      <c r="N99" s="26"/>
      <c r="O99" s="26"/>
    </row>
    <row r="100" ht="15.75" customHeight="1">
      <c r="A100" s="47"/>
      <c r="B100" s="29">
        <v>96.0</v>
      </c>
      <c r="C100" s="35"/>
      <c r="D100" s="35"/>
      <c r="E100" s="70" t="str">
        <f t="shared" si="2"/>
        <v/>
      </c>
      <c r="F100" s="71" t="str">
        <f t="shared" si="3"/>
        <v/>
      </c>
      <c r="G100" s="26"/>
      <c r="H100" s="26"/>
      <c r="I100" s="26"/>
      <c r="J100" s="26"/>
      <c r="K100" s="26"/>
      <c r="L100" s="26"/>
      <c r="M100" s="26"/>
      <c r="N100" s="26"/>
      <c r="O100" s="26"/>
    </row>
    <row r="101" ht="15.75" customHeight="1">
      <c r="A101" s="68"/>
      <c r="B101" s="21">
        <v>97.0</v>
      </c>
      <c r="C101" s="33"/>
      <c r="D101" s="33"/>
      <c r="E101" s="70" t="str">
        <f t="shared" si="2"/>
        <v/>
      </c>
      <c r="F101" s="71" t="str">
        <f t="shared" si="3"/>
        <v/>
      </c>
      <c r="G101" s="26"/>
      <c r="H101" s="26"/>
      <c r="I101" s="26"/>
      <c r="J101" s="26"/>
      <c r="K101" s="26"/>
      <c r="L101" s="26"/>
      <c r="M101" s="26"/>
      <c r="N101" s="26"/>
      <c r="O101" s="26"/>
    </row>
    <row r="102" ht="15.75" customHeight="1">
      <c r="A102" s="47"/>
      <c r="B102" s="29">
        <v>98.0</v>
      </c>
      <c r="C102" s="35"/>
      <c r="D102" s="35"/>
      <c r="E102" s="70" t="str">
        <f t="shared" si="2"/>
        <v/>
      </c>
      <c r="F102" s="71" t="str">
        <f t="shared" si="3"/>
        <v/>
      </c>
      <c r="G102" s="26"/>
      <c r="H102" s="26"/>
      <c r="I102" s="26"/>
      <c r="J102" s="26"/>
      <c r="K102" s="26"/>
      <c r="L102" s="26"/>
      <c r="M102" s="26"/>
      <c r="N102" s="26"/>
      <c r="O102" s="26"/>
    </row>
    <row r="103" ht="15.75" customHeight="1">
      <c r="A103" s="68"/>
      <c r="B103" s="21">
        <v>99.0</v>
      </c>
      <c r="C103" s="33"/>
      <c r="D103" s="33"/>
      <c r="E103" s="70" t="str">
        <f t="shared" si="2"/>
        <v/>
      </c>
      <c r="F103" s="71" t="str">
        <f t="shared" si="3"/>
        <v/>
      </c>
      <c r="G103" s="26"/>
      <c r="H103" s="26"/>
      <c r="I103" s="26"/>
      <c r="J103" s="26"/>
      <c r="K103" s="26"/>
      <c r="L103" s="26"/>
      <c r="M103" s="26"/>
      <c r="N103" s="26"/>
      <c r="O103" s="26"/>
    </row>
    <row r="104" ht="15.75" customHeight="1">
      <c r="A104" s="47"/>
      <c r="B104" s="29">
        <v>100.0</v>
      </c>
      <c r="C104" s="35"/>
      <c r="D104" s="35"/>
      <c r="E104" s="70" t="str">
        <f t="shared" si="2"/>
        <v/>
      </c>
      <c r="F104" s="71" t="str">
        <f t="shared" si="3"/>
        <v/>
      </c>
      <c r="G104" s="26"/>
      <c r="H104" s="26"/>
      <c r="I104" s="26"/>
      <c r="J104" s="26"/>
      <c r="K104" s="26"/>
      <c r="L104" s="26"/>
      <c r="M104" s="26"/>
      <c r="N104" s="26"/>
      <c r="O104" s="26"/>
    </row>
    <row r="105" ht="15.75" customHeight="1">
      <c r="A105" s="68"/>
      <c r="B105" s="21">
        <v>101.0</v>
      </c>
      <c r="C105" s="33"/>
      <c r="D105" s="33"/>
      <c r="E105" s="70" t="str">
        <f t="shared" si="2"/>
        <v/>
      </c>
      <c r="F105" s="71" t="str">
        <f t="shared" si="3"/>
        <v/>
      </c>
      <c r="G105" s="26"/>
      <c r="H105" s="26"/>
      <c r="I105" s="26"/>
      <c r="J105" s="26"/>
      <c r="K105" s="26"/>
      <c r="L105" s="26"/>
      <c r="M105" s="26"/>
      <c r="N105" s="26"/>
      <c r="O105" s="26"/>
    </row>
    <row r="106" ht="15.75" customHeight="1">
      <c r="A106" s="47"/>
      <c r="B106" s="29">
        <v>102.0</v>
      </c>
      <c r="C106" s="35"/>
      <c r="D106" s="35"/>
      <c r="E106" s="70" t="str">
        <f t="shared" si="2"/>
        <v/>
      </c>
      <c r="F106" s="71" t="str">
        <f t="shared" si="3"/>
        <v/>
      </c>
      <c r="G106" s="26"/>
      <c r="H106" s="26"/>
      <c r="I106" s="26"/>
      <c r="J106" s="26"/>
      <c r="K106" s="26"/>
      <c r="L106" s="26"/>
      <c r="M106" s="26"/>
      <c r="N106" s="26"/>
      <c r="O106" s="26"/>
    </row>
    <row r="107" ht="15.75" customHeight="1">
      <c r="A107" s="68"/>
      <c r="B107" s="21">
        <v>103.0</v>
      </c>
      <c r="C107" s="33"/>
      <c r="D107" s="33"/>
      <c r="E107" s="70" t="str">
        <f t="shared" si="2"/>
        <v/>
      </c>
      <c r="F107" s="71" t="str">
        <f t="shared" si="3"/>
        <v/>
      </c>
      <c r="G107" s="26"/>
      <c r="H107" s="26"/>
      <c r="I107" s="26"/>
      <c r="J107" s="26"/>
      <c r="K107" s="26"/>
      <c r="L107" s="26"/>
      <c r="M107" s="26"/>
      <c r="N107" s="26"/>
      <c r="O107" s="26"/>
    </row>
    <row r="108" ht="15.75" customHeight="1">
      <c r="A108" s="47"/>
      <c r="B108" s="29">
        <v>104.0</v>
      </c>
      <c r="C108" s="35"/>
      <c r="D108" s="35"/>
      <c r="E108" s="70" t="str">
        <f t="shared" si="2"/>
        <v/>
      </c>
      <c r="F108" s="71" t="str">
        <f t="shared" si="3"/>
        <v/>
      </c>
      <c r="G108" s="26"/>
      <c r="H108" s="26"/>
      <c r="I108" s="26"/>
      <c r="J108" s="26"/>
      <c r="K108" s="26"/>
      <c r="L108" s="26"/>
      <c r="M108" s="26"/>
      <c r="N108" s="26"/>
      <c r="O108" s="26"/>
    </row>
    <row r="109" ht="15.75" customHeight="1">
      <c r="A109" s="68"/>
      <c r="B109" s="21">
        <v>105.0</v>
      </c>
      <c r="C109" s="33"/>
      <c r="D109" s="33"/>
      <c r="E109" s="70" t="str">
        <f t="shared" si="2"/>
        <v/>
      </c>
      <c r="F109" s="71" t="str">
        <f t="shared" si="3"/>
        <v/>
      </c>
      <c r="G109" s="26"/>
      <c r="H109" s="26"/>
      <c r="I109" s="26"/>
      <c r="J109" s="26"/>
      <c r="K109" s="26"/>
      <c r="L109" s="26"/>
      <c r="M109" s="26"/>
      <c r="N109" s="26"/>
      <c r="O109" s="26"/>
    </row>
    <row r="110" ht="15.75" customHeight="1">
      <c r="A110" s="47"/>
      <c r="B110" s="29">
        <v>106.0</v>
      </c>
      <c r="C110" s="35"/>
      <c r="D110" s="35"/>
      <c r="E110" s="70" t="str">
        <f t="shared" si="2"/>
        <v/>
      </c>
      <c r="F110" s="71" t="str">
        <f t="shared" si="3"/>
        <v/>
      </c>
      <c r="G110" s="26"/>
      <c r="H110" s="26"/>
      <c r="I110" s="26"/>
      <c r="J110" s="26"/>
      <c r="K110" s="26"/>
      <c r="L110" s="26"/>
      <c r="M110" s="26"/>
      <c r="N110" s="26"/>
      <c r="O110" s="26"/>
    </row>
    <row r="111" ht="15.75" customHeight="1">
      <c r="A111" s="68"/>
      <c r="B111" s="21">
        <v>107.0</v>
      </c>
      <c r="C111" s="33"/>
      <c r="D111" s="33"/>
      <c r="E111" s="70" t="str">
        <f t="shared" si="2"/>
        <v/>
      </c>
      <c r="F111" s="71" t="str">
        <f t="shared" si="3"/>
        <v/>
      </c>
      <c r="G111" s="26"/>
      <c r="H111" s="26"/>
      <c r="I111" s="26"/>
      <c r="J111" s="26"/>
      <c r="K111" s="26"/>
      <c r="L111" s="26"/>
      <c r="M111" s="26"/>
      <c r="N111" s="26"/>
      <c r="O111" s="26"/>
    </row>
    <row r="112" ht="15.75" customHeight="1">
      <c r="A112" s="47"/>
      <c r="B112" s="29">
        <v>108.0</v>
      </c>
      <c r="C112" s="35"/>
      <c r="D112" s="35"/>
      <c r="E112" s="70" t="str">
        <f t="shared" si="2"/>
        <v/>
      </c>
      <c r="F112" s="71" t="str">
        <f t="shared" si="3"/>
        <v/>
      </c>
      <c r="G112" s="26"/>
      <c r="H112" s="26"/>
      <c r="I112" s="26"/>
      <c r="J112" s="26"/>
      <c r="K112" s="26"/>
      <c r="L112" s="26"/>
      <c r="M112" s="26"/>
      <c r="N112" s="26"/>
      <c r="O112" s="26"/>
    </row>
    <row r="113" ht="15.75" customHeight="1">
      <c r="A113" s="68"/>
      <c r="B113" s="21">
        <v>109.0</v>
      </c>
      <c r="C113" s="33"/>
      <c r="D113" s="33"/>
      <c r="E113" s="70" t="str">
        <f t="shared" si="2"/>
        <v/>
      </c>
      <c r="F113" s="71" t="str">
        <f t="shared" si="3"/>
        <v/>
      </c>
      <c r="G113" s="26"/>
      <c r="H113" s="26"/>
      <c r="I113" s="26"/>
      <c r="J113" s="26"/>
      <c r="K113" s="26"/>
      <c r="L113" s="26"/>
      <c r="M113" s="26"/>
      <c r="N113" s="26"/>
      <c r="O113" s="26"/>
    </row>
    <row r="114" ht="15.75" customHeight="1">
      <c r="A114" s="47"/>
      <c r="B114" s="29">
        <v>110.0</v>
      </c>
      <c r="C114" s="35"/>
      <c r="D114" s="35"/>
      <c r="E114" s="70" t="str">
        <f t="shared" si="2"/>
        <v/>
      </c>
      <c r="F114" s="71" t="str">
        <f t="shared" si="3"/>
        <v/>
      </c>
      <c r="G114" s="26"/>
      <c r="H114" s="26"/>
      <c r="I114" s="26"/>
      <c r="J114" s="26"/>
      <c r="K114" s="26"/>
      <c r="L114" s="26"/>
      <c r="M114" s="26"/>
      <c r="N114" s="26"/>
      <c r="O114" s="26"/>
    </row>
    <row r="115" ht="15.75" customHeight="1">
      <c r="A115" s="68"/>
      <c r="B115" s="21">
        <v>111.0</v>
      </c>
      <c r="C115" s="33"/>
      <c r="D115" s="33"/>
      <c r="E115" s="70" t="str">
        <f t="shared" si="2"/>
        <v/>
      </c>
      <c r="F115" s="71" t="str">
        <f t="shared" si="3"/>
        <v/>
      </c>
      <c r="G115" s="26"/>
      <c r="H115" s="26"/>
      <c r="I115" s="26"/>
      <c r="J115" s="26"/>
      <c r="K115" s="26"/>
      <c r="L115" s="26"/>
      <c r="M115" s="26"/>
      <c r="N115" s="26"/>
      <c r="O115" s="26"/>
    </row>
    <row r="116" ht="15.75" customHeight="1">
      <c r="A116" s="47"/>
      <c r="B116" s="29">
        <v>112.0</v>
      </c>
      <c r="C116" s="35"/>
      <c r="D116" s="35"/>
      <c r="E116" s="70" t="str">
        <f t="shared" si="2"/>
        <v/>
      </c>
      <c r="F116" s="71" t="str">
        <f t="shared" si="3"/>
        <v/>
      </c>
      <c r="G116" s="26"/>
      <c r="H116" s="26"/>
      <c r="I116" s="26"/>
      <c r="J116" s="26"/>
      <c r="K116" s="26"/>
      <c r="L116" s="26"/>
      <c r="M116" s="26"/>
      <c r="N116" s="26"/>
      <c r="O116" s="26"/>
    </row>
    <row r="117" ht="15.75" customHeight="1">
      <c r="A117" s="68"/>
      <c r="B117" s="21">
        <v>113.0</v>
      </c>
      <c r="C117" s="33"/>
      <c r="D117" s="33"/>
      <c r="E117" s="70" t="str">
        <f t="shared" si="2"/>
        <v/>
      </c>
      <c r="F117" s="71" t="str">
        <f t="shared" si="3"/>
        <v/>
      </c>
      <c r="G117" s="26"/>
      <c r="H117" s="26"/>
      <c r="I117" s="26"/>
      <c r="J117" s="26"/>
      <c r="K117" s="26"/>
      <c r="L117" s="26"/>
      <c r="M117" s="26"/>
      <c r="N117" s="26"/>
      <c r="O117" s="26"/>
    </row>
    <row r="118" ht="15.75" customHeight="1">
      <c r="A118" s="47"/>
      <c r="B118" s="29">
        <v>114.0</v>
      </c>
      <c r="C118" s="35"/>
      <c r="D118" s="35"/>
      <c r="E118" s="70" t="str">
        <f t="shared" si="2"/>
        <v/>
      </c>
      <c r="F118" s="71" t="str">
        <f t="shared" si="3"/>
        <v/>
      </c>
      <c r="G118" s="26"/>
      <c r="H118" s="26"/>
      <c r="I118" s="26"/>
      <c r="J118" s="26"/>
      <c r="K118" s="26"/>
      <c r="L118" s="26"/>
      <c r="M118" s="26"/>
      <c r="N118" s="26"/>
      <c r="O118" s="26"/>
    </row>
    <row r="119" ht="15.75" customHeight="1">
      <c r="A119" s="68"/>
      <c r="B119" s="21">
        <v>115.0</v>
      </c>
      <c r="C119" s="33"/>
      <c r="D119" s="33"/>
      <c r="E119" s="70" t="str">
        <f t="shared" si="2"/>
        <v/>
      </c>
      <c r="F119" s="71" t="str">
        <f t="shared" si="3"/>
        <v/>
      </c>
      <c r="G119" s="26"/>
      <c r="H119" s="26"/>
      <c r="I119" s="26"/>
      <c r="J119" s="26"/>
      <c r="K119" s="26"/>
      <c r="L119" s="26"/>
      <c r="M119" s="26"/>
      <c r="N119" s="26"/>
      <c r="O119" s="26"/>
    </row>
    <row r="120" ht="15.75" customHeight="1">
      <c r="A120" s="47"/>
      <c r="B120" s="29">
        <v>116.0</v>
      </c>
      <c r="C120" s="35"/>
      <c r="D120" s="35"/>
      <c r="E120" s="70" t="str">
        <f t="shared" si="2"/>
        <v/>
      </c>
      <c r="F120" s="71" t="str">
        <f t="shared" si="3"/>
        <v/>
      </c>
      <c r="G120" s="26"/>
      <c r="H120" s="26"/>
      <c r="I120" s="26"/>
      <c r="J120" s="26"/>
      <c r="K120" s="26"/>
      <c r="L120" s="26"/>
      <c r="M120" s="26"/>
      <c r="N120" s="26"/>
      <c r="O120" s="26"/>
    </row>
    <row r="121" ht="15.75" customHeight="1">
      <c r="A121" s="68"/>
      <c r="B121" s="21">
        <v>117.0</v>
      </c>
      <c r="C121" s="33"/>
      <c r="D121" s="33"/>
      <c r="E121" s="70" t="str">
        <f t="shared" si="2"/>
        <v/>
      </c>
      <c r="F121" s="71" t="str">
        <f t="shared" si="3"/>
        <v/>
      </c>
      <c r="G121" s="26"/>
      <c r="H121" s="26"/>
      <c r="I121" s="26"/>
      <c r="J121" s="26"/>
      <c r="K121" s="26"/>
      <c r="L121" s="26"/>
      <c r="M121" s="26"/>
      <c r="N121" s="26"/>
      <c r="O121" s="26"/>
    </row>
    <row r="122" ht="15.75" customHeight="1">
      <c r="A122" s="91"/>
      <c r="B122" s="55">
        <v>118.0</v>
      </c>
      <c r="C122" s="56"/>
      <c r="D122" s="56"/>
      <c r="E122" s="92" t="str">
        <f t="shared" si="2"/>
        <v/>
      </c>
      <c r="F122" s="93" t="str">
        <f t="shared" si="3"/>
        <v/>
      </c>
      <c r="G122" s="17"/>
      <c r="H122" s="17"/>
      <c r="I122" s="17"/>
      <c r="J122" s="17"/>
      <c r="K122" s="17"/>
      <c r="L122" s="17"/>
      <c r="M122" s="17"/>
      <c r="N122" s="17"/>
      <c r="O122" s="17"/>
    </row>
    <row r="123" ht="15.75" customHeight="1">
      <c r="A123" s="91"/>
      <c r="B123" s="55">
        <v>119.0</v>
      </c>
      <c r="C123" s="56"/>
      <c r="D123" s="56"/>
      <c r="E123" s="92" t="str">
        <f t="shared" si="2"/>
        <v/>
      </c>
      <c r="F123" s="93" t="str">
        <f t="shared" si="3"/>
        <v/>
      </c>
      <c r="G123" s="17"/>
      <c r="H123" s="17"/>
      <c r="I123" s="17"/>
      <c r="J123" s="17"/>
      <c r="K123" s="17"/>
      <c r="L123" s="17"/>
      <c r="M123" s="17"/>
      <c r="N123" s="17"/>
      <c r="O123" s="17"/>
    </row>
    <row r="124" ht="15.75" customHeight="1">
      <c r="A124" s="91"/>
      <c r="B124" s="55">
        <v>120.0</v>
      </c>
      <c r="C124" s="56"/>
      <c r="D124" s="56"/>
      <c r="E124" s="92" t="str">
        <f t="shared" si="2"/>
        <v/>
      </c>
      <c r="F124" s="93" t="str">
        <f t="shared" si="3"/>
        <v/>
      </c>
      <c r="G124" s="17"/>
      <c r="H124" s="17"/>
      <c r="I124" s="17"/>
      <c r="J124" s="17"/>
      <c r="K124" s="17"/>
      <c r="L124" s="17"/>
      <c r="M124" s="17"/>
      <c r="N124" s="17"/>
      <c r="O124" s="17"/>
    </row>
    <row r="125" ht="15.75" customHeight="1">
      <c r="A125" s="13"/>
      <c r="B125" s="13"/>
      <c r="C125" s="13"/>
      <c r="D125" s="13"/>
      <c r="E125" s="13"/>
      <c r="F125" s="13"/>
      <c r="G125" s="13"/>
      <c r="H125" s="13"/>
      <c r="I125" s="13"/>
      <c r="J125" s="13"/>
      <c r="K125" s="13"/>
      <c r="L125" s="13"/>
      <c r="M125" s="13"/>
      <c r="N125" s="13"/>
      <c r="O125" s="13"/>
    </row>
    <row r="126" ht="15.75" customHeight="1">
      <c r="A126" s="13"/>
      <c r="B126" s="13"/>
      <c r="C126" s="13"/>
      <c r="D126" s="13"/>
      <c r="E126" s="13"/>
      <c r="F126" s="13"/>
      <c r="G126" s="13"/>
      <c r="H126" s="13"/>
      <c r="I126" s="13"/>
      <c r="J126" s="13"/>
      <c r="K126" s="13"/>
      <c r="L126" s="13"/>
      <c r="M126" s="13"/>
      <c r="N126" s="13"/>
      <c r="O126" s="13"/>
    </row>
    <row r="127" ht="15.75" customHeight="1">
      <c r="A127" s="13"/>
      <c r="B127" s="13"/>
      <c r="C127" s="13"/>
      <c r="D127" s="13"/>
      <c r="E127" s="13"/>
      <c r="F127" s="13"/>
      <c r="G127" s="13"/>
      <c r="H127" s="13"/>
      <c r="I127" s="13"/>
      <c r="J127" s="13"/>
      <c r="K127" s="13"/>
      <c r="L127" s="13"/>
      <c r="M127" s="13"/>
      <c r="N127" s="13"/>
      <c r="O127" s="13"/>
    </row>
    <row r="128" ht="15.75" customHeight="1">
      <c r="A128" s="13"/>
      <c r="B128" s="13"/>
      <c r="C128" s="13"/>
      <c r="D128" s="13"/>
      <c r="E128" s="13"/>
      <c r="F128" s="13"/>
      <c r="G128" s="13"/>
      <c r="H128" s="13"/>
      <c r="I128" s="13"/>
      <c r="J128" s="13"/>
      <c r="K128" s="13"/>
      <c r="L128" s="13"/>
      <c r="M128" s="13"/>
      <c r="N128" s="13"/>
      <c r="O128" s="13"/>
    </row>
    <row r="129" ht="15.75" customHeight="1">
      <c r="A129" s="13"/>
      <c r="B129" s="13"/>
      <c r="C129" s="13"/>
      <c r="D129" s="13"/>
      <c r="E129" s="13"/>
      <c r="F129" s="13"/>
      <c r="G129" s="13"/>
      <c r="H129" s="13"/>
      <c r="I129" s="13"/>
      <c r="J129" s="13"/>
      <c r="K129" s="13"/>
      <c r="L129" s="13"/>
      <c r="M129" s="13"/>
      <c r="N129" s="13"/>
      <c r="O129" s="13"/>
    </row>
    <row r="130" ht="15.75" customHeight="1">
      <c r="A130" s="13"/>
      <c r="B130" s="13"/>
      <c r="C130" s="13"/>
      <c r="D130" s="13"/>
      <c r="E130" s="13"/>
      <c r="F130" s="13"/>
      <c r="G130" s="13"/>
      <c r="H130" s="13"/>
      <c r="I130" s="13"/>
      <c r="J130" s="13"/>
      <c r="K130" s="13"/>
      <c r="L130" s="13"/>
      <c r="M130" s="13"/>
      <c r="N130" s="13"/>
      <c r="O130" s="13"/>
    </row>
    <row r="131" ht="15.75" customHeight="1">
      <c r="A131" s="13"/>
      <c r="B131" s="13"/>
      <c r="C131" s="13"/>
      <c r="D131" s="13"/>
      <c r="E131" s="13"/>
      <c r="F131" s="13"/>
      <c r="G131" s="13"/>
      <c r="H131" s="13"/>
      <c r="I131" s="13"/>
      <c r="J131" s="13"/>
      <c r="K131" s="13"/>
      <c r="L131" s="13"/>
      <c r="M131" s="13"/>
      <c r="N131" s="13"/>
      <c r="O131" s="13"/>
    </row>
    <row r="132" ht="15.75" customHeight="1">
      <c r="A132" s="13"/>
      <c r="B132" s="13"/>
      <c r="C132" s="13"/>
      <c r="D132" s="13"/>
      <c r="E132" s="13"/>
      <c r="F132" s="13"/>
      <c r="G132" s="13"/>
      <c r="H132" s="13"/>
      <c r="I132" s="13"/>
      <c r="J132" s="13"/>
      <c r="K132" s="13"/>
      <c r="L132" s="13"/>
      <c r="M132" s="13"/>
      <c r="N132" s="13"/>
      <c r="O132" s="13"/>
    </row>
    <row r="133" ht="15.75" customHeight="1">
      <c r="A133" s="13"/>
      <c r="B133" s="13"/>
      <c r="C133" s="13"/>
      <c r="D133" s="13"/>
      <c r="E133" s="13"/>
      <c r="F133" s="13"/>
      <c r="G133" s="13"/>
      <c r="H133" s="13"/>
      <c r="I133" s="13"/>
      <c r="J133" s="13"/>
      <c r="K133" s="13"/>
      <c r="L133" s="13"/>
      <c r="M133" s="13"/>
      <c r="N133" s="13"/>
      <c r="O133" s="13"/>
    </row>
    <row r="134" ht="15.75" customHeight="1">
      <c r="A134" s="13"/>
      <c r="B134" s="13"/>
      <c r="C134" s="13"/>
      <c r="D134" s="13"/>
      <c r="E134" s="13"/>
      <c r="F134" s="13"/>
      <c r="G134" s="13"/>
      <c r="H134" s="13"/>
      <c r="I134" s="13"/>
      <c r="J134" s="13"/>
      <c r="K134" s="13"/>
      <c r="L134" s="13"/>
      <c r="M134" s="13"/>
      <c r="N134" s="13"/>
      <c r="O134" s="13"/>
    </row>
    <row r="135" ht="15.75" customHeight="1">
      <c r="A135" s="13"/>
      <c r="B135" s="13"/>
      <c r="C135" s="13"/>
      <c r="D135" s="13"/>
      <c r="E135" s="13"/>
      <c r="F135" s="13"/>
      <c r="G135" s="13"/>
      <c r="H135" s="13"/>
      <c r="I135" s="13"/>
      <c r="J135" s="13"/>
      <c r="K135" s="13"/>
      <c r="L135" s="13"/>
      <c r="M135" s="13"/>
      <c r="N135" s="13"/>
      <c r="O135" s="13"/>
    </row>
    <row r="136" ht="15.75" customHeight="1">
      <c r="A136" s="13"/>
      <c r="B136" s="13"/>
      <c r="C136" s="13"/>
      <c r="D136" s="13"/>
      <c r="E136" s="13"/>
      <c r="F136" s="13"/>
      <c r="G136" s="13"/>
      <c r="H136" s="13"/>
      <c r="I136" s="13"/>
      <c r="J136" s="13"/>
      <c r="K136" s="13"/>
      <c r="L136" s="13"/>
      <c r="M136" s="13"/>
      <c r="N136" s="13"/>
      <c r="O136" s="13"/>
    </row>
    <row r="137" ht="15.75" customHeight="1">
      <c r="A137" s="13"/>
      <c r="B137" s="13"/>
      <c r="C137" s="13"/>
      <c r="D137" s="13"/>
      <c r="E137" s="13"/>
      <c r="F137" s="13"/>
      <c r="G137" s="13"/>
      <c r="H137" s="13"/>
      <c r="I137" s="13"/>
      <c r="J137" s="13"/>
      <c r="K137" s="13"/>
      <c r="L137" s="13"/>
      <c r="M137" s="13"/>
      <c r="N137" s="13"/>
      <c r="O137" s="13"/>
    </row>
    <row r="138" ht="15.75" customHeight="1">
      <c r="A138" s="13"/>
      <c r="B138" s="13"/>
      <c r="C138" s="13"/>
      <c r="D138" s="13"/>
      <c r="E138" s="13"/>
      <c r="F138" s="13"/>
      <c r="G138" s="13"/>
      <c r="H138" s="13"/>
      <c r="I138" s="13"/>
      <c r="J138" s="13"/>
      <c r="K138" s="13"/>
      <c r="L138" s="13"/>
      <c r="M138" s="13"/>
      <c r="N138" s="13"/>
      <c r="O138" s="13"/>
    </row>
    <row r="139" ht="15.75" customHeight="1">
      <c r="A139" s="13"/>
      <c r="B139" s="13"/>
      <c r="C139" s="13"/>
      <c r="D139" s="13"/>
      <c r="E139" s="13"/>
      <c r="F139" s="13"/>
      <c r="G139" s="13"/>
      <c r="H139" s="13"/>
      <c r="I139" s="13"/>
      <c r="J139" s="13"/>
      <c r="K139" s="13"/>
      <c r="L139" s="13"/>
      <c r="M139" s="13"/>
      <c r="N139" s="13"/>
      <c r="O139" s="13"/>
    </row>
    <row r="140" ht="15.75" customHeight="1">
      <c r="A140" s="13"/>
      <c r="B140" s="13"/>
      <c r="C140" s="13"/>
      <c r="D140" s="13"/>
      <c r="E140" s="13"/>
      <c r="F140" s="13"/>
      <c r="G140" s="13"/>
      <c r="H140" s="13"/>
      <c r="I140" s="13"/>
      <c r="J140" s="13"/>
      <c r="K140" s="13"/>
      <c r="L140" s="13"/>
      <c r="M140" s="13"/>
      <c r="N140" s="13"/>
      <c r="O140" s="13"/>
    </row>
    <row r="141" ht="15.75" customHeight="1">
      <c r="A141" s="13"/>
      <c r="B141" s="13"/>
      <c r="C141" s="13"/>
      <c r="D141" s="13"/>
      <c r="E141" s="13"/>
      <c r="F141" s="13"/>
      <c r="G141" s="13"/>
      <c r="H141" s="13"/>
      <c r="I141" s="13"/>
      <c r="J141" s="13"/>
      <c r="K141" s="13"/>
      <c r="L141" s="13"/>
      <c r="M141" s="13"/>
      <c r="N141" s="13"/>
      <c r="O141" s="13"/>
    </row>
    <row r="142" ht="15.75" customHeight="1">
      <c r="A142" s="13"/>
      <c r="B142" s="13"/>
      <c r="C142" s="13"/>
      <c r="D142" s="13"/>
      <c r="E142" s="13"/>
      <c r="F142" s="13"/>
      <c r="G142" s="13"/>
      <c r="H142" s="13"/>
      <c r="I142" s="13"/>
      <c r="J142" s="13"/>
      <c r="K142" s="13"/>
      <c r="L142" s="13"/>
      <c r="M142" s="13"/>
      <c r="N142" s="13"/>
      <c r="O142" s="13"/>
    </row>
    <row r="143" ht="15.75" customHeight="1">
      <c r="A143" s="13"/>
      <c r="B143" s="13"/>
      <c r="C143" s="13"/>
      <c r="D143" s="13"/>
      <c r="E143" s="13"/>
      <c r="F143" s="13"/>
      <c r="G143" s="13"/>
      <c r="H143" s="13"/>
      <c r="I143" s="13"/>
      <c r="J143" s="13"/>
      <c r="K143" s="13"/>
      <c r="L143" s="13"/>
      <c r="M143" s="13"/>
      <c r="N143" s="13"/>
      <c r="O143" s="13"/>
    </row>
    <row r="144" ht="15.75" customHeight="1">
      <c r="A144" s="13"/>
      <c r="B144" s="13"/>
      <c r="C144" s="13"/>
      <c r="D144" s="13"/>
      <c r="E144" s="13"/>
      <c r="F144" s="13"/>
      <c r="G144" s="13"/>
      <c r="H144" s="13"/>
      <c r="I144" s="13"/>
      <c r="J144" s="13"/>
      <c r="K144" s="13"/>
      <c r="L144" s="13"/>
      <c r="M144" s="13"/>
      <c r="N144" s="13"/>
      <c r="O144" s="13"/>
    </row>
    <row r="145" ht="15.75" customHeight="1">
      <c r="A145" s="13"/>
      <c r="B145" s="13"/>
      <c r="C145" s="13"/>
      <c r="D145" s="13"/>
      <c r="E145" s="13"/>
      <c r="F145" s="13"/>
      <c r="G145" s="13"/>
      <c r="H145" s="13"/>
      <c r="I145" s="13"/>
      <c r="J145" s="13"/>
      <c r="K145" s="13"/>
      <c r="L145" s="13"/>
      <c r="M145" s="13"/>
      <c r="N145" s="13"/>
      <c r="O145" s="13"/>
    </row>
    <row r="146" ht="15.75" customHeight="1">
      <c r="A146" s="13"/>
      <c r="B146" s="13"/>
      <c r="C146" s="13"/>
      <c r="D146" s="13"/>
      <c r="E146" s="13"/>
      <c r="F146" s="13"/>
      <c r="G146" s="13"/>
      <c r="H146" s="13"/>
      <c r="I146" s="13"/>
      <c r="J146" s="13"/>
      <c r="K146" s="13"/>
      <c r="L146" s="13"/>
      <c r="M146" s="13"/>
      <c r="N146" s="13"/>
      <c r="O146" s="13"/>
    </row>
    <row r="147" ht="15.75" customHeight="1">
      <c r="A147" s="13"/>
      <c r="B147" s="13"/>
      <c r="C147" s="13"/>
      <c r="D147" s="13"/>
      <c r="E147" s="13"/>
      <c r="F147" s="13"/>
      <c r="G147" s="13"/>
      <c r="H147" s="13"/>
      <c r="I147" s="13"/>
      <c r="J147" s="13"/>
      <c r="K147" s="13"/>
      <c r="L147" s="13"/>
      <c r="M147" s="13"/>
      <c r="N147" s="13"/>
      <c r="O147" s="13"/>
    </row>
    <row r="148" ht="15.75" customHeight="1">
      <c r="A148" s="13"/>
      <c r="B148" s="13"/>
      <c r="C148" s="13"/>
      <c r="D148" s="13"/>
      <c r="E148" s="13"/>
      <c r="F148" s="13"/>
      <c r="G148" s="13"/>
      <c r="H148" s="13"/>
      <c r="I148" s="13"/>
      <c r="J148" s="13"/>
      <c r="K148" s="13"/>
      <c r="L148" s="13"/>
      <c r="M148" s="13"/>
      <c r="N148" s="13"/>
      <c r="O148" s="13"/>
    </row>
    <row r="149" ht="15.75" customHeight="1">
      <c r="A149" s="13"/>
      <c r="B149" s="13"/>
      <c r="C149" s="13"/>
      <c r="D149" s="13"/>
      <c r="E149" s="13"/>
      <c r="F149" s="13"/>
      <c r="G149" s="13"/>
      <c r="H149" s="13"/>
      <c r="I149" s="13"/>
      <c r="J149" s="13"/>
      <c r="K149" s="13"/>
      <c r="L149" s="13"/>
      <c r="M149" s="13"/>
      <c r="N149" s="13"/>
      <c r="O149" s="13"/>
    </row>
    <row r="150" ht="15.75" customHeight="1">
      <c r="A150" s="13"/>
      <c r="B150" s="13"/>
      <c r="C150" s="13"/>
      <c r="D150" s="13"/>
      <c r="E150" s="13"/>
      <c r="F150" s="13"/>
      <c r="G150" s="13"/>
      <c r="H150" s="13"/>
      <c r="I150" s="13"/>
      <c r="J150" s="13"/>
      <c r="K150" s="13"/>
      <c r="L150" s="13"/>
      <c r="M150" s="13"/>
      <c r="N150" s="13"/>
      <c r="O150" s="13"/>
    </row>
    <row r="151" ht="15.75" customHeight="1">
      <c r="A151" s="13"/>
      <c r="B151" s="13"/>
      <c r="C151" s="13"/>
      <c r="D151" s="13"/>
      <c r="E151" s="13"/>
      <c r="F151" s="13"/>
      <c r="G151" s="13"/>
      <c r="H151" s="13"/>
      <c r="I151" s="13"/>
      <c r="J151" s="13"/>
      <c r="K151" s="13"/>
      <c r="L151" s="13"/>
      <c r="M151" s="13"/>
      <c r="N151" s="13"/>
      <c r="O151" s="13"/>
    </row>
    <row r="152" ht="15.75" customHeight="1">
      <c r="A152" s="13"/>
      <c r="B152" s="13"/>
      <c r="C152" s="13"/>
      <c r="D152" s="13"/>
      <c r="E152" s="13"/>
      <c r="F152" s="13"/>
      <c r="G152" s="13"/>
      <c r="H152" s="13"/>
      <c r="I152" s="13"/>
      <c r="J152" s="13"/>
      <c r="K152" s="13"/>
      <c r="L152" s="13"/>
      <c r="M152" s="13"/>
      <c r="N152" s="13"/>
      <c r="O152" s="13"/>
    </row>
    <row r="153" ht="15.75" customHeight="1">
      <c r="A153" s="13"/>
      <c r="B153" s="13"/>
      <c r="C153" s="13"/>
      <c r="D153" s="13"/>
      <c r="E153" s="13"/>
      <c r="F153" s="13"/>
      <c r="G153" s="13"/>
      <c r="H153" s="13"/>
      <c r="I153" s="13"/>
      <c r="J153" s="13"/>
      <c r="K153" s="13"/>
      <c r="L153" s="13"/>
      <c r="M153" s="13"/>
      <c r="N153" s="13"/>
      <c r="O153" s="13"/>
    </row>
    <row r="154" ht="15.75" customHeight="1">
      <c r="A154" s="13"/>
      <c r="B154" s="13"/>
      <c r="C154" s="13"/>
      <c r="D154" s="13"/>
      <c r="E154" s="13"/>
      <c r="F154" s="13"/>
      <c r="G154" s="13"/>
      <c r="H154" s="13"/>
      <c r="I154" s="13"/>
      <c r="J154" s="13"/>
      <c r="K154" s="13"/>
      <c r="L154" s="13"/>
      <c r="M154" s="13"/>
      <c r="N154" s="13"/>
      <c r="O154" s="13"/>
    </row>
    <row r="155" ht="15.75" customHeight="1">
      <c r="A155" s="13"/>
      <c r="B155" s="13"/>
      <c r="C155" s="13"/>
      <c r="D155" s="13"/>
      <c r="E155" s="13"/>
      <c r="F155" s="13"/>
      <c r="G155" s="13"/>
      <c r="H155" s="13"/>
      <c r="I155" s="13"/>
      <c r="J155" s="13"/>
      <c r="K155" s="13"/>
      <c r="L155" s="13"/>
      <c r="M155" s="13"/>
      <c r="N155" s="13"/>
      <c r="O155" s="13"/>
    </row>
    <row r="156" ht="15.75" customHeight="1">
      <c r="A156" s="13"/>
      <c r="B156" s="13"/>
      <c r="C156" s="13"/>
      <c r="D156" s="13"/>
      <c r="E156" s="13"/>
      <c r="F156" s="13"/>
      <c r="G156" s="13"/>
      <c r="H156" s="13"/>
      <c r="I156" s="13"/>
      <c r="J156" s="13"/>
      <c r="K156" s="13"/>
      <c r="L156" s="13"/>
      <c r="M156" s="13"/>
      <c r="N156" s="13"/>
      <c r="O156" s="13"/>
    </row>
    <row r="157" ht="15.75" customHeight="1">
      <c r="A157" s="13"/>
      <c r="B157" s="13"/>
      <c r="C157" s="13"/>
      <c r="D157" s="13"/>
      <c r="E157" s="13"/>
      <c r="F157" s="13"/>
      <c r="G157" s="13"/>
      <c r="H157" s="13"/>
      <c r="I157" s="13"/>
      <c r="J157" s="13"/>
      <c r="K157" s="13"/>
      <c r="L157" s="13"/>
      <c r="M157" s="13"/>
      <c r="N157" s="13"/>
      <c r="O157" s="13"/>
    </row>
    <row r="158" ht="15.75" customHeight="1">
      <c r="A158" s="13"/>
      <c r="B158" s="13"/>
      <c r="C158" s="13"/>
      <c r="D158" s="13"/>
      <c r="E158" s="13"/>
      <c r="F158" s="13"/>
      <c r="G158" s="13"/>
      <c r="H158" s="13"/>
      <c r="I158" s="13"/>
      <c r="J158" s="13"/>
      <c r="K158" s="13"/>
      <c r="L158" s="13"/>
      <c r="M158" s="13"/>
      <c r="N158" s="13"/>
      <c r="O158" s="13"/>
    </row>
    <row r="159" ht="15.75" customHeight="1">
      <c r="A159" s="13"/>
      <c r="B159" s="13"/>
      <c r="C159" s="13"/>
      <c r="D159" s="13"/>
      <c r="E159" s="13"/>
      <c r="F159" s="13"/>
      <c r="G159" s="13"/>
      <c r="H159" s="13"/>
      <c r="I159" s="13"/>
      <c r="J159" s="13"/>
      <c r="K159" s="13"/>
      <c r="L159" s="13"/>
      <c r="M159" s="13"/>
      <c r="N159" s="13"/>
      <c r="O159" s="13"/>
    </row>
    <row r="160" ht="15.75" customHeight="1">
      <c r="A160" s="13"/>
      <c r="B160" s="13"/>
      <c r="C160" s="13"/>
      <c r="D160" s="13"/>
      <c r="E160" s="13"/>
      <c r="F160" s="13"/>
      <c r="G160" s="13"/>
      <c r="H160" s="13"/>
      <c r="I160" s="13"/>
      <c r="J160" s="13"/>
      <c r="K160" s="13"/>
      <c r="L160" s="13"/>
      <c r="M160" s="13"/>
      <c r="N160" s="13"/>
      <c r="O160" s="13"/>
    </row>
    <row r="161" ht="15.75" customHeight="1">
      <c r="A161" s="13"/>
      <c r="B161" s="13"/>
      <c r="C161" s="13"/>
      <c r="D161" s="13"/>
      <c r="E161" s="13"/>
      <c r="F161" s="13"/>
      <c r="G161" s="13"/>
      <c r="H161" s="13"/>
      <c r="I161" s="13"/>
      <c r="J161" s="13"/>
      <c r="K161" s="13"/>
      <c r="L161" s="13"/>
      <c r="M161" s="13"/>
      <c r="N161" s="13"/>
      <c r="O161" s="13"/>
    </row>
    <row r="162" ht="15.75" customHeight="1">
      <c r="A162" s="13"/>
      <c r="B162" s="13"/>
      <c r="C162" s="13"/>
      <c r="D162" s="13"/>
      <c r="E162" s="13"/>
      <c r="F162" s="13"/>
      <c r="G162" s="13"/>
      <c r="H162" s="13"/>
      <c r="I162" s="13"/>
      <c r="J162" s="13"/>
      <c r="K162" s="13"/>
      <c r="L162" s="13"/>
      <c r="M162" s="13"/>
      <c r="N162" s="13"/>
      <c r="O162" s="13"/>
    </row>
    <row r="163" ht="15.75" customHeight="1">
      <c r="A163" s="13"/>
      <c r="B163" s="13"/>
      <c r="C163" s="13"/>
      <c r="D163" s="13"/>
      <c r="E163" s="13"/>
      <c r="F163" s="13"/>
      <c r="G163" s="13"/>
      <c r="H163" s="13"/>
      <c r="I163" s="13"/>
      <c r="J163" s="13"/>
      <c r="K163" s="13"/>
      <c r="L163" s="13"/>
      <c r="M163" s="13"/>
      <c r="N163" s="13"/>
      <c r="O163" s="13"/>
    </row>
    <row r="164" ht="15.75" customHeight="1">
      <c r="A164" s="13"/>
      <c r="B164" s="13"/>
      <c r="C164" s="13"/>
      <c r="D164" s="13"/>
      <c r="E164" s="13"/>
      <c r="F164" s="13"/>
      <c r="G164" s="13"/>
      <c r="H164" s="13"/>
      <c r="I164" s="13"/>
      <c r="J164" s="13"/>
      <c r="K164" s="13"/>
      <c r="L164" s="13"/>
      <c r="M164" s="13"/>
      <c r="N164" s="13"/>
      <c r="O164" s="13"/>
    </row>
    <row r="165" ht="15.75" customHeight="1">
      <c r="A165" s="13"/>
      <c r="B165" s="13"/>
      <c r="C165" s="13"/>
      <c r="D165" s="13"/>
      <c r="E165" s="13"/>
      <c r="F165" s="13"/>
      <c r="G165" s="13"/>
      <c r="H165" s="13"/>
      <c r="I165" s="13"/>
      <c r="J165" s="13"/>
      <c r="K165" s="13"/>
      <c r="L165" s="13"/>
      <c r="M165" s="13"/>
      <c r="N165" s="13"/>
      <c r="O165" s="13"/>
    </row>
    <row r="166" ht="15.75" customHeight="1">
      <c r="A166" s="13"/>
      <c r="B166" s="13"/>
      <c r="C166" s="13"/>
      <c r="D166" s="13"/>
      <c r="E166" s="13"/>
      <c r="F166" s="13"/>
      <c r="G166" s="13"/>
      <c r="H166" s="13"/>
      <c r="I166" s="13"/>
      <c r="J166" s="13"/>
      <c r="K166" s="13"/>
      <c r="L166" s="13"/>
      <c r="M166" s="13"/>
      <c r="N166" s="13"/>
      <c r="O166" s="13"/>
    </row>
    <row r="167" ht="15.75" customHeight="1">
      <c r="A167" s="13"/>
      <c r="B167" s="13"/>
      <c r="C167" s="13"/>
      <c r="D167" s="13"/>
      <c r="E167" s="13"/>
      <c r="F167" s="13"/>
      <c r="G167" s="13"/>
      <c r="H167" s="13"/>
      <c r="I167" s="13"/>
      <c r="J167" s="13"/>
      <c r="K167" s="13"/>
      <c r="L167" s="13"/>
      <c r="M167" s="13"/>
      <c r="N167" s="13"/>
      <c r="O167" s="13"/>
    </row>
    <row r="168" ht="15.75" customHeight="1">
      <c r="A168" s="13"/>
      <c r="B168" s="13"/>
      <c r="C168" s="13"/>
      <c r="D168" s="13"/>
      <c r="E168" s="13"/>
      <c r="F168" s="13"/>
      <c r="G168" s="13"/>
      <c r="H168" s="13"/>
      <c r="I168" s="13"/>
      <c r="J168" s="13"/>
      <c r="K168" s="13"/>
      <c r="L168" s="13"/>
      <c r="M168" s="13"/>
      <c r="N168" s="13"/>
      <c r="O168" s="13"/>
    </row>
    <row r="169" ht="15.75" customHeight="1">
      <c r="A169" s="13"/>
      <c r="B169" s="13"/>
      <c r="C169" s="13"/>
      <c r="D169" s="13"/>
      <c r="E169" s="13"/>
      <c r="F169" s="13"/>
      <c r="G169" s="13"/>
      <c r="H169" s="13"/>
      <c r="I169" s="13"/>
      <c r="J169" s="13"/>
      <c r="K169" s="13"/>
      <c r="L169" s="13"/>
      <c r="M169" s="13"/>
      <c r="N169" s="13"/>
      <c r="O169" s="13"/>
    </row>
    <row r="170" ht="15.75" customHeight="1">
      <c r="A170" s="13"/>
      <c r="B170" s="13"/>
      <c r="C170" s="13"/>
      <c r="D170" s="13"/>
      <c r="E170" s="13"/>
      <c r="F170" s="13"/>
      <c r="G170" s="13"/>
      <c r="H170" s="13"/>
      <c r="I170" s="13"/>
      <c r="J170" s="13"/>
      <c r="K170" s="13"/>
      <c r="L170" s="13"/>
      <c r="M170" s="13"/>
      <c r="N170" s="13"/>
      <c r="O170" s="13"/>
    </row>
    <row r="171" ht="15.75" customHeight="1">
      <c r="A171" s="13"/>
      <c r="B171" s="13"/>
      <c r="C171" s="13"/>
      <c r="D171" s="13"/>
      <c r="E171" s="13"/>
      <c r="F171" s="13"/>
      <c r="G171" s="13"/>
      <c r="H171" s="13"/>
      <c r="I171" s="13"/>
      <c r="J171" s="13"/>
      <c r="K171" s="13"/>
      <c r="L171" s="13"/>
      <c r="M171" s="13"/>
      <c r="N171" s="13"/>
      <c r="O171" s="13"/>
    </row>
    <row r="172" ht="15.75" customHeight="1">
      <c r="A172" s="13"/>
      <c r="B172" s="13"/>
      <c r="C172" s="13"/>
      <c r="D172" s="13"/>
      <c r="E172" s="13"/>
      <c r="F172" s="13"/>
      <c r="G172" s="13"/>
      <c r="H172" s="13"/>
      <c r="I172" s="13"/>
      <c r="J172" s="13"/>
      <c r="K172" s="13"/>
      <c r="L172" s="13"/>
      <c r="M172" s="13"/>
      <c r="N172" s="13"/>
      <c r="O172" s="13"/>
    </row>
    <row r="173" ht="15.75" customHeight="1">
      <c r="A173" s="13"/>
      <c r="B173" s="13"/>
      <c r="C173" s="13"/>
      <c r="D173" s="13"/>
      <c r="E173" s="13"/>
      <c r="F173" s="13"/>
      <c r="G173" s="13"/>
      <c r="H173" s="13"/>
      <c r="I173" s="13"/>
      <c r="J173" s="13"/>
      <c r="K173" s="13"/>
      <c r="L173" s="13"/>
      <c r="M173" s="13"/>
      <c r="N173" s="13"/>
      <c r="O173" s="13"/>
    </row>
    <row r="174" ht="15.75" customHeight="1">
      <c r="A174" s="13"/>
      <c r="B174" s="13"/>
      <c r="C174" s="13"/>
      <c r="D174" s="13"/>
      <c r="E174" s="13"/>
      <c r="F174" s="13"/>
      <c r="G174" s="13"/>
      <c r="H174" s="13"/>
      <c r="I174" s="13"/>
      <c r="J174" s="13"/>
      <c r="K174" s="13"/>
      <c r="L174" s="13"/>
      <c r="M174" s="13"/>
      <c r="N174" s="13"/>
      <c r="O174" s="13"/>
    </row>
    <row r="175" ht="15.75" customHeight="1">
      <c r="A175" s="13"/>
      <c r="B175" s="13"/>
      <c r="C175" s="13"/>
      <c r="D175" s="13"/>
      <c r="E175" s="13"/>
      <c r="F175" s="13"/>
      <c r="G175" s="13"/>
      <c r="H175" s="13"/>
      <c r="I175" s="13"/>
      <c r="J175" s="13"/>
      <c r="K175" s="13"/>
      <c r="L175" s="13"/>
      <c r="M175" s="13"/>
      <c r="N175" s="13"/>
      <c r="O175" s="13"/>
    </row>
    <row r="176" ht="15.75" customHeight="1">
      <c r="A176" s="13"/>
      <c r="B176" s="13"/>
      <c r="C176" s="13"/>
      <c r="D176" s="13"/>
      <c r="E176" s="13"/>
      <c r="F176" s="13"/>
      <c r="G176" s="13"/>
      <c r="H176" s="13"/>
      <c r="I176" s="13"/>
      <c r="J176" s="13"/>
      <c r="K176" s="13"/>
      <c r="L176" s="13"/>
      <c r="M176" s="13"/>
      <c r="N176" s="13"/>
      <c r="O176" s="13"/>
    </row>
    <row r="177" ht="15.75" customHeight="1">
      <c r="A177" s="13"/>
      <c r="B177" s="13"/>
      <c r="C177" s="13"/>
      <c r="D177" s="13"/>
      <c r="E177" s="13"/>
      <c r="F177" s="13"/>
      <c r="G177" s="13"/>
      <c r="H177" s="13"/>
      <c r="I177" s="13"/>
      <c r="J177" s="13"/>
      <c r="K177" s="13"/>
      <c r="L177" s="13"/>
      <c r="M177" s="13"/>
      <c r="N177" s="13"/>
      <c r="O177" s="13"/>
    </row>
    <row r="178" ht="15.75" customHeight="1">
      <c r="A178" s="13"/>
      <c r="B178" s="13"/>
      <c r="C178" s="13"/>
      <c r="D178" s="13"/>
      <c r="E178" s="13"/>
      <c r="F178" s="13"/>
      <c r="G178" s="13"/>
      <c r="H178" s="13"/>
      <c r="I178" s="13"/>
      <c r="J178" s="13"/>
      <c r="K178" s="13"/>
      <c r="L178" s="13"/>
      <c r="M178" s="13"/>
      <c r="N178" s="13"/>
      <c r="O178" s="13"/>
    </row>
    <row r="179" ht="15.75" customHeight="1">
      <c r="A179" s="13"/>
      <c r="B179" s="13"/>
      <c r="C179" s="13"/>
      <c r="D179" s="13"/>
      <c r="E179" s="13"/>
      <c r="F179" s="13"/>
      <c r="G179" s="13"/>
      <c r="H179" s="13"/>
      <c r="I179" s="13"/>
      <c r="J179" s="13"/>
      <c r="K179" s="13"/>
      <c r="L179" s="13"/>
      <c r="M179" s="13"/>
      <c r="N179" s="13"/>
      <c r="O179" s="13"/>
    </row>
    <row r="180" ht="15.75" customHeight="1">
      <c r="A180" s="13"/>
      <c r="B180" s="13"/>
      <c r="C180" s="13"/>
      <c r="D180" s="13"/>
      <c r="E180" s="13"/>
      <c r="F180" s="13"/>
      <c r="G180" s="13"/>
      <c r="H180" s="13"/>
      <c r="I180" s="13"/>
      <c r="J180" s="13"/>
      <c r="K180" s="13"/>
      <c r="L180" s="13"/>
      <c r="M180" s="13"/>
      <c r="N180" s="13"/>
      <c r="O180" s="13"/>
    </row>
    <row r="181" ht="15.75" customHeight="1">
      <c r="A181" s="13"/>
      <c r="B181" s="13"/>
      <c r="C181" s="13"/>
      <c r="D181" s="13"/>
      <c r="E181" s="13"/>
      <c r="F181" s="13"/>
      <c r="G181" s="13"/>
      <c r="H181" s="13"/>
      <c r="I181" s="13"/>
      <c r="J181" s="13"/>
      <c r="K181" s="13"/>
      <c r="L181" s="13"/>
      <c r="M181" s="13"/>
      <c r="N181" s="13"/>
      <c r="O181" s="13"/>
    </row>
    <row r="182" ht="15.75" customHeight="1">
      <c r="A182" s="13"/>
      <c r="B182" s="13"/>
      <c r="C182" s="13"/>
      <c r="D182" s="13"/>
      <c r="E182" s="13"/>
      <c r="F182" s="13"/>
      <c r="G182" s="13"/>
      <c r="H182" s="13"/>
      <c r="I182" s="13"/>
      <c r="J182" s="13"/>
      <c r="K182" s="13"/>
      <c r="L182" s="13"/>
      <c r="M182" s="13"/>
      <c r="N182" s="13"/>
      <c r="O182" s="13"/>
    </row>
    <row r="183" ht="15.75" customHeight="1">
      <c r="A183" s="13"/>
      <c r="B183" s="13"/>
      <c r="C183" s="13"/>
      <c r="D183" s="13"/>
      <c r="E183" s="13"/>
      <c r="F183" s="13"/>
      <c r="G183" s="13"/>
      <c r="H183" s="13"/>
      <c r="I183" s="13"/>
      <c r="J183" s="13"/>
      <c r="K183" s="13"/>
      <c r="L183" s="13"/>
      <c r="M183" s="13"/>
      <c r="N183" s="13"/>
      <c r="O183" s="13"/>
    </row>
    <row r="184" ht="15.75" customHeight="1">
      <c r="A184" s="13"/>
      <c r="B184" s="13"/>
      <c r="C184" s="13"/>
      <c r="D184" s="13"/>
      <c r="E184" s="13"/>
      <c r="F184" s="13"/>
      <c r="G184" s="13"/>
      <c r="H184" s="13"/>
      <c r="I184" s="13"/>
      <c r="J184" s="13"/>
      <c r="K184" s="13"/>
      <c r="L184" s="13"/>
      <c r="M184" s="13"/>
      <c r="N184" s="13"/>
      <c r="O184" s="13"/>
    </row>
    <row r="185" ht="15.75" customHeight="1">
      <c r="A185" s="13"/>
      <c r="B185" s="13"/>
      <c r="C185" s="13"/>
      <c r="D185" s="13"/>
      <c r="E185" s="13"/>
      <c r="F185" s="13"/>
      <c r="G185" s="13"/>
      <c r="H185" s="13"/>
      <c r="I185" s="13"/>
      <c r="J185" s="13"/>
      <c r="K185" s="13"/>
      <c r="L185" s="13"/>
      <c r="M185" s="13"/>
      <c r="N185" s="13"/>
      <c r="O185" s="13"/>
    </row>
    <row r="186" ht="15.75" customHeight="1">
      <c r="A186" s="13"/>
      <c r="B186" s="13"/>
      <c r="C186" s="13"/>
      <c r="D186" s="13"/>
      <c r="E186" s="13"/>
      <c r="F186" s="13"/>
      <c r="G186" s="13"/>
      <c r="H186" s="13"/>
      <c r="I186" s="13"/>
      <c r="J186" s="13"/>
      <c r="K186" s="13"/>
      <c r="L186" s="13"/>
      <c r="M186" s="13"/>
      <c r="N186" s="13"/>
      <c r="O186" s="13"/>
    </row>
    <row r="187" ht="15.75" customHeight="1">
      <c r="A187" s="13"/>
      <c r="B187" s="13"/>
      <c r="C187" s="13"/>
      <c r="D187" s="13"/>
      <c r="E187" s="13"/>
      <c r="F187" s="13"/>
      <c r="G187" s="13"/>
      <c r="H187" s="13"/>
      <c r="I187" s="13"/>
      <c r="J187" s="13"/>
      <c r="K187" s="13"/>
      <c r="L187" s="13"/>
      <c r="M187" s="13"/>
      <c r="N187" s="13"/>
      <c r="O187" s="13"/>
    </row>
    <row r="188" ht="15.75" customHeight="1">
      <c r="A188" s="13"/>
      <c r="B188" s="13"/>
      <c r="C188" s="13"/>
      <c r="D188" s="13"/>
      <c r="E188" s="13"/>
      <c r="F188" s="13"/>
      <c r="G188" s="13"/>
      <c r="H188" s="13"/>
      <c r="I188" s="13"/>
      <c r="J188" s="13"/>
      <c r="K188" s="13"/>
      <c r="L188" s="13"/>
      <c r="M188" s="13"/>
      <c r="N188" s="13"/>
      <c r="O188" s="13"/>
    </row>
    <row r="189" ht="15.75" customHeight="1">
      <c r="A189" s="13"/>
      <c r="B189" s="13"/>
      <c r="C189" s="13"/>
      <c r="D189" s="13"/>
      <c r="E189" s="13"/>
      <c r="F189" s="13"/>
      <c r="G189" s="13"/>
      <c r="H189" s="13"/>
      <c r="I189" s="13"/>
      <c r="J189" s="13"/>
      <c r="K189" s="13"/>
      <c r="L189" s="13"/>
      <c r="M189" s="13"/>
      <c r="N189" s="13"/>
      <c r="O189" s="13"/>
    </row>
    <row r="190" ht="15.75" customHeight="1">
      <c r="A190" s="13"/>
      <c r="B190" s="13"/>
      <c r="C190" s="13"/>
      <c r="D190" s="13"/>
      <c r="E190" s="13"/>
      <c r="F190" s="13"/>
      <c r="G190" s="13"/>
      <c r="H190" s="13"/>
      <c r="I190" s="13"/>
      <c r="J190" s="13"/>
      <c r="K190" s="13"/>
      <c r="L190" s="13"/>
      <c r="M190" s="13"/>
      <c r="N190" s="13"/>
      <c r="O190" s="13"/>
    </row>
    <row r="191" ht="15.75" customHeight="1">
      <c r="A191" s="13"/>
      <c r="B191" s="13"/>
      <c r="C191" s="13"/>
      <c r="D191" s="13"/>
      <c r="E191" s="13"/>
      <c r="F191" s="13"/>
      <c r="G191" s="13"/>
      <c r="H191" s="13"/>
      <c r="I191" s="13"/>
      <c r="J191" s="13"/>
      <c r="K191" s="13"/>
      <c r="L191" s="13"/>
      <c r="M191" s="13"/>
      <c r="N191" s="13"/>
      <c r="O191" s="13"/>
    </row>
    <row r="192" ht="15.75" customHeight="1">
      <c r="A192" s="13"/>
      <c r="B192" s="13"/>
      <c r="C192" s="13"/>
      <c r="D192" s="13"/>
      <c r="E192" s="13"/>
      <c r="F192" s="13"/>
      <c r="G192" s="13"/>
      <c r="H192" s="13"/>
      <c r="I192" s="13"/>
      <c r="J192" s="13"/>
      <c r="K192" s="13"/>
      <c r="L192" s="13"/>
      <c r="M192" s="13"/>
      <c r="N192" s="13"/>
      <c r="O192" s="13"/>
    </row>
    <row r="193" ht="15.75" customHeight="1">
      <c r="A193" s="13"/>
      <c r="B193" s="13"/>
      <c r="C193" s="13"/>
      <c r="D193" s="13"/>
      <c r="E193" s="13"/>
      <c r="F193" s="13"/>
      <c r="G193" s="13"/>
      <c r="H193" s="13"/>
      <c r="I193" s="13"/>
      <c r="J193" s="13"/>
      <c r="K193" s="13"/>
      <c r="L193" s="13"/>
      <c r="M193" s="13"/>
      <c r="N193" s="13"/>
      <c r="O193" s="13"/>
    </row>
    <row r="194" ht="15.75" customHeight="1">
      <c r="A194" s="13"/>
      <c r="B194" s="13"/>
      <c r="C194" s="13"/>
      <c r="D194" s="13"/>
      <c r="E194" s="13"/>
      <c r="F194" s="13"/>
      <c r="G194" s="13"/>
      <c r="H194" s="13"/>
      <c r="I194" s="13"/>
      <c r="J194" s="13"/>
      <c r="K194" s="13"/>
      <c r="L194" s="13"/>
      <c r="M194" s="13"/>
      <c r="N194" s="13"/>
      <c r="O194" s="13"/>
    </row>
    <row r="195" ht="15.75" customHeight="1">
      <c r="A195" s="13"/>
      <c r="B195" s="13"/>
      <c r="C195" s="13"/>
      <c r="D195" s="13"/>
      <c r="E195" s="13"/>
      <c r="F195" s="13"/>
      <c r="G195" s="13"/>
      <c r="H195" s="13"/>
      <c r="I195" s="13"/>
      <c r="J195" s="13"/>
      <c r="K195" s="13"/>
      <c r="L195" s="13"/>
      <c r="M195" s="13"/>
      <c r="N195" s="13"/>
      <c r="O195" s="13"/>
    </row>
    <row r="196" ht="15.75" customHeight="1">
      <c r="A196" s="13"/>
      <c r="B196" s="13"/>
      <c r="C196" s="13"/>
      <c r="D196" s="13"/>
      <c r="E196" s="13"/>
      <c r="F196" s="13"/>
      <c r="G196" s="13"/>
      <c r="H196" s="13"/>
      <c r="I196" s="13"/>
      <c r="J196" s="13"/>
      <c r="K196" s="13"/>
      <c r="L196" s="13"/>
      <c r="M196" s="13"/>
      <c r="N196" s="13"/>
      <c r="O196" s="13"/>
    </row>
    <row r="197" ht="15.75" customHeight="1">
      <c r="A197" s="13"/>
      <c r="B197" s="13"/>
      <c r="C197" s="13"/>
      <c r="D197" s="13"/>
      <c r="E197" s="13"/>
      <c r="F197" s="13"/>
      <c r="G197" s="13"/>
      <c r="H197" s="13"/>
      <c r="I197" s="13"/>
      <c r="J197" s="13"/>
      <c r="K197" s="13"/>
      <c r="L197" s="13"/>
      <c r="M197" s="13"/>
      <c r="N197" s="13"/>
      <c r="O197" s="13"/>
    </row>
    <row r="198" ht="15.75" customHeight="1">
      <c r="A198" s="13"/>
      <c r="B198" s="13"/>
      <c r="C198" s="13"/>
      <c r="D198" s="13"/>
      <c r="E198" s="13"/>
      <c r="F198" s="13"/>
      <c r="G198" s="13"/>
      <c r="H198" s="13"/>
      <c r="I198" s="13"/>
      <c r="J198" s="13"/>
      <c r="K198" s="13"/>
      <c r="L198" s="13"/>
      <c r="M198" s="13"/>
      <c r="N198" s="13"/>
      <c r="O198" s="13"/>
    </row>
    <row r="199" ht="15.75" customHeight="1">
      <c r="A199" s="13"/>
      <c r="B199" s="13"/>
      <c r="C199" s="13"/>
      <c r="D199" s="13"/>
      <c r="E199" s="13"/>
      <c r="F199" s="13"/>
      <c r="G199" s="13"/>
      <c r="H199" s="13"/>
      <c r="I199" s="13"/>
      <c r="J199" s="13"/>
      <c r="K199" s="13"/>
      <c r="L199" s="13"/>
      <c r="M199" s="13"/>
      <c r="N199" s="13"/>
      <c r="O199" s="13"/>
    </row>
    <row r="200" ht="15.75" customHeight="1">
      <c r="A200" s="13"/>
      <c r="B200" s="13"/>
      <c r="C200" s="13"/>
      <c r="D200" s="13"/>
      <c r="E200" s="13"/>
      <c r="F200" s="13"/>
      <c r="G200" s="13"/>
      <c r="H200" s="13"/>
      <c r="I200" s="13"/>
      <c r="J200" s="13"/>
      <c r="K200" s="13"/>
      <c r="L200" s="13"/>
      <c r="M200" s="13"/>
      <c r="N200" s="13"/>
      <c r="O200" s="13"/>
    </row>
    <row r="201" ht="15.75" customHeight="1">
      <c r="A201" s="13"/>
      <c r="B201" s="13"/>
      <c r="C201" s="13"/>
      <c r="D201" s="13"/>
      <c r="E201" s="13"/>
      <c r="F201" s="13"/>
      <c r="G201" s="13"/>
      <c r="H201" s="13"/>
      <c r="I201" s="13"/>
      <c r="J201" s="13"/>
      <c r="K201" s="13"/>
      <c r="L201" s="13"/>
      <c r="M201" s="13"/>
      <c r="N201" s="13"/>
      <c r="O201" s="13"/>
    </row>
    <row r="202" ht="15.75" customHeight="1">
      <c r="A202" s="13"/>
      <c r="B202" s="13"/>
      <c r="C202" s="13"/>
      <c r="D202" s="13"/>
      <c r="E202" s="13"/>
      <c r="F202" s="13"/>
      <c r="G202" s="13"/>
      <c r="H202" s="13"/>
      <c r="I202" s="13"/>
      <c r="J202" s="13"/>
      <c r="K202" s="13"/>
      <c r="L202" s="13"/>
      <c r="M202" s="13"/>
      <c r="N202" s="13"/>
      <c r="O202" s="13"/>
    </row>
    <row r="203" ht="15.75" customHeight="1">
      <c r="A203" s="13"/>
      <c r="B203" s="13"/>
      <c r="C203" s="13"/>
      <c r="D203" s="13"/>
      <c r="E203" s="13"/>
      <c r="F203" s="13"/>
      <c r="G203" s="13"/>
      <c r="H203" s="13"/>
      <c r="I203" s="13"/>
      <c r="J203" s="13"/>
      <c r="K203" s="13"/>
      <c r="L203" s="13"/>
      <c r="M203" s="13"/>
      <c r="N203" s="13"/>
      <c r="O203" s="13"/>
    </row>
    <row r="204" ht="15.75" customHeight="1">
      <c r="A204" s="13"/>
      <c r="B204" s="13"/>
      <c r="C204" s="13"/>
      <c r="D204" s="13"/>
      <c r="E204" s="13"/>
      <c r="F204" s="13"/>
      <c r="G204" s="13"/>
      <c r="H204" s="13"/>
      <c r="I204" s="13"/>
      <c r="J204" s="13"/>
      <c r="K204" s="13"/>
      <c r="L204" s="13"/>
      <c r="M204" s="13"/>
      <c r="N204" s="13"/>
      <c r="O204" s="13"/>
    </row>
    <row r="205" ht="15.75" customHeight="1">
      <c r="A205" s="13"/>
      <c r="B205" s="13"/>
      <c r="C205" s="13"/>
      <c r="D205" s="13"/>
      <c r="E205" s="13"/>
      <c r="F205" s="13"/>
      <c r="G205" s="13"/>
      <c r="H205" s="13"/>
      <c r="I205" s="13"/>
      <c r="J205" s="13"/>
      <c r="K205" s="13"/>
      <c r="L205" s="13"/>
      <c r="M205" s="13"/>
      <c r="N205" s="13"/>
      <c r="O205" s="13"/>
    </row>
    <row r="206" ht="15.75" customHeight="1">
      <c r="A206" s="13"/>
      <c r="B206" s="13"/>
      <c r="C206" s="13"/>
      <c r="D206" s="13"/>
      <c r="E206" s="13"/>
      <c r="F206" s="13"/>
      <c r="G206" s="13"/>
      <c r="H206" s="13"/>
      <c r="I206" s="13"/>
      <c r="J206" s="13"/>
      <c r="K206" s="13"/>
      <c r="L206" s="13"/>
      <c r="M206" s="13"/>
      <c r="N206" s="13"/>
      <c r="O206" s="13"/>
    </row>
    <row r="207" ht="15.75" customHeight="1">
      <c r="A207" s="13"/>
      <c r="B207" s="13"/>
      <c r="C207" s="13"/>
      <c r="D207" s="13"/>
      <c r="E207" s="13"/>
      <c r="F207" s="13"/>
      <c r="G207" s="13"/>
      <c r="H207" s="13"/>
      <c r="I207" s="13"/>
      <c r="J207" s="13"/>
      <c r="K207" s="13"/>
      <c r="L207" s="13"/>
      <c r="M207" s="13"/>
      <c r="N207" s="13"/>
      <c r="O207" s="13"/>
    </row>
    <row r="208" ht="15.75" customHeight="1">
      <c r="A208" s="13"/>
      <c r="B208" s="13"/>
      <c r="C208" s="13"/>
      <c r="D208" s="13"/>
      <c r="E208" s="13"/>
      <c r="F208" s="13"/>
      <c r="G208" s="13"/>
      <c r="H208" s="13"/>
      <c r="I208" s="13"/>
      <c r="J208" s="13"/>
      <c r="K208" s="13"/>
      <c r="L208" s="13"/>
      <c r="M208" s="13"/>
      <c r="N208" s="13"/>
      <c r="O208" s="13"/>
    </row>
    <row r="209" ht="15.75" customHeight="1">
      <c r="A209" s="13"/>
      <c r="B209" s="13"/>
      <c r="C209" s="13"/>
      <c r="D209" s="13"/>
      <c r="E209" s="13"/>
      <c r="F209" s="13"/>
      <c r="G209" s="13"/>
      <c r="H209" s="13"/>
      <c r="I209" s="13"/>
      <c r="J209" s="13"/>
      <c r="K209" s="13"/>
      <c r="L209" s="13"/>
      <c r="M209" s="13"/>
      <c r="N209" s="13"/>
      <c r="O209" s="13"/>
    </row>
    <row r="210" ht="15.75" customHeight="1">
      <c r="A210" s="13"/>
      <c r="B210" s="13"/>
      <c r="C210" s="13"/>
      <c r="D210" s="13"/>
      <c r="E210" s="13"/>
      <c r="F210" s="13"/>
      <c r="G210" s="13"/>
      <c r="H210" s="13"/>
      <c r="I210" s="13"/>
      <c r="J210" s="13"/>
      <c r="K210" s="13"/>
      <c r="L210" s="13"/>
      <c r="M210" s="13"/>
      <c r="N210" s="13"/>
      <c r="O210" s="13"/>
    </row>
    <row r="211" ht="15.75" customHeight="1">
      <c r="A211" s="13"/>
      <c r="B211" s="13"/>
      <c r="C211" s="13"/>
      <c r="D211" s="13"/>
      <c r="E211" s="13"/>
      <c r="F211" s="13"/>
      <c r="G211" s="13"/>
      <c r="H211" s="13"/>
      <c r="I211" s="13"/>
      <c r="J211" s="13"/>
      <c r="K211" s="13"/>
      <c r="L211" s="13"/>
      <c r="M211" s="13"/>
      <c r="N211" s="13"/>
      <c r="O211" s="13"/>
    </row>
    <row r="212" ht="15.75" customHeight="1">
      <c r="A212" s="13"/>
      <c r="B212" s="13"/>
      <c r="C212" s="13"/>
      <c r="D212" s="13"/>
      <c r="E212" s="13"/>
      <c r="F212" s="13"/>
      <c r="G212" s="13"/>
      <c r="H212" s="13"/>
      <c r="I212" s="13"/>
      <c r="J212" s="13"/>
      <c r="K212" s="13"/>
      <c r="L212" s="13"/>
      <c r="M212" s="13"/>
      <c r="N212" s="13"/>
      <c r="O212" s="13"/>
    </row>
    <row r="213" ht="15.75" customHeight="1">
      <c r="A213" s="13"/>
      <c r="B213" s="13"/>
      <c r="C213" s="13"/>
      <c r="D213" s="13"/>
      <c r="E213" s="13"/>
      <c r="F213" s="13"/>
      <c r="G213" s="13"/>
      <c r="H213" s="13"/>
      <c r="I213" s="13"/>
      <c r="J213" s="13"/>
      <c r="K213" s="13"/>
      <c r="L213" s="13"/>
      <c r="M213" s="13"/>
      <c r="N213" s="13"/>
      <c r="O213" s="13"/>
    </row>
    <row r="214" ht="15.75" customHeight="1">
      <c r="A214" s="13"/>
      <c r="B214" s="13"/>
      <c r="C214" s="13"/>
      <c r="D214" s="13"/>
      <c r="E214" s="13"/>
      <c r="F214" s="13"/>
      <c r="G214" s="13"/>
      <c r="H214" s="13"/>
      <c r="I214" s="13"/>
      <c r="J214" s="13"/>
      <c r="K214" s="13"/>
      <c r="L214" s="13"/>
      <c r="M214" s="13"/>
      <c r="N214" s="13"/>
      <c r="O214" s="13"/>
    </row>
    <row r="215" ht="15.75" customHeight="1">
      <c r="A215" s="13"/>
      <c r="B215" s="13"/>
      <c r="C215" s="13"/>
      <c r="D215" s="13"/>
      <c r="E215" s="13"/>
      <c r="F215" s="13"/>
      <c r="G215" s="13"/>
      <c r="H215" s="13"/>
      <c r="I215" s="13"/>
      <c r="J215" s="13"/>
      <c r="K215" s="13"/>
      <c r="L215" s="13"/>
      <c r="M215" s="13"/>
      <c r="N215" s="13"/>
      <c r="O215" s="13"/>
    </row>
    <row r="216" ht="15.75" customHeight="1">
      <c r="A216" s="13"/>
      <c r="B216" s="13"/>
      <c r="C216" s="13"/>
      <c r="D216" s="13"/>
      <c r="E216" s="13"/>
      <c r="F216" s="13"/>
      <c r="G216" s="13"/>
      <c r="H216" s="13"/>
      <c r="I216" s="13"/>
      <c r="J216" s="13"/>
      <c r="K216" s="13"/>
      <c r="L216" s="13"/>
      <c r="M216" s="13"/>
      <c r="N216" s="13"/>
      <c r="O216" s="13"/>
    </row>
    <row r="217" ht="15.75" customHeight="1">
      <c r="A217" s="13"/>
      <c r="B217" s="13"/>
      <c r="C217" s="13"/>
      <c r="D217" s="13"/>
      <c r="E217" s="13"/>
      <c r="F217" s="13"/>
      <c r="G217" s="13"/>
      <c r="H217" s="13"/>
      <c r="I217" s="13"/>
      <c r="J217" s="13"/>
      <c r="K217" s="13"/>
      <c r="L217" s="13"/>
      <c r="M217" s="13"/>
      <c r="N217" s="13"/>
      <c r="O217" s="13"/>
    </row>
    <row r="218" ht="15.75" customHeight="1">
      <c r="A218" s="13"/>
      <c r="B218" s="13"/>
      <c r="C218" s="13"/>
      <c r="D218" s="13"/>
      <c r="E218" s="13"/>
      <c r="F218" s="13"/>
      <c r="G218" s="13"/>
      <c r="H218" s="13"/>
      <c r="I218" s="13"/>
      <c r="J218" s="13"/>
      <c r="K218" s="13"/>
      <c r="L218" s="13"/>
      <c r="M218" s="13"/>
      <c r="N218" s="13"/>
      <c r="O218" s="13"/>
    </row>
    <row r="219" ht="15.75" customHeight="1">
      <c r="A219" s="13"/>
      <c r="B219" s="13"/>
      <c r="C219" s="13"/>
      <c r="D219" s="13"/>
      <c r="E219" s="13"/>
      <c r="F219" s="13"/>
      <c r="G219" s="13"/>
      <c r="H219" s="13"/>
      <c r="I219" s="13"/>
      <c r="J219" s="13"/>
      <c r="K219" s="13"/>
      <c r="L219" s="13"/>
      <c r="M219" s="13"/>
      <c r="N219" s="13"/>
      <c r="O219" s="13"/>
    </row>
    <row r="220" ht="15.75" customHeight="1">
      <c r="A220" s="13"/>
      <c r="B220" s="13"/>
      <c r="C220" s="13"/>
      <c r="D220" s="13"/>
      <c r="E220" s="13"/>
      <c r="F220" s="13"/>
      <c r="G220" s="13"/>
      <c r="H220" s="13"/>
      <c r="I220" s="13"/>
      <c r="J220" s="13"/>
      <c r="K220" s="13"/>
      <c r="L220" s="13"/>
      <c r="M220" s="13"/>
      <c r="N220" s="13"/>
      <c r="O220" s="13"/>
    </row>
    <row r="221" ht="15.75" customHeight="1">
      <c r="A221" s="13"/>
      <c r="B221" s="13"/>
      <c r="C221" s="13"/>
      <c r="D221" s="13"/>
      <c r="E221" s="13"/>
      <c r="F221" s="13"/>
      <c r="G221" s="13"/>
      <c r="H221" s="13"/>
      <c r="I221" s="13"/>
      <c r="J221" s="13"/>
      <c r="K221" s="13"/>
      <c r="L221" s="13"/>
      <c r="M221" s="13"/>
      <c r="N221" s="13"/>
      <c r="O221" s="13"/>
    </row>
    <row r="222" ht="15.75" customHeight="1">
      <c r="A222" s="13"/>
      <c r="B222" s="13"/>
      <c r="C222" s="13"/>
      <c r="D222" s="13"/>
      <c r="E222" s="13"/>
      <c r="F222" s="13"/>
      <c r="G222" s="13"/>
      <c r="H222" s="13"/>
      <c r="I222" s="13"/>
      <c r="J222" s="13"/>
      <c r="K222" s="13"/>
      <c r="L222" s="13"/>
      <c r="M222" s="13"/>
      <c r="N222" s="13"/>
      <c r="O222" s="13"/>
    </row>
    <row r="223" ht="15.75" customHeight="1">
      <c r="A223" s="13"/>
      <c r="B223" s="13"/>
      <c r="C223" s="13"/>
      <c r="D223" s="13"/>
      <c r="E223" s="13"/>
      <c r="F223" s="13"/>
      <c r="G223" s="13"/>
      <c r="H223" s="13"/>
      <c r="I223" s="13"/>
      <c r="J223" s="13"/>
      <c r="K223" s="13"/>
      <c r="L223" s="13"/>
      <c r="M223" s="13"/>
      <c r="N223" s="13"/>
      <c r="O223" s="13"/>
    </row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B1:D2"/>
    <mergeCell ref="E1:F2"/>
  </mergeCells>
  <dataValidations>
    <dataValidation type="list" allowBlank="1" showErrorMessage="1" sqref="G4:O124">
      <formula1>"선택,완료"</formula1>
    </dataValidation>
  </dataValidations>
  <hyperlinks>
    <hyperlink r:id="rId1" ref="D5"/>
    <hyperlink r:id="rId2" ref="D22"/>
    <hyperlink r:id="rId3" ref="D23"/>
    <hyperlink r:id="rId4" ref="D28"/>
    <hyperlink r:id="rId5" ref="D29"/>
    <hyperlink r:id="rId6" ref="D33"/>
    <hyperlink r:id="rId7" ref="D42"/>
    <hyperlink r:id="rId8" ref="D64"/>
    <hyperlink r:id="rId9" ref="D76"/>
    <hyperlink r:id="rId10" ref="D85"/>
  </hyperlinks>
  <drawing r:id="rId11"/>
  <tableParts count="1">
    <tablePart r:id="rId13"/>
  </tableParts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0"/>
  <cols>
    <col customWidth="1" min="1" max="1" width="9.5"/>
    <col customWidth="1" min="2" max="2" width="18.63"/>
    <col customWidth="1" min="3" max="3" width="21.13"/>
    <col customWidth="1" min="4" max="6" width="12.63"/>
  </cols>
  <sheetData>
    <row r="1" ht="15.75" customHeight="1">
      <c r="A1" s="60" t="s">
        <v>0</v>
      </c>
      <c r="D1" s="3" t="s">
        <v>1</v>
      </c>
      <c r="F1" s="5" t="s">
        <v>287</v>
      </c>
      <c r="G1" s="5" t="s">
        <v>288</v>
      </c>
      <c r="H1" s="5" t="s">
        <v>289</v>
      </c>
      <c r="I1" s="5" t="s">
        <v>290</v>
      </c>
      <c r="J1" s="5" t="s">
        <v>291</v>
      </c>
      <c r="K1" s="5" t="s">
        <v>292</v>
      </c>
      <c r="L1" s="5" t="s">
        <v>293</v>
      </c>
      <c r="M1" s="5" t="s">
        <v>294</v>
      </c>
      <c r="N1" s="5" t="s">
        <v>295</v>
      </c>
    </row>
    <row r="2" ht="15.75" customHeight="1">
      <c r="F2" s="7" t="s">
        <v>296</v>
      </c>
      <c r="G2" s="7" t="s">
        <v>297</v>
      </c>
      <c r="H2" s="7" t="s">
        <v>298</v>
      </c>
      <c r="I2" s="7" t="s">
        <v>299</v>
      </c>
      <c r="J2" s="7" t="s">
        <v>300</v>
      </c>
      <c r="K2" s="7" t="s">
        <v>301</v>
      </c>
      <c r="L2" s="7" t="s">
        <v>302</v>
      </c>
      <c r="M2" s="7" t="s">
        <v>303</v>
      </c>
      <c r="N2" s="7" t="s">
        <v>304</v>
      </c>
    </row>
    <row r="3" ht="15.75" customHeight="1">
      <c r="A3" s="1"/>
      <c r="B3" s="1"/>
      <c r="C3" s="1"/>
      <c r="D3" s="8"/>
      <c r="E3" s="8"/>
      <c r="F3" s="10" t="str">
        <f t="shared" ref="F3:N3" si="1">COUNTIF(F5:F200, "완료") &amp; "명 완료"
</f>
        <v>58명 완료</v>
      </c>
      <c r="G3" s="10" t="str">
        <f t="shared" si="1"/>
        <v>56명 완료</v>
      </c>
      <c r="H3" s="10" t="str">
        <f t="shared" si="1"/>
        <v>61명 완료</v>
      </c>
      <c r="I3" s="10" t="str">
        <f t="shared" si="1"/>
        <v>62명 완료</v>
      </c>
      <c r="J3" s="10" t="str">
        <f t="shared" si="1"/>
        <v>62명 완료</v>
      </c>
      <c r="K3" s="10" t="str">
        <f t="shared" si="1"/>
        <v>56명 완료</v>
      </c>
      <c r="L3" s="10" t="str">
        <f t="shared" si="1"/>
        <v>62명 완료</v>
      </c>
      <c r="M3" s="10" t="str">
        <f t="shared" si="1"/>
        <v>57명 완료</v>
      </c>
      <c r="N3" s="10" t="str">
        <f t="shared" si="1"/>
        <v>54명 완료</v>
      </c>
    </row>
    <row r="4" ht="15.75" customHeight="1">
      <c r="A4" s="63" t="s">
        <v>20</v>
      </c>
      <c r="B4" s="64" t="s">
        <v>21</v>
      </c>
      <c r="C4" s="64" t="s">
        <v>22</v>
      </c>
      <c r="D4" s="65" t="s">
        <v>23</v>
      </c>
      <c r="E4" s="65" t="s">
        <v>24</v>
      </c>
      <c r="F4" s="102" t="s">
        <v>25</v>
      </c>
      <c r="G4" s="102" t="s">
        <v>25</v>
      </c>
      <c r="H4" s="102" t="s">
        <v>25</v>
      </c>
      <c r="I4" s="102" t="s">
        <v>25</v>
      </c>
      <c r="J4" s="102" t="s">
        <v>25</v>
      </c>
      <c r="K4" s="102" t="s">
        <v>25</v>
      </c>
      <c r="L4" s="102" t="s">
        <v>25</v>
      </c>
      <c r="M4" s="102" t="s">
        <v>25</v>
      </c>
      <c r="N4" s="102" t="s">
        <v>25</v>
      </c>
    </row>
    <row r="5" ht="15.75" customHeight="1">
      <c r="A5" s="21">
        <v>1.0</v>
      </c>
      <c r="B5" s="22" t="s">
        <v>26</v>
      </c>
      <c r="C5" s="69" t="s">
        <v>27</v>
      </c>
      <c r="D5" s="70" t="str">
        <f t="shared" ref="D5:D124" si="2">IF(COUNTIF(F5:N5, "완료")=0, "", COUNTIF($F$4:$N$4, "완료") &amp; "번 중 " &amp; COUNTIF(F5:N5, "완료") &amp; "번 참여")
</f>
        <v>9번 중 9번 참여</v>
      </c>
      <c r="E5" s="71">
        <f t="shared" ref="E5:E124" si="3">IF(COUNTIF($F$4:$N$4, "완료")=0, "", IF(COUNTIF(F5:N5, "완료")=0, "", COUNTIF(F5:N5, "완료") / COUNTIF($F$4:$N$4, "완료")))
</f>
        <v>1</v>
      </c>
      <c r="F5" s="26" t="s">
        <v>25</v>
      </c>
      <c r="G5" s="26" t="s">
        <v>25</v>
      </c>
      <c r="H5" s="26" t="s">
        <v>25</v>
      </c>
      <c r="I5" s="26" t="s">
        <v>25</v>
      </c>
      <c r="J5" s="26" t="s">
        <v>25</v>
      </c>
      <c r="K5" s="26" t="s">
        <v>25</v>
      </c>
      <c r="L5" s="26" t="s">
        <v>25</v>
      </c>
      <c r="M5" s="26" t="s">
        <v>25</v>
      </c>
      <c r="N5" s="26" t="s">
        <v>25</v>
      </c>
    </row>
    <row r="6" ht="15.75" customHeight="1">
      <c r="A6" s="29">
        <v>2.0</v>
      </c>
      <c r="B6" s="30" t="s">
        <v>28</v>
      </c>
      <c r="C6" s="30" t="s">
        <v>29</v>
      </c>
      <c r="D6" s="70" t="str">
        <f t="shared" si="2"/>
        <v>9번 중 9번 참여</v>
      </c>
      <c r="E6" s="71">
        <f t="shared" si="3"/>
        <v>1</v>
      </c>
      <c r="F6" s="26" t="s">
        <v>25</v>
      </c>
      <c r="G6" s="26" t="s">
        <v>25</v>
      </c>
      <c r="H6" s="26" t="s">
        <v>25</v>
      </c>
      <c r="I6" s="26" t="s">
        <v>25</v>
      </c>
      <c r="J6" s="26" t="s">
        <v>25</v>
      </c>
      <c r="K6" s="26" t="s">
        <v>25</v>
      </c>
      <c r="L6" s="26" t="s">
        <v>25</v>
      </c>
      <c r="M6" s="26" t="s">
        <v>25</v>
      </c>
      <c r="N6" s="26" t="s">
        <v>25</v>
      </c>
    </row>
    <row r="7" ht="15.75" customHeight="1">
      <c r="A7" s="21">
        <v>3.0</v>
      </c>
      <c r="B7" s="30" t="s">
        <v>30</v>
      </c>
      <c r="C7" s="30" t="s">
        <v>31</v>
      </c>
      <c r="D7" s="70" t="str">
        <f t="shared" si="2"/>
        <v>9번 중 8번 참여</v>
      </c>
      <c r="E7" s="71">
        <f t="shared" si="3"/>
        <v>0.8888888889</v>
      </c>
      <c r="F7" s="26" t="s">
        <v>25</v>
      </c>
      <c r="G7" s="26" t="s">
        <v>25</v>
      </c>
      <c r="H7" s="26" t="s">
        <v>25</v>
      </c>
      <c r="I7" s="26" t="s">
        <v>25</v>
      </c>
      <c r="J7" s="26" t="s">
        <v>25</v>
      </c>
      <c r="K7" s="26" t="s">
        <v>25</v>
      </c>
      <c r="L7" s="26" t="s">
        <v>25</v>
      </c>
      <c r="M7" s="26" t="s">
        <v>25</v>
      </c>
      <c r="N7" s="26"/>
    </row>
    <row r="8" ht="15.75" customHeight="1">
      <c r="A8" s="29">
        <v>4.0</v>
      </c>
      <c r="B8" s="22" t="s">
        <v>32</v>
      </c>
      <c r="C8" s="22" t="s">
        <v>33</v>
      </c>
      <c r="D8" s="70" t="str">
        <f t="shared" si="2"/>
        <v>9번 중 8번 참여</v>
      </c>
      <c r="E8" s="71">
        <f t="shared" si="3"/>
        <v>0.8888888889</v>
      </c>
      <c r="F8" s="26" t="s">
        <v>25</v>
      </c>
      <c r="G8" s="26" t="s">
        <v>25</v>
      </c>
      <c r="H8" s="26" t="s">
        <v>25</v>
      </c>
      <c r="I8" s="26" t="s">
        <v>25</v>
      </c>
      <c r="J8" s="26" t="s">
        <v>25</v>
      </c>
      <c r="K8" s="26" t="s">
        <v>25</v>
      </c>
      <c r="L8" s="26" t="s">
        <v>25</v>
      </c>
      <c r="M8" s="26" t="s">
        <v>25</v>
      </c>
      <c r="N8" s="26"/>
    </row>
    <row r="9" ht="15.75" customHeight="1">
      <c r="A9" s="21">
        <v>5.0</v>
      </c>
      <c r="B9" s="30" t="s">
        <v>34</v>
      </c>
      <c r="C9" s="30" t="s">
        <v>35</v>
      </c>
      <c r="D9" s="70" t="str">
        <f t="shared" si="2"/>
        <v>9번 중 8번 참여</v>
      </c>
      <c r="E9" s="71">
        <f t="shared" si="3"/>
        <v>0.8888888889</v>
      </c>
      <c r="F9" s="26" t="s">
        <v>25</v>
      </c>
      <c r="G9" s="26" t="s">
        <v>25</v>
      </c>
      <c r="H9" s="26" t="s">
        <v>25</v>
      </c>
      <c r="I9" s="26" t="s">
        <v>25</v>
      </c>
      <c r="J9" s="26"/>
      <c r="K9" s="26" t="s">
        <v>25</v>
      </c>
      <c r="L9" s="26" t="s">
        <v>25</v>
      </c>
      <c r="M9" s="26" t="s">
        <v>25</v>
      </c>
      <c r="N9" s="26" t="s">
        <v>25</v>
      </c>
    </row>
    <row r="10" ht="15.75" customHeight="1">
      <c r="A10" s="29">
        <v>6.0</v>
      </c>
      <c r="B10" s="22" t="s">
        <v>36</v>
      </c>
      <c r="C10" s="22" t="s">
        <v>72</v>
      </c>
      <c r="D10" s="70" t="str">
        <f t="shared" si="2"/>
        <v>9번 중 9번 참여</v>
      </c>
      <c r="E10" s="71">
        <f t="shared" si="3"/>
        <v>1</v>
      </c>
      <c r="F10" s="26" t="s">
        <v>25</v>
      </c>
      <c r="G10" s="26" t="s">
        <v>25</v>
      </c>
      <c r="H10" s="26" t="s">
        <v>25</v>
      </c>
      <c r="I10" s="26" t="s">
        <v>25</v>
      </c>
      <c r="J10" s="26" t="s">
        <v>25</v>
      </c>
      <c r="K10" s="26" t="s">
        <v>25</v>
      </c>
      <c r="L10" s="26" t="s">
        <v>25</v>
      </c>
      <c r="M10" s="26" t="s">
        <v>25</v>
      </c>
      <c r="N10" s="26" t="s">
        <v>25</v>
      </c>
    </row>
    <row r="11" ht="15.75" customHeight="1">
      <c r="A11" s="21">
        <v>7.0</v>
      </c>
      <c r="B11" s="30" t="s">
        <v>38</v>
      </c>
      <c r="C11" s="30" t="s">
        <v>39</v>
      </c>
      <c r="D11" s="70" t="str">
        <f t="shared" si="2"/>
        <v>9번 중 9번 참여</v>
      </c>
      <c r="E11" s="71">
        <f t="shared" si="3"/>
        <v>1</v>
      </c>
      <c r="F11" s="26" t="s">
        <v>25</v>
      </c>
      <c r="G11" s="26" t="s">
        <v>25</v>
      </c>
      <c r="H11" s="26" t="s">
        <v>25</v>
      </c>
      <c r="I11" s="26" t="s">
        <v>25</v>
      </c>
      <c r="J11" s="26" t="s">
        <v>25</v>
      </c>
      <c r="K11" s="26" t="s">
        <v>25</v>
      </c>
      <c r="L11" s="26" t="s">
        <v>25</v>
      </c>
      <c r="M11" s="26" t="s">
        <v>25</v>
      </c>
      <c r="N11" s="26" t="s">
        <v>25</v>
      </c>
    </row>
    <row r="12" ht="15.75" customHeight="1">
      <c r="A12" s="29">
        <v>8.0</v>
      </c>
      <c r="B12" s="22" t="s">
        <v>40</v>
      </c>
      <c r="C12" s="22" t="s">
        <v>41</v>
      </c>
      <c r="D12" s="70" t="str">
        <f t="shared" si="2"/>
        <v>9번 중 9번 참여</v>
      </c>
      <c r="E12" s="71">
        <f t="shared" si="3"/>
        <v>1</v>
      </c>
      <c r="F12" s="26" t="s">
        <v>25</v>
      </c>
      <c r="G12" s="26" t="s">
        <v>25</v>
      </c>
      <c r="H12" s="26" t="s">
        <v>25</v>
      </c>
      <c r="I12" s="26" t="s">
        <v>25</v>
      </c>
      <c r="J12" s="26" t="s">
        <v>25</v>
      </c>
      <c r="K12" s="26" t="s">
        <v>25</v>
      </c>
      <c r="L12" s="26" t="s">
        <v>25</v>
      </c>
      <c r="M12" s="26" t="s">
        <v>25</v>
      </c>
      <c r="N12" s="26" t="s">
        <v>25</v>
      </c>
    </row>
    <row r="13" ht="15.75" customHeight="1">
      <c r="A13" s="21">
        <v>9.0</v>
      </c>
      <c r="B13" s="30" t="s">
        <v>42</v>
      </c>
      <c r="C13" s="30" t="s">
        <v>43</v>
      </c>
      <c r="D13" s="70" t="str">
        <f t="shared" si="2"/>
        <v>9번 중 7번 참여</v>
      </c>
      <c r="E13" s="71">
        <f t="shared" si="3"/>
        <v>0.7777777778</v>
      </c>
      <c r="F13" s="26"/>
      <c r="G13" s="26" t="s">
        <v>25</v>
      </c>
      <c r="H13" s="26"/>
      <c r="I13" s="26" t="s">
        <v>25</v>
      </c>
      <c r="J13" s="26" t="s">
        <v>25</v>
      </c>
      <c r="K13" s="26" t="s">
        <v>25</v>
      </c>
      <c r="L13" s="26" t="s">
        <v>25</v>
      </c>
      <c r="M13" s="26" t="s">
        <v>25</v>
      </c>
      <c r="N13" s="26" t="s">
        <v>25</v>
      </c>
    </row>
    <row r="14" ht="15.75" customHeight="1">
      <c r="A14" s="29">
        <v>10.0</v>
      </c>
      <c r="B14" s="42"/>
      <c r="C14" s="42"/>
      <c r="D14" s="70" t="str">
        <f t="shared" si="2"/>
        <v/>
      </c>
      <c r="E14" s="71" t="str">
        <f t="shared" si="3"/>
        <v/>
      </c>
      <c r="F14" s="26"/>
      <c r="G14" s="26"/>
      <c r="H14" s="26"/>
      <c r="I14" s="26"/>
      <c r="J14" s="26"/>
      <c r="K14" s="26"/>
      <c r="L14" s="26"/>
      <c r="M14" s="26"/>
      <c r="N14" s="26"/>
    </row>
    <row r="15" ht="15.75" customHeight="1">
      <c r="A15" s="21">
        <v>11.0</v>
      </c>
      <c r="B15" s="22"/>
      <c r="C15" s="22"/>
      <c r="D15" s="70" t="str">
        <f t="shared" si="2"/>
        <v/>
      </c>
      <c r="E15" s="71" t="str">
        <f t="shared" si="3"/>
        <v/>
      </c>
      <c r="F15" s="26" t="s">
        <v>80</v>
      </c>
      <c r="G15" s="26"/>
      <c r="H15" s="26"/>
      <c r="I15" s="26"/>
      <c r="J15" s="26"/>
      <c r="K15" s="26"/>
      <c r="L15" s="26"/>
      <c r="M15" s="26"/>
      <c r="N15" s="26"/>
    </row>
    <row r="16" ht="15.75" customHeight="1">
      <c r="A16" s="29">
        <v>12.0</v>
      </c>
      <c r="B16" s="22" t="s">
        <v>44</v>
      </c>
      <c r="C16" s="22" t="s">
        <v>45</v>
      </c>
      <c r="D16" s="70" t="str">
        <f t="shared" si="2"/>
        <v>9번 중 9번 참여</v>
      </c>
      <c r="E16" s="71">
        <f t="shared" si="3"/>
        <v>1</v>
      </c>
      <c r="F16" s="26" t="s">
        <v>25</v>
      </c>
      <c r="G16" s="26" t="s">
        <v>25</v>
      </c>
      <c r="H16" s="26" t="s">
        <v>25</v>
      </c>
      <c r="I16" s="26" t="s">
        <v>25</v>
      </c>
      <c r="J16" s="26" t="s">
        <v>25</v>
      </c>
      <c r="K16" s="26" t="s">
        <v>25</v>
      </c>
      <c r="L16" s="26" t="s">
        <v>25</v>
      </c>
      <c r="M16" s="26" t="s">
        <v>25</v>
      </c>
      <c r="N16" s="26" t="s">
        <v>25</v>
      </c>
    </row>
    <row r="17" ht="15.75" customHeight="1">
      <c r="A17" s="21">
        <v>13.0</v>
      </c>
      <c r="B17" s="30" t="s">
        <v>46</v>
      </c>
      <c r="C17" s="30" t="s">
        <v>47</v>
      </c>
      <c r="D17" s="70" t="str">
        <f t="shared" si="2"/>
        <v/>
      </c>
      <c r="E17" s="71" t="str">
        <f t="shared" si="3"/>
        <v/>
      </c>
      <c r="F17" s="26"/>
      <c r="G17" s="26"/>
      <c r="H17" s="26"/>
      <c r="I17" s="26"/>
      <c r="J17" s="26"/>
      <c r="K17" s="26"/>
      <c r="L17" s="26"/>
      <c r="M17" s="26"/>
      <c r="N17" s="26"/>
    </row>
    <row r="18" ht="15.75" customHeight="1">
      <c r="A18" s="29">
        <v>14.0</v>
      </c>
      <c r="B18" s="22" t="s">
        <v>48</v>
      </c>
      <c r="C18" s="22" t="s">
        <v>49</v>
      </c>
      <c r="D18" s="70" t="str">
        <f t="shared" si="2"/>
        <v>9번 중 8번 참여</v>
      </c>
      <c r="E18" s="71">
        <f t="shared" si="3"/>
        <v>0.8888888889</v>
      </c>
      <c r="F18" s="26" t="s">
        <v>25</v>
      </c>
      <c r="G18" s="26" t="s">
        <v>25</v>
      </c>
      <c r="H18" s="26" t="s">
        <v>25</v>
      </c>
      <c r="I18" s="26"/>
      <c r="J18" s="26" t="s">
        <v>25</v>
      </c>
      <c r="K18" s="26" t="s">
        <v>25</v>
      </c>
      <c r="L18" s="26" t="s">
        <v>25</v>
      </c>
      <c r="M18" s="26" t="s">
        <v>25</v>
      </c>
      <c r="N18" s="26" t="s">
        <v>25</v>
      </c>
    </row>
    <row r="19" ht="15.75" customHeight="1">
      <c r="A19" s="21">
        <v>15.0</v>
      </c>
      <c r="B19" s="30" t="s">
        <v>50</v>
      </c>
      <c r="C19" s="30" t="s">
        <v>51</v>
      </c>
      <c r="D19" s="70" t="str">
        <f t="shared" si="2"/>
        <v>9번 중 9번 참여</v>
      </c>
      <c r="E19" s="71">
        <f t="shared" si="3"/>
        <v>1</v>
      </c>
      <c r="F19" s="26" t="s">
        <v>25</v>
      </c>
      <c r="G19" s="26" t="s">
        <v>25</v>
      </c>
      <c r="H19" s="26" t="s">
        <v>25</v>
      </c>
      <c r="I19" s="26" t="s">
        <v>25</v>
      </c>
      <c r="J19" s="26" t="s">
        <v>25</v>
      </c>
      <c r="K19" s="26" t="s">
        <v>25</v>
      </c>
      <c r="L19" s="26" t="s">
        <v>25</v>
      </c>
      <c r="M19" s="26" t="s">
        <v>25</v>
      </c>
      <c r="N19" s="26" t="s">
        <v>25</v>
      </c>
    </row>
    <row r="20" ht="15.75" customHeight="1">
      <c r="A20" s="29">
        <v>16.0</v>
      </c>
      <c r="B20" s="22" t="s">
        <v>52</v>
      </c>
      <c r="C20" s="22" t="s">
        <v>53</v>
      </c>
      <c r="D20" s="70" t="str">
        <f t="shared" si="2"/>
        <v>9번 중 9번 참여</v>
      </c>
      <c r="E20" s="71">
        <f t="shared" si="3"/>
        <v>1</v>
      </c>
      <c r="F20" s="26" t="s">
        <v>25</v>
      </c>
      <c r="G20" s="26" t="s">
        <v>25</v>
      </c>
      <c r="H20" s="26" t="s">
        <v>25</v>
      </c>
      <c r="I20" s="26" t="s">
        <v>25</v>
      </c>
      <c r="J20" s="26" t="s">
        <v>25</v>
      </c>
      <c r="K20" s="26" t="s">
        <v>25</v>
      </c>
      <c r="L20" s="26" t="s">
        <v>25</v>
      </c>
      <c r="M20" s="26" t="s">
        <v>25</v>
      </c>
      <c r="N20" s="26" t="s">
        <v>25</v>
      </c>
    </row>
    <row r="21" ht="15.75" customHeight="1">
      <c r="A21" s="21">
        <v>17.0</v>
      </c>
      <c r="B21" s="22" t="s">
        <v>54</v>
      </c>
      <c r="C21" s="22" t="s">
        <v>55</v>
      </c>
      <c r="D21" s="70" t="str">
        <f t="shared" si="2"/>
        <v>9번 중 8번 참여</v>
      </c>
      <c r="E21" s="71">
        <f t="shared" si="3"/>
        <v>0.8888888889</v>
      </c>
      <c r="F21" s="26" t="s">
        <v>25</v>
      </c>
      <c r="G21" s="26" t="s">
        <v>25</v>
      </c>
      <c r="H21" s="26"/>
      <c r="I21" s="26" t="s">
        <v>25</v>
      </c>
      <c r="J21" s="26" t="s">
        <v>25</v>
      </c>
      <c r="K21" s="26" t="s">
        <v>25</v>
      </c>
      <c r="L21" s="26" t="s">
        <v>25</v>
      </c>
      <c r="M21" s="26" t="s">
        <v>25</v>
      </c>
      <c r="N21" s="26" t="s">
        <v>25</v>
      </c>
    </row>
    <row r="22" ht="15.75" customHeight="1">
      <c r="A22" s="29">
        <v>18.0</v>
      </c>
      <c r="B22" s="22" t="s">
        <v>56</v>
      </c>
      <c r="C22" s="22" t="s">
        <v>57</v>
      </c>
      <c r="D22" s="70" t="str">
        <f t="shared" si="2"/>
        <v>9번 중 9번 참여</v>
      </c>
      <c r="E22" s="71">
        <f t="shared" si="3"/>
        <v>1</v>
      </c>
      <c r="F22" s="26" t="s">
        <v>25</v>
      </c>
      <c r="G22" s="26" t="s">
        <v>25</v>
      </c>
      <c r="H22" s="26" t="s">
        <v>25</v>
      </c>
      <c r="I22" s="26" t="s">
        <v>25</v>
      </c>
      <c r="J22" s="26" t="s">
        <v>25</v>
      </c>
      <c r="K22" s="26" t="s">
        <v>25</v>
      </c>
      <c r="L22" s="26" t="s">
        <v>25</v>
      </c>
      <c r="M22" s="26" t="s">
        <v>25</v>
      </c>
      <c r="N22" s="26" t="s">
        <v>25</v>
      </c>
    </row>
    <row r="23" ht="15.75" customHeight="1">
      <c r="A23" s="21">
        <v>19.0</v>
      </c>
      <c r="B23" s="30" t="s">
        <v>58</v>
      </c>
      <c r="C23" s="72" t="s">
        <v>59</v>
      </c>
      <c r="D23" s="70" t="str">
        <f t="shared" si="2"/>
        <v>9번 중 9번 참여</v>
      </c>
      <c r="E23" s="71">
        <f t="shared" si="3"/>
        <v>1</v>
      </c>
      <c r="F23" s="26" t="s">
        <v>25</v>
      </c>
      <c r="G23" s="26" t="s">
        <v>25</v>
      </c>
      <c r="H23" s="26" t="s">
        <v>25</v>
      </c>
      <c r="I23" s="26" t="s">
        <v>25</v>
      </c>
      <c r="J23" s="26" t="s">
        <v>25</v>
      </c>
      <c r="K23" s="26" t="s">
        <v>25</v>
      </c>
      <c r="L23" s="26" t="s">
        <v>25</v>
      </c>
      <c r="M23" s="26" t="s">
        <v>25</v>
      </c>
      <c r="N23" s="26" t="s">
        <v>25</v>
      </c>
    </row>
    <row r="24" ht="15.75" customHeight="1">
      <c r="A24" s="29">
        <v>20.0</v>
      </c>
      <c r="B24" s="22" t="s">
        <v>60</v>
      </c>
      <c r="C24" s="69" t="s">
        <v>61</v>
      </c>
      <c r="D24" s="70" t="str">
        <f t="shared" si="2"/>
        <v>9번 중 9번 참여</v>
      </c>
      <c r="E24" s="71">
        <f t="shared" si="3"/>
        <v>1</v>
      </c>
      <c r="F24" s="26" t="s">
        <v>25</v>
      </c>
      <c r="G24" s="26" t="s">
        <v>25</v>
      </c>
      <c r="H24" s="26" t="s">
        <v>25</v>
      </c>
      <c r="I24" s="26" t="s">
        <v>25</v>
      </c>
      <c r="J24" s="26" t="s">
        <v>25</v>
      </c>
      <c r="K24" s="26" t="s">
        <v>25</v>
      </c>
      <c r="L24" s="26" t="s">
        <v>25</v>
      </c>
      <c r="M24" s="26" t="s">
        <v>25</v>
      </c>
      <c r="N24" s="26" t="s">
        <v>25</v>
      </c>
    </row>
    <row r="25" ht="15.75" customHeight="1">
      <c r="A25" s="21">
        <v>21.0</v>
      </c>
      <c r="B25" s="42" t="s">
        <v>62</v>
      </c>
      <c r="C25" s="73" t="s">
        <v>63</v>
      </c>
      <c r="D25" s="70" t="str">
        <f t="shared" si="2"/>
        <v>9번 중 9번 참여</v>
      </c>
      <c r="E25" s="71">
        <f t="shared" si="3"/>
        <v>1</v>
      </c>
      <c r="F25" s="26" t="s">
        <v>25</v>
      </c>
      <c r="G25" s="26" t="s">
        <v>25</v>
      </c>
      <c r="H25" s="26" t="s">
        <v>25</v>
      </c>
      <c r="I25" s="26" t="s">
        <v>25</v>
      </c>
      <c r="J25" s="26" t="s">
        <v>25</v>
      </c>
      <c r="K25" s="26" t="s">
        <v>25</v>
      </c>
      <c r="L25" s="26" t="s">
        <v>25</v>
      </c>
      <c r="M25" s="26" t="s">
        <v>25</v>
      </c>
      <c r="N25" s="26" t="s">
        <v>25</v>
      </c>
    </row>
    <row r="26" ht="15.75" customHeight="1">
      <c r="A26" s="29">
        <v>22.0</v>
      </c>
      <c r="B26" s="22" t="s">
        <v>64</v>
      </c>
      <c r="C26" s="74" t="s">
        <v>65</v>
      </c>
      <c r="D26" s="70" t="str">
        <f t="shared" si="2"/>
        <v/>
      </c>
      <c r="E26" s="71" t="str">
        <f t="shared" si="3"/>
        <v/>
      </c>
      <c r="F26" s="26"/>
      <c r="G26" s="26"/>
      <c r="H26" s="26"/>
      <c r="I26" s="26"/>
      <c r="J26" s="26"/>
      <c r="K26" s="26"/>
      <c r="L26" s="26"/>
      <c r="M26" s="26"/>
      <c r="N26" s="26"/>
    </row>
    <row r="27" ht="15.75" customHeight="1">
      <c r="A27" s="21">
        <v>23.0</v>
      </c>
      <c r="B27" s="30" t="s">
        <v>66</v>
      </c>
      <c r="C27" s="72" t="s">
        <v>67</v>
      </c>
      <c r="D27" s="70" t="str">
        <f t="shared" si="2"/>
        <v>9번 중 9번 참여</v>
      </c>
      <c r="E27" s="71">
        <f t="shared" si="3"/>
        <v>1</v>
      </c>
      <c r="F27" s="26" t="s">
        <v>25</v>
      </c>
      <c r="G27" s="26" t="s">
        <v>25</v>
      </c>
      <c r="H27" s="26" t="s">
        <v>25</v>
      </c>
      <c r="I27" s="26" t="s">
        <v>25</v>
      </c>
      <c r="J27" s="26" t="s">
        <v>25</v>
      </c>
      <c r="K27" s="26" t="s">
        <v>25</v>
      </c>
      <c r="L27" s="26" t="s">
        <v>25</v>
      </c>
      <c r="M27" s="26" t="s">
        <v>25</v>
      </c>
      <c r="N27" s="26" t="s">
        <v>25</v>
      </c>
    </row>
    <row r="28" ht="15.75" customHeight="1">
      <c r="A28" s="29">
        <v>24.0</v>
      </c>
      <c r="B28" s="75" t="s">
        <v>68</v>
      </c>
      <c r="C28" s="76" t="s">
        <v>69</v>
      </c>
      <c r="D28" s="70" t="str">
        <f t="shared" si="2"/>
        <v/>
      </c>
      <c r="E28" s="71" t="str">
        <f t="shared" si="3"/>
        <v/>
      </c>
      <c r="F28" s="26"/>
      <c r="G28" s="26"/>
      <c r="H28" s="26"/>
      <c r="I28" s="26"/>
      <c r="J28" s="26"/>
      <c r="K28" s="26"/>
      <c r="L28" s="26"/>
      <c r="M28" s="26"/>
      <c r="N28" s="26"/>
    </row>
    <row r="29" ht="15.75" customHeight="1">
      <c r="A29" s="21">
        <v>25.0</v>
      </c>
      <c r="B29" s="30" t="s">
        <v>74</v>
      </c>
      <c r="C29" s="72" t="s">
        <v>75</v>
      </c>
      <c r="D29" s="70" t="str">
        <f t="shared" si="2"/>
        <v>9번 중 7번 참여</v>
      </c>
      <c r="E29" s="71">
        <f t="shared" si="3"/>
        <v>0.7777777778</v>
      </c>
      <c r="F29" s="26"/>
      <c r="G29" s="26"/>
      <c r="H29" s="26" t="s">
        <v>25</v>
      </c>
      <c r="I29" s="26" t="s">
        <v>25</v>
      </c>
      <c r="J29" s="26" t="s">
        <v>25</v>
      </c>
      <c r="K29" s="26" t="s">
        <v>25</v>
      </c>
      <c r="L29" s="26" t="s">
        <v>25</v>
      </c>
      <c r="M29" s="26" t="s">
        <v>25</v>
      </c>
      <c r="N29" s="26" t="s">
        <v>25</v>
      </c>
    </row>
    <row r="30" ht="15.75" customHeight="1">
      <c r="A30" s="29">
        <v>26.0</v>
      </c>
      <c r="B30" s="22" t="s">
        <v>76</v>
      </c>
      <c r="C30" s="69" t="s">
        <v>77</v>
      </c>
      <c r="D30" s="70" t="str">
        <f t="shared" si="2"/>
        <v>9번 중 9번 참여</v>
      </c>
      <c r="E30" s="71">
        <f t="shared" si="3"/>
        <v>1</v>
      </c>
      <c r="F30" s="26" t="s">
        <v>25</v>
      </c>
      <c r="G30" s="26" t="s">
        <v>25</v>
      </c>
      <c r="H30" s="26" t="s">
        <v>25</v>
      </c>
      <c r="I30" s="26" t="s">
        <v>25</v>
      </c>
      <c r="J30" s="26" t="s">
        <v>25</v>
      </c>
      <c r="K30" s="26" t="s">
        <v>25</v>
      </c>
      <c r="L30" s="26" t="s">
        <v>25</v>
      </c>
      <c r="M30" s="26" t="s">
        <v>25</v>
      </c>
      <c r="N30" s="26" t="s">
        <v>25</v>
      </c>
    </row>
    <row r="31" ht="15.75" customHeight="1">
      <c r="A31" s="21">
        <v>27.0</v>
      </c>
      <c r="B31" s="30" t="s">
        <v>78</v>
      </c>
      <c r="C31" s="103" t="s">
        <v>79</v>
      </c>
      <c r="D31" s="70" t="str">
        <f t="shared" si="2"/>
        <v>9번 중 9번 참여</v>
      </c>
      <c r="E31" s="71">
        <f t="shared" si="3"/>
        <v>1</v>
      </c>
      <c r="F31" s="26" t="s">
        <v>25</v>
      </c>
      <c r="G31" s="26" t="s">
        <v>25</v>
      </c>
      <c r="H31" s="26" t="s">
        <v>25</v>
      </c>
      <c r="I31" s="26" t="s">
        <v>25</v>
      </c>
      <c r="J31" s="26" t="s">
        <v>25</v>
      </c>
      <c r="K31" s="26" t="s">
        <v>25</v>
      </c>
      <c r="L31" s="26" t="s">
        <v>25</v>
      </c>
      <c r="M31" s="26" t="s">
        <v>25</v>
      </c>
      <c r="N31" s="26" t="s">
        <v>25</v>
      </c>
    </row>
    <row r="32" ht="15.75" customHeight="1">
      <c r="A32" s="29">
        <v>28.0</v>
      </c>
      <c r="B32" s="30"/>
      <c r="C32" s="30"/>
      <c r="D32" s="70" t="str">
        <f t="shared" si="2"/>
        <v/>
      </c>
      <c r="E32" s="71" t="str">
        <f t="shared" si="3"/>
        <v/>
      </c>
      <c r="F32" s="26" t="s">
        <v>80</v>
      </c>
      <c r="G32" s="26"/>
      <c r="H32" s="26"/>
      <c r="I32" s="26"/>
      <c r="J32" s="26"/>
      <c r="K32" s="26"/>
      <c r="L32" s="26"/>
      <c r="M32" s="26"/>
      <c r="N32" s="26"/>
    </row>
    <row r="33" ht="15.75" customHeight="1">
      <c r="A33" s="21">
        <v>29.0</v>
      </c>
      <c r="B33" s="30" t="s">
        <v>81</v>
      </c>
      <c r="C33" s="30" t="s">
        <v>82</v>
      </c>
      <c r="D33" s="70" t="str">
        <f t="shared" si="2"/>
        <v>9번 중 8번 참여</v>
      </c>
      <c r="E33" s="71">
        <f t="shared" si="3"/>
        <v>0.8888888889</v>
      </c>
      <c r="F33" s="26" t="s">
        <v>25</v>
      </c>
      <c r="G33" s="26" t="s">
        <v>25</v>
      </c>
      <c r="H33" s="26" t="s">
        <v>25</v>
      </c>
      <c r="I33" s="26" t="s">
        <v>25</v>
      </c>
      <c r="J33" s="26" t="s">
        <v>25</v>
      </c>
      <c r="K33" s="26"/>
      <c r="L33" s="26" t="s">
        <v>25</v>
      </c>
      <c r="M33" s="26" t="s">
        <v>25</v>
      </c>
      <c r="N33" s="26" t="s">
        <v>25</v>
      </c>
    </row>
    <row r="34" ht="15.75" customHeight="1">
      <c r="A34" s="29">
        <v>30.0</v>
      </c>
      <c r="B34" s="30" t="s">
        <v>83</v>
      </c>
      <c r="C34" s="72" t="s">
        <v>84</v>
      </c>
      <c r="D34" s="70" t="str">
        <f t="shared" si="2"/>
        <v/>
      </c>
      <c r="E34" s="71" t="str">
        <f t="shared" si="3"/>
        <v/>
      </c>
      <c r="F34" s="26"/>
      <c r="G34" s="26"/>
      <c r="H34" s="26"/>
      <c r="I34" s="26"/>
      <c r="J34" s="26"/>
      <c r="K34" s="26"/>
      <c r="L34" s="26"/>
      <c r="M34" s="26"/>
      <c r="N34" s="26"/>
    </row>
    <row r="35" ht="15.75" customHeight="1">
      <c r="A35" s="21">
        <v>31.0</v>
      </c>
      <c r="B35" s="30" t="s">
        <v>85</v>
      </c>
      <c r="C35" s="72" t="s">
        <v>86</v>
      </c>
      <c r="D35" s="70" t="str">
        <f t="shared" si="2"/>
        <v>9번 중 7번 참여</v>
      </c>
      <c r="E35" s="71">
        <f t="shared" si="3"/>
        <v>0.7777777778</v>
      </c>
      <c r="F35" s="26" t="s">
        <v>25</v>
      </c>
      <c r="G35" s="26" t="s">
        <v>25</v>
      </c>
      <c r="H35" s="26"/>
      <c r="I35" s="26" t="s">
        <v>25</v>
      </c>
      <c r="J35" s="26"/>
      <c r="K35" s="26" t="s">
        <v>25</v>
      </c>
      <c r="L35" s="26" t="s">
        <v>25</v>
      </c>
      <c r="M35" s="26" t="s">
        <v>25</v>
      </c>
      <c r="N35" s="26" t="s">
        <v>25</v>
      </c>
    </row>
    <row r="36" ht="15.75" customHeight="1">
      <c r="A36" s="29">
        <v>32.0</v>
      </c>
      <c r="B36" s="22" t="s">
        <v>87</v>
      </c>
      <c r="C36" s="69" t="s">
        <v>88</v>
      </c>
      <c r="D36" s="70" t="str">
        <f t="shared" si="2"/>
        <v>9번 중 7번 참여</v>
      </c>
      <c r="E36" s="71">
        <f t="shared" si="3"/>
        <v>0.7777777778</v>
      </c>
      <c r="F36" s="26" t="s">
        <v>25</v>
      </c>
      <c r="G36" s="26" t="s">
        <v>25</v>
      </c>
      <c r="H36" s="26"/>
      <c r="I36" s="26" t="s">
        <v>25</v>
      </c>
      <c r="J36" s="26" t="s">
        <v>25</v>
      </c>
      <c r="K36" s="26"/>
      <c r="L36" s="26" t="s">
        <v>25</v>
      </c>
      <c r="M36" s="26" t="s">
        <v>25</v>
      </c>
      <c r="N36" s="26" t="s">
        <v>25</v>
      </c>
    </row>
    <row r="37" ht="15.75" customHeight="1">
      <c r="A37" s="21">
        <v>33.0</v>
      </c>
      <c r="B37" s="39" t="s">
        <v>89</v>
      </c>
      <c r="C37" s="79" t="s">
        <v>90</v>
      </c>
      <c r="D37" s="70" t="str">
        <f t="shared" si="2"/>
        <v/>
      </c>
      <c r="E37" s="71" t="str">
        <f t="shared" si="3"/>
        <v/>
      </c>
      <c r="F37" s="26"/>
      <c r="G37" s="26"/>
      <c r="H37" s="26"/>
      <c r="I37" s="26"/>
      <c r="J37" s="26"/>
      <c r="K37" s="26"/>
      <c r="L37" s="26"/>
      <c r="M37" s="26"/>
      <c r="N37" s="26"/>
    </row>
    <row r="38" ht="15.75" customHeight="1">
      <c r="A38" s="29">
        <v>34.0</v>
      </c>
      <c r="B38" s="44" t="s">
        <v>91</v>
      </c>
      <c r="C38" s="44" t="s">
        <v>92</v>
      </c>
      <c r="D38" s="70" t="str">
        <f t="shared" si="2"/>
        <v>9번 중 7번 참여</v>
      </c>
      <c r="E38" s="71">
        <f t="shared" si="3"/>
        <v>0.7777777778</v>
      </c>
      <c r="F38" s="26" t="s">
        <v>25</v>
      </c>
      <c r="G38" s="26" t="s">
        <v>25</v>
      </c>
      <c r="H38" s="26" t="s">
        <v>25</v>
      </c>
      <c r="I38" s="26" t="s">
        <v>25</v>
      </c>
      <c r="J38" s="26" t="s">
        <v>25</v>
      </c>
      <c r="K38" s="26" t="s">
        <v>25</v>
      </c>
      <c r="L38" s="26" t="s">
        <v>25</v>
      </c>
      <c r="M38" s="26"/>
      <c r="N38" s="26"/>
    </row>
    <row r="39" ht="15.75" customHeight="1">
      <c r="A39" s="21">
        <v>35.0</v>
      </c>
      <c r="B39" s="30" t="s">
        <v>93</v>
      </c>
      <c r="C39" s="30" t="s">
        <v>94</v>
      </c>
      <c r="D39" s="70" t="str">
        <f t="shared" si="2"/>
        <v>9번 중 2번 참여</v>
      </c>
      <c r="E39" s="71">
        <f t="shared" si="3"/>
        <v>0.2222222222</v>
      </c>
      <c r="F39" s="26"/>
      <c r="G39" s="26"/>
      <c r="H39" s="26" t="s">
        <v>25</v>
      </c>
      <c r="I39" s="26"/>
      <c r="J39" s="26"/>
      <c r="K39" s="26" t="s">
        <v>25</v>
      </c>
      <c r="L39" s="26"/>
      <c r="M39" s="26"/>
      <c r="N39" s="26"/>
    </row>
    <row r="40" ht="15.75" customHeight="1">
      <c r="A40" s="29">
        <v>36.0</v>
      </c>
      <c r="B40" s="22" t="s">
        <v>124</v>
      </c>
      <c r="C40" s="22" t="s">
        <v>125</v>
      </c>
      <c r="D40" s="70" t="str">
        <f t="shared" si="2"/>
        <v>9번 중 9번 참여</v>
      </c>
      <c r="E40" s="71">
        <f t="shared" si="3"/>
        <v>1</v>
      </c>
      <c r="F40" s="26" t="s">
        <v>25</v>
      </c>
      <c r="G40" s="26" t="s">
        <v>25</v>
      </c>
      <c r="H40" s="26" t="s">
        <v>25</v>
      </c>
      <c r="I40" s="26" t="s">
        <v>25</v>
      </c>
      <c r="J40" s="26" t="s">
        <v>25</v>
      </c>
      <c r="K40" s="26" t="s">
        <v>25</v>
      </c>
      <c r="L40" s="26" t="s">
        <v>25</v>
      </c>
      <c r="M40" s="26" t="s">
        <v>25</v>
      </c>
      <c r="N40" s="26" t="s">
        <v>25</v>
      </c>
    </row>
    <row r="41" ht="15.75" customHeight="1">
      <c r="A41" s="21">
        <v>37.0</v>
      </c>
      <c r="B41" s="30" t="s">
        <v>128</v>
      </c>
      <c r="C41" s="30" t="s">
        <v>129</v>
      </c>
      <c r="D41" s="70" t="str">
        <f t="shared" si="2"/>
        <v>9번 중 9번 참여</v>
      </c>
      <c r="E41" s="71">
        <f t="shared" si="3"/>
        <v>1</v>
      </c>
      <c r="F41" s="26" t="s">
        <v>25</v>
      </c>
      <c r="G41" s="26" t="s">
        <v>25</v>
      </c>
      <c r="H41" s="26" t="s">
        <v>25</v>
      </c>
      <c r="I41" s="26" t="s">
        <v>25</v>
      </c>
      <c r="J41" s="26" t="s">
        <v>25</v>
      </c>
      <c r="K41" s="26" t="s">
        <v>25</v>
      </c>
      <c r="L41" s="26" t="s">
        <v>25</v>
      </c>
      <c r="M41" s="26" t="s">
        <v>25</v>
      </c>
      <c r="N41" s="26" t="s">
        <v>25</v>
      </c>
    </row>
    <row r="42" ht="15.75" customHeight="1">
      <c r="A42" s="29">
        <v>38.0</v>
      </c>
      <c r="B42" s="22" t="s">
        <v>99</v>
      </c>
      <c r="C42" s="22" t="s">
        <v>100</v>
      </c>
      <c r="D42" s="70" t="str">
        <f t="shared" si="2"/>
        <v>9번 중 3번 참여</v>
      </c>
      <c r="E42" s="71">
        <f t="shared" si="3"/>
        <v>0.3333333333</v>
      </c>
      <c r="F42" s="26"/>
      <c r="G42" s="26"/>
      <c r="H42" s="26" t="s">
        <v>25</v>
      </c>
      <c r="I42" s="26" t="s">
        <v>25</v>
      </c>
      <c r="J42" s="26" t="s">
        <v>25</v>
      </c>
      <c r="K42" s="26"/>
      <c r="L42" s="26"/>
      <c r="M42" s="26"/>
      <c r="N42" s="26"/>
    </row>
    <row r="43" ht="15.75" customHeight="1">
      <c r="A43" s="21">
        <v>39.0</v>
      </c>
      <c r="B43" s="30"/>
      <c r="C43" s="30"/>
      <c r="D43" s="70" t="str">
        <f t="shared" si="2"/>
        <v/>
      </c>
      <c r="E43" s="71" t="str">
        <f t="shared" si="3"/>
        <v/>
      </c>
      <c r="F43" s="26"/>
      <c r="G43" s="26"/>
      <c r="H43" s="26"/>
      <c r="I43" s="26"/>
      <c r="J43" s="26"/>
      <c r="K43" s="26"/>
      <c r="L43" s="26"/>
      <c r="M43" s="26"/>
      <c r="N43" s="26"/>
    </row>
    <row r="44" ht="15.75" customHeight="1">
      <c r="A44" s="29">
        <v>40.0</v>
      </c>
      <c r="B44" s="22" t="s">
        <v>95</v>
      </c>
      <c r="C44" s="22" t="s">
        <v>96</v>
      </c>
      <c r="D44" s="70" t="str">
        <f t="shared" si="2"/>
        <v>9번 중 9번 참여</v>
      </c>
      <c r="E44" s="71">
        <f t="shared" si="3"/>
        <v>1</v>
      </c>
      <c r="F44" s="26" t="s">
        <v>25</v>
      </c>
      <c r="G44" s="26" t="s">
        <v>25</v>
      </c>
      <c r="H44" s="26" t="s">
        <v>25</v>
      </c>
      <c r="I44" s="26" t="s">
        <v>25</v>
      </c>
      <c r="J44" s="26" t="s">
        <v>25</v>
      </c>
      <c r="K44" s="26" t="s">
        <v>25</v>
      </c>
      <c r="L44" s="26" t="s">
        <v>25</v>
      </c>
      <c r="M44" s="26" t="s">
        <v>25</v>
      </c>
      <c r="N44" s="26" t="s">
        <v>25</v>
      </c>
    </row>
    <row r="45" ht="15.75" customHeight="1">
      <c r="A45" s="21">
        <v>41.0</v>
      </c>
      <c r="B45" s="30" t="s">
        <v>97</v>
      </c>
      <c r="C45" s="30" t="s">
        <v>98</v>
      </c>
      <c r="D45" s="70" t="str">
        <f t="shared" si="2"/>
        <v>9번 중 9번 참여</v>
      </c>
      <c r="E45" s="71">
        <f t="shared" si="3"/>
        <v>1</v>
      </c>
      <c r="F45" s="26" t="s">
        <v>25</v>
      </c>
      <c r="G45" s="26" t="s">
        <v>25</v>
      </c>
      <c r="H45" s="26" t="s">
        <v>25</v>
      </c>
      <c r="I45" s="26" t="s">
        <v>25</v>
      </c>
      <c r="J45" s="26" t="s">
        <v>25</v>
      </c>
      <c r="K45" s="26" t="s">
        <v>25</v>
      </c>
      <c r="L45" s="26" t="s">
        <v>25</v>
      </c>
      <c r="M45" s="26" t="s">
        <v>25</v>
      </c>
      <c r="N45" s="26" t="s">
        <v>25</v>
      </c>
    </row>
    <row r="46" ht="15.75" customHeight="1">
      <c r="A46" s="29">
        <v>42.0</v>
      </c>
      <c r="B46" s="104"/>
      <c r="C46" s="104"/>
      <c r="D46" s="70" t="str">
        <f t="shared" si="2"/>
        <v/>
      </c>
      <c r="E46" s="71" t="str">
        <f t="shared" si="3"/>
        <v/>
      </c>
      <c r="F46" s="26" t="s">
        <v>80</v>
      </c>
      <c r="G46" s="26" t="s">
        <v>80</v>
      </c>
      <c r="H46" s="26"/>
      <c r="I46" s="26"/>
      <c r="J46" s="26"/>
      <c r="K46" s="26"/>
      <c r="L46" s="26"/>
      <c r="M46" s="26"/>
      <c r="N46" s="26"/>
    </row>
    <row r="47" ht="15.75" customHeight="1">
      <c r="A47" s="21">
        <v>43.0</v>
      </c>
      <c r="B47" s="22" t="s">
        <v>103</v>
      </c>
      <c r="C47" s="22" t="s">
        <v>104</v>
      </c>
      <c r="D47" s="70" t="str">
        <f t="shared" si="2"/>
        <v>9번 중 9번 참여</v>
      </c>
      <c r="E47" s="71">
        <f t="shared" si="3"/>
        <v>1</v>
      </c>
      <c r="F47" s="26" t="s">
        <v>25</v>
      </c>
      <c r="G47" s="26" t="s">
        <v>25</v>
      </c>
      <c r="H47" s="26" t="s">
        <v>25</v>
      </c>
      <c r="I47" s="26" t="s">
        <v>25</v>
      </c>
      <c r="J47" s="26" t="s">
        <v>25</v>
      </c>
      <c r="K47" s="26" t="s">
        <v>25</v>
      </c>
      <c r="L47" s="26" t="s">
        <v>25</v>
      </c>
      <c r="M47" s="26" t="s">
        <v>25</v>
      </c>
      <c r="N47" s="26" t="s">
        <v>25</v>
      </c>
    </row>
    <row r="48" ht="15.75" customHeight="1">
      <c r="A48" s="29">
        <v>44.0</v>
      </c>
      <c r="B48" s="105"/>
      <c r="C48" s="105"/>
      <c r="D48" s="70" t="str">
        <f t="shared" si="2"/>
        <v/>
      </c>
      <c r="E48" s="71" t="str">
        <f t="shared" si="3"/>
        <v/>
      </c>
      <c r="F48" s="26"/>
      <c r="G48" s="26"/>
      <c r="H48" s="26"/>
      <c r="I48" s="26"/>
      <c r="J48" s="26"/>
      <c r="K48" s="26"/>
      <c r="L48" s="26"/>
      <c r="M48" s="26"/>
      <c r="N48" s="26"/>
    </row>
    <row r="49" ht="15.75" customHeight="1">
      <c r="A49" s="21">
        <v>45.0</v>
      </c>
      <c r="B49" s="22" t="s">
        <v>286</v>
      </c>
      <c r="C49" s="74" t="s">
        <v>121</v>
      </c>
      <c r="D49" s="70" t="str">
        <f t="shared" si="2"/>
        <v>9번 중 9번 참여</v>
      </c>
      <c r="E49" s="71">
        <f t="shared" si="3"/>
        <v>1</v>
      </c>
      <c r="F49" s="26" t="s">
        <v>25</v>
      </c>
      <c r="G49" s="26" t="s">
        <v>25</v>
      </c>
      <c r="H49" s="26" t="s">
        <v>25</v>
      </c>
      <c r="I49" s="26" t="s">
        <v>25</v>
      </c>
      <c r="J49" s="26" t="s">
        <v>25</v>
      </c>
      <c r="K49" s="26" t="s">
        <v>25</v>
      </c>
      <c r="L49" s="26" t="s">
        <v>25</v>
      </c>
      <c r="M49" s="26" t="s">
        <v>25</v>
      </c>
      <c r="N49" s="26" t="s">
        <v>25</v>
      </c>
    </row>
    <row r="50" ht="15.75" customHeight="1">
      <c r="A50" s="29">
        <v>46.0</v>
      </c>
      <c r="B50" s="30" t="s">
        <v>101</v>
      </c>
      <c r="C50" s="72" t="s">
        <v>102</v>
      </c>
      <c r="D50" s="70" t="str">
        <f t="shared" si="2"/>
        <v>9번 중 8번 참여</v>
      </c>
      <c r="E50" s="71">
        <f t="shared" si="3"/>
        <v>0.8888888889</v>
      </c>
      <c r="F50" s="26" t="s">
        <v>25</v>
      </c>
      <c r="G50" s="26"/>
      <c r="H50" s="26" t="s">
        <v>25</v>
      </c>
      <c r="I50" s="26" t="s">
        <v>25</v>
      </c>
      <c r="J50" s="26" t="s">
        <v>25</v>
      </c>
      <c r="K50" s="26" t="s">
        <v>25</v>
      </c>
      <c r="L50" s="26" t="s">
        <v>25</v>
      </c>
      <c r="M50" s="26" t="s">
        <v>25</v>
      </c>
      <c r="N50" s="26" t="s">
        <v>25</v>
      </c>
    </row>
    <row r="51" ht="15.75" customHeight="1">
      <c r="A51" s="21">
        <v>47.0</v>
      </c>
      <c r="B51" s="43" t="s">
        <v>283</v>
      </c>
      <c r="C51" s="98" t="s">
        <v>284</v>
      </c>
      <c r="D51" s="70" t="str">
        <f t="shared" si="2"/>
        <v>9번 중 9번 참여</v>
      </c>
      <c r="E51" s="71">
        <f t="shared" si="3"/>
        <v>1</v>
      </c>
      <c r="F51" s="26" t="s">
        <v>25</v>
      </c>
      <c r="G51" s="26" t="s">
        <v>25</v>
      </c>
      <c r="H51" s="26" t="s">
        <v>25</v>
      </c>
      <c r="I51" s="26" t="s">
        <v>25</v>
      </c>
      <c r="J51" s="26" t="s">
        <v>25</v>
      </c>
      <c r="K51" s="26" t="s">
        <v>25</v>
      </c>
      <c r="L51" s="26" t="s">
        <v>25</v>
      </c>
      <c r="M51" s="26" t="s">
        <v>25</v>
      </c>
      <c r="N51" s="26" t="s">
        <v>25</v>
      </c>
    </row>
    <row r="52" ht="15.75" customHeight="1">
      <c r="A52" s="29">
        <v>48.0</v>
      </c>
      <c r="B52" s="44" t="s">
        <v>126</v>
      </c>
      <c r="C52" s="81" t="s">
        <v>127</v>
      </c>
      <c r="D52" s="70" t="str">
        <f t="shared" si="2"/>
        <v>9번 중 6번 참여</v>
      </c>
      <c r="E52" s="71">
        <f t="shared" si="3"/>
        <v>0.6666666667</v>
      </c>
      <c r="F52" s="26" t="s">
        <v>25</v>
      </c>
      <c r="G52" s="26" t="s">
        <v>25</v>
      </c>
      <c r="H52" s="26" t="s">
        <v>25</v>
      </c>
      <c r="I52" s="26" t="s">
        <v>25</v>
      </c>
      <c r="J52" s="26" t="s">
        <v>25</v>
      </c>
      <c r="K52" s="26"/>
      <c r="L52" s="26" t="s">
        <v>25</v>
      </c>
      <c r="M52" s="26"/>
      <c r="N52" s="26"/>
    </row>
    <row r="53" ht="15.75" customHeight="1">
      <c r="A53" s="21">
        <v>49.0</v>
      </c>
      <c r="B53" s="22" t="s">
        <v>109</v>
      </c>
      <c r="C53" s="22" t="s">
        <v>110</v>
      </c>
      <c r="D53" s="70" t="str">
        <f t="shared" si="2"/>
        <v>9번 중 8번 참여</v>
      </c>
      <c r="E53" s="71">
        <f t="shared" si="3"/>
        <v>0.8888888889</v>
      </c>
      <c r="F53" s="26"/>
      <c r="G53" s="26" t="s">
        <v>25</v>
      </c>
      <c r="H53" s="26" t="s">
        <v>25</v>
      </c>
      <c r="I53" s="26" t="s">
        <v>25</v>
      </c>
      <c r="J53" s="26" t="s">
        <v>25</v>
      </c>
      <c r="K53" s="26" t="s">
        <v>25</v>
      </c>
      <c r="L53" s="26" t="s">
        <v>25</v>
      </c>
      <c r="M53" s="26" t="s">
        <v>25</v>
      </c>
      <c r="N53" s="26" t="s">
        <v>25</v>
      </c>
    </row>
    <row r="54" ht="15.75" customHeight="1">
      <c r="A54" s="29">
        <v>50.0</v>
      </c>
      <c r="B54" s="30" t="s">
        <v>111</v>
      </c>
      <c r="C54" s="30" t="s">
        <v>112</v>
      </c>
      <c r="D54" s="70" t="str">
        <f t="shared" si="2"/>
        <v/>
      </c>
      <c r="E54" s="71" t="str">
        <f t="shared" si="3"/>
        <v/>
      </c>
      <c r="F54" s="26"/>
      <c r="G54" s="26"/>
      <c r="H54" s="26"/>
      <c r="I54" s="26"/>
      <c r="J54" s="26"/>
      <c r="K54" s="26"/>
      <c r="L54" s="26"/>
      <c r="M54" s="26"/>
      <c r="N54" s="26"/>
    </row>
    <row r="55" ht="15.75" customHeight="1">
      <c r="A55" s="21">
        <v>51.0</v>
      </c>
      <c r="B55" s="22" t="s">
        <v>113</v>
      </c>
      <c r="C55" s="22" t="s">
        <v>114</v>
      </c>
      <c r="D55" s="70" t="str">
        <f t="shared" si="2"/>
        <v>9번 중 9번 참여</v>
      </c>
      <c r="E55" s="71">
        <f t="shared" si="3"/>
        <v>1</v>
      </c>
      <c r="F55" s="26" t="s">
        <v>25</v>
      </c>
      <c r="G55" s="26" t="s">
        <v>25</v>
      </c>
      <c r="H55" s="26" t="s">
        <v>25</v>
      </c>
      <c r="I55" s="26" t="s">
        <v>25</v>
      </c>
      <c r="J55" s="26" t="s">
        <v>25</v>
      </c>
      <c r="K55" s="26" t="s">
        <v>25</v>
      </c>
      <c r="L55" s="26" t="s">
        <v>25</v>
      </c>
      <c r="M55" s="26" t="s">
        <v>25</v>
      </c>
      <c r="N55" s="26" t="s">
        <v>25</v>
      </c>
    </row>
    <row r="56" ht="15.75" customHeight="1">
      <c r="A56" s="29">
        <v>52.0</v>
      </c>
      <c r="B56" s="105"/>
      <c r="C56" s="105"/>
      <c r="D56" s="70" t="str">
        <f t="shared" si="2"/>
        <v/>
      </c>
      <c r="E56" s="71" t="str">
        <f t="shared" si="3"/>
        <v/>
      </c>
      <c r="F56" s="26"/>
      <c r="G56" s="26"/>
      <c r="H56" s="26"/>
      <c r="I56" s="26"/>
      <c r="J56" s="26"/>
      <c r="K56" s="26"/>
      <c r="L56" s="26"/>
      <c r="M56" s="26"/>
      <c r="N56" s="26"/>
    </row>
    <row r="57" ht="15.75" customHeight="1">
      <c r="A57" s="21">
        <v>53.0</v>
      </c>
      <c r="B57" s="22" t="s">
        <v>132</v>
      </c>
      <c r="C57" s="22" t="s">
        <v>133</v>
      </c>
      <c r="D57" s="70" t="str">
        <f t="shared" si="2"/>
        <v>9번 중 9번 참여</v>
      </c>
      <c r="E57" s="71">
        <f t="shared" si="3"/>
        <v>1</v>
      </c>
      <c r="F57" s="26" t="s">
        <v>25</v>
      </c>
      <c r="G57" s="26" t="s">
        <v>25</v>
      </c>
      <c r="H57" s="26" t="s">
        <v>25</v>
      </c>
      <c r="I57" s="26" t="s">
        <v>25</v>
      </c>
      <c r="J57" s="26" t="s">
        <v>25</v>
      </c>
      <c r="K57" s="26" t="s">
        <v>25</v>
      </c>
      <c r="L57" s="26" t="s">
        <v>25</v>
      </c>
      <c r="M57" s="26" t="s">
        <v>25</v>
      </c>
      <c r="N57" s="26" t="s">
        <v>25</v>
      </c>
    </row>
    <row r="58" ht="15.75" customHeight="1">
      <c r="A58" s="29">
        <v>54.0</v>
      </c>
      <c r="B58" s="30" t="s">
        <v>285</v>
      </c>
      <c r="C58" s="30" t="s">
        <v>119</v>
      </c>
      <c r="D58" s="70" t="str">
        <f t="shared" si="2"/>
        <v>9번 중 9번 참여</v>
      </c>
      <c r="E58" s="71">
        <f t="shared" si="3"/>
        <v>1</v>
      </c>
      <c r="F58" s="26" t="s">
        <v>25</v>
      </c>
      <c r="G58" s="26" t="s">
        <v>25</v>
      </c>
      <c r="H58" s="26" t="s">
        <v>25</v>
      </c>
      <c r="I58" s="26" t="s">
        <v>25</v>
      </c>
      <c r="J58" s="26" t="s">
        <v>25</v>
      </c>
      <c r="K58" s="26" t="s">
        <v>25</v>
      </c>
      <c r="L58" s="26" t="s">
        <v>25</v>
      </c>
      <c r="M58" s="26" t="s">
        <v>25</v>
      </c>
      <c r="N58" s="26" t="s">
        <v>25</v>
      </c>
    </row>
    <row r="59" ht="15.75" customHeight="1">
      <c r="A59" s="21">
        <v>55.0</v>
      </c>
      <c r="B59" s="82"/>
      <c r="C59" s="82"/>
      <c r="D59" s="70" t="str">
        <f t="shared" si="2"/>
        <v/>
      </c>
      <c r="E59" s="71" t="str">
        <f t="shared" si="3"/>
        <v/>
      </c>
      <c r="F59" s="26"/>
      <c r="G59" s="26"/>
      <c r="H59" s="26"/>
      <c r="I59" s="26"/>
      <c r="J59" s="26"/>
      <c r="K59" s="26"/>
      <c r="L59" s="26"/>
      <c r="M59" s="26"/>
      <c r="N59" s="26"/>
    </row>
    <row r="60" ht="15.75" customHeight="1">
      <c r="A60" s="29">
        <v>56.0</v>
      </c>
      <c r="B60" s="42" t="s">
        <v>28</v>
      </c>
      <c r="C60" s="42" t="s">
        <v>70</v>
      </c>
      <c r="D60" s="70" t="str">
        <f t="shared" si="2"/>
        <v>9번 중 9번 참여</v>
      </c>
      <c r="E60" s="71">
        <f t="shared" si="3"/>
        <v>1</v>
      </c>
      <c r="F60" s="26" t="s">
        <v>25</v>
      </c>
      <c r="G60" s="26" t="s">
        <v>25</v>
      </c>
      <c r="H60" s="26" t="s">
        <v>25</v>
      </c>
      <c r="I60" s="26" t="s">
        <v>25</v>
      </c>
      <c r="J60" s="26" t="s">
        <v>25</v>
      </c>
      <c r="K60" s="26" t="s">
        <v>25</v>
      </c>
      <c r="L60" s="26" t="s">
        <v>25</v>
      </c>
      <c r="M60" s="26" t="s">
        <v>25</v>
      </c>
      <c r="N60" s="26" t="s">
        <v>25</v>
      </c>
    </row>
    <row r="61" ht="15.75" customHeight="1">
      <c r="A61" s="21">
        <v>57.0</v>
      </c>
      <c r="B61" s="30"/>
      <c r="C61" s="30"/>
      <c r="D61" s="70" t="str">
        <f t="shared" si="2"/>
        <v/>
      </c>
      <c r="E61" s="71" t="str">
        <f t="shared" si="3"/>
        <v/>
      </c>
      <c r="F61" s="26"/>
      <c r="G61" s="26"/>
      <c r="H61" s="26"/>
      <c r="I61" s="26"/>
      <c r="J61" s="26"/>
      <c r="K61" s="26"/>
      <c r="L61" s="26"/>
      <c r="M61" s="26"/>
      <c r="N61" s="26"/>
    </row>
    <row r="62" ht="15.75" customHeight="1">
      <c r="A62" s="29">
        <v>58.0</v>
      </c>
      <c r="B62" s="22" t="s">
        <v>138</v>
      </c>
      <c r="C62" s="22" t="s">
        <v>139</v>
      </c>
      <c r="D62" s="70" t="str">
        <f t="shared" si="2"/>
        <v>9번 중 7번 참여</v>
      </c>
      <c r="E62" s="71">
        <f t="shared" si="3"/>
        <v>0.7777777778</v>
      </c>
      <c r="F62" s="26"/>
      <c r="G62" s="26" t="s">
        <v>25</v>
      </c>
      <c r="H62" s="26" t="s">
        <v>25</v>
      </c>
      <c r="I62" s="26" t="s">
        <v>25</v>
      </c>
      <c r="J62" s="26" t="s">
        <v>25</v>
      </c>
      <c r="K62" s="26"/>
      <c r="L62" s="26" t="s">
        <v>25</v>
      </c>
      <c r="M62" s="26" t="s">
        <v>25</v>
      </c>
      <c r="N62" s="26" t="s">
        <v>25</v>
      </c>
    </row>
    <row r="63" ht="15.75" customHeight="1">
      <c r="A63" s="21">
        <v>59.0</v>
      </c>
      <c r="B63" s="30" t="s">
        <v>136</v>
      </c>
      <c r="C63" s="30" t="s">
        <v>137</v>
      </c>
      <c r="D63" s="70" t="str">
        <f t="shared" si="2"/>
        <v>9번 중 7번 참여</v>
      </c>
      <c r="E63" s="71">
        <f t="shared" si="3"/>
        <v>0.7777777778</v>
      </c>
      <c r="F63" s="26"/>
      <c r="G63" s="26" t="s">
        <v>25</v>
      </c>
      <c r="H63" s="26" t="s">
        <v>25</v>
      </c>
      <c r="I63" s="26" t="s">
        <v>25</v>
      </c>
      <c r="J63" s="26" t="s">
        <v>25</v>
      </c>
      <c r="K63" s="26"/>
      <c r="L63" s="26" t="s">
        <v>25</v>
      </c>
      <c r="M63" s="26" t="s">
        <v>25</v>
      </c>
      <c r="N63" s="26" t="s">
        <v>25</v>
      </c>
    </row>
    <row r="64" ht="15.75" customHeight="1">
      <c r="A64" s="29">
        <v>60.0</v>
      </c>
      <c r="B64" s="22" t="s">
        <v>142</v>
      </c>
      <c r="C64" s="22" t="s">
        <v>143</v>
      </c>
      <c r="D64" s="70" t="str">
        <f t="shared" si="2"/>
        <v>9번 중 6번 참여</v>
      </c>
      <c r="E64" s="71">
        <f t="shared" si="3"/>
        <v>0.6666666667</v>
      </c>
      <c r="F64" s="26" t="s">
        <v>25</v>
      </c>
      <c r="G64" s="26"/>
      <c r="H64" s="26" t="s">
        <v>25</v>
      </c>
      <c r="I64" s="26" t="s">
        <v>25</v>
      </c>
      <c r="J64" s="26" t="s">
        <v>25</v>
      </c>
      <c r="K64" s="26" t="s">
        <v>25</v>
      </c>
      <c r="L64" s="26" t="s">
        <v>25</v>
      </c>
      <c r="M64" s="26"/>
      <c r="N64" s="26"/>
    </row>
    <row r="65" ht="15.75" customHeight="1">
      <c r="A65" s="21">
        <v>61.0</v>
      </c>
      <c r="B65" s="30" t="s">
        <v>144</v>
      </c>
      <c r="C65" s="30" t="s">
        <v>145</v>
      </c>
      <c r="D65" s="70" t="str">
        <f t="shared" si="2"/>
        <v>9번 중 6번 참여</v>
      </c>
      <c r="E65" s="71">
        <f t="shared" si="3"/>
        <v>0.6666666667</v>
      </c>
      <c r="F65" s="26" t="s">
        <v>25</v>
      </c>
      <c r="G65" s="26"/>
      <c r="H65" s="26" t="s">
        <v>25</v>
      </c>
      <c r="I65" s="26" t="s">
        <v>25</v>
      </c>
      <c r="J65" s="26" t="s">
        <v>25</v>
      </c>
      <c r="K65" s="26" t="s">
        <v>25</v>
      </c>
      <c r="L65" s="26" t="s">
        <v>25</v>
      </c>
      <c r="M65" s="26"/>
      <c r="N65" s="26"/>
    </row>
    <row r="66" ht="15.75" customHeight="1">
      <c r="A66" s="29">
        <v>62.0</v>
      </c>
      <c r="B66" s="22" t="s">
        <v>146</v>
      </c>
      <c r="C66" s="22" t="s">
        <v>147</v>
      </c>
      <c r="D66" s="70" t="str">
        <f t="shared" si="2"/>
        <v>9번 중 9번 참여</v>
      </c>
      <c r="E66" s="71">
        <f t="shared" si="3"/>
        <v>1</v>
      </c>
      <c r="F66" s="26" t="s">
        <v>25</v>
      </c>
      <c r="G66" s="26" t="s">
        <v>25</v>
      </c>
      <c r="H66" s="26" t="s">
        <v>25</v>
      </c>
      <c r="I66" s="26" t="s">
        <v>25</v>
      </c>
      <c r="J66" s="26" t="s">
        <v>25</v>
      </c>
      <c r="K66" s="26" t="s">
        <v>25</v>
      </c>
      <c r="L66" s="26" t="s">
        <v>25</v>
      </c>
      <c r="M66" s="26" t="s">
        <v>25</v>
      </c>
      <c r="N66" s="26" t="s">
        <v>25</v>
      </c>
    </row>
    <row r="67" ht="15.75" customHeight="1">
      <c r="A67" s="21">
        <v>63.0</v>
      </c>
      <c r="B67" s="30" t="s">
        <v>148</v>
      </c>
      <c r="C67" s="30" t="s">
        <v>149</v>
      </c>
      <c r="D67" s="70" t="str">
        <f t="shared" si="2"/>
        <v>9번 중 7번 참여</v>
      </c>
      <c r="E67" s="71">
        <f t="shared" si="3"/>
        <v>0.7777777778</v>
      </c>
      <c r="F67" s="26" t="s">
        <v>25</v>
      </c>
      <c r="G67" s="26" t="s">
        <v>25</v>
      </c>
      <c r="H67" s="26" t="s">
        <v>25</v>
      </c>
      <c r="I67" s="26" t="s">
        <v>25</v>
      </c>
      <c r="J67" s="26" t="s">
        <v>25</v>
      </c>
      <c r="K67" s="26" t="s">
        <v>25</v>
      </c>
      <c r="L67" s="26" t="s">
        <v>25</v>
      </c>
      <c r="M67" s="26"/>
      <c r="N67" s="26"/>
    </row>
    <row r="68" ht="15.75" customHeight="1">
      <c r="A68" s="29">
        <v>64.0</v>
      </c>
      <c r="B68" s="104"/>
      <c r="C68" s="104"/>
      <c r="D68" s="70" t="str">
        <f t="shared" si="2"/>
        <v/>
      </c>
      <c r="E68" s="71" t="str">
        <f t="shared" si="3"/>
        <v/>
      </c>
      <c r="F68" s="26"/>
      <c r="G68" s="26"/>
      <c r="H68" s="26"/>
      <c r="I68" s="26"/>
      <c r="J68" s="26"/>
      <c r="K68" s="26"/>
      <c r="L68" s="26"/>
      <c r="M68" s="26"/>
      <c r="N68" s="26"/>
    </row>
    <row r="69" ht="15.75" customHeight="1">
      <c r="A69" s="21">
        <v>65.0</v>
      </c>
      <c r="B69" s="22" t="s">
        <v>140</v>
      </c>
      <c r="C69" s="22" t="s">
        <v>141</v>
      </c>
      <c r="D69" s="70" t="str">
        <f t="shared" si="2"/>
        <v>9번 중 7번 참여</v>
      </c>
      <c r="E69" s="71">
        <f t="shared" si="3"/>
        <v>0.7777777778</v>
      </c>
      <c r="F69" s="26" t="s">
        <v>25</v>
      </c>
      <c r="G69" s="26" t="s">
        <v>25</v>
      </c>
      <c r="H69" s="26" t="s">
        <v>25</v>
      </c>
      <c r="I69" s="26" t="s">
        <v>25</v>
      </c>
      <c r="J69" s="26" t="s">
        <v>25</v>
      </c>
      <c r="K69" s="26" t="s">
        <v>25</v>
      </c>
      <c r="L69" s="26" t="s">
        <v>80</v>
      </c>
      <c r="M69" s="26" t="s">
        <v>25</v>
      </c>
      <c r="N69" s="26"/>
    </row>
    <row r="70" ht="15.75" customHeight="1">
      <c r="A70" s="29">
        <v>66.0</v>
      </c>
      <c r="B70" s="30" t="s">
        <v>150</v>
      </c>
      <c r="C70" s="78" t="s">
        <v>151</v>
      </c>
      <c r="D70" s="70" t="str">
        <f t="shared" si="2"/>
        <v/>
      </c>
      <c r="E70" s="71" t="str">
        <f t="shared" si="3"/>
        <v/>
      </c>
      <c r="F70" s="26"/>
      <c r="G70" s="26"/>
      <c r="H70" s="26"/>
      <c r="I70" s="26"/>
      <c r="J70" s="26"/>
      <c r="K70" s="26"/>
      <c r="L70" s="26"/>
      <c r="M70" s="26"/>
      <c r="N70" s="26"/>
    </row>
    <row r="71" ht="15.75" customHeight="1">
      <c r="A71" s="21">
        <v>67.0</v>
      </c>
      <c r="B71" s="22" t="s">
        <v>152</v>
      </c>
      <c r="C71" s="22" t="s">
        <v>153</v>
      </c>
      <c r="D71" s="70" t="str">
        <f t="shared" si="2"/>
        <v>9번 중 6번 참여</v>
      </c>
      <c r="E71" s="71">
        <f t="shared" si="3"/>
        <v>0.6666666667</v>
      </c>
      <c r="F71" s="26" t="s">
        <v>25</v>
      </c>
      <c r="G71" s="26"/>
      <c r="H71" s="26" t="s">
        <v>25</v>
      </c>
      <c r="I71" s="26"/>
      <c r="J71" s="26" t="s">
        <v>25</v>
      </c>
      <c r="K71" s="26"/>
      <c r="L71" s="26" t="s">
        <v>25</v>
      </c>
      <c r="M71" s="26" t="s">
        <v>25</v>
      </c>
      <c r="N71" s="26" t="s">
        <v>25</v>
      </c>
    </row>
    <row r="72" ht="15.75" customHeight="1">
      <c r="A72" s="29">
        <v>68.0</v>
      </c>
      <c r="B72" s="30"/>
      <c r="C72" s="30"/>
      <c r="D72" s="70" t="str">
        <f t="shared" si="2"/>
        <v/>
      </c>
      <c r="E72" s="71" t="str">
        <f t="shared" si="3"/>
        <v/>
      </c>
      <c r="F72" s="26"/>
      <c r="G72" s="26"/>
      <c r="H72" s="26"/>
      <c r="I72" s="26"/>
      <c r="J72" s="26"/>
      <c r="K72" s="26"/>
      <c r="L72" s="26"/>
      <c r="M72" s="26"/>
      <c r="N72" s="26"/>
    </row>
    <row r="73" ht="15.75" customHeight="1">
      <c r="A73" s="21">
        <v>69.0</v>
      </c>
      <c r="B73" s="22" t="s">
        <v>156</v>
      </c>
      <c r="C73" s="22" t="s">
        <v>157</v>
      </c>
      <c r="D73" s="70" t="str">
        <f t="shared" si="2"/>
        <v>9번 중 7번 참여</v>
      </c>
      <c r="E73" s="71">
        <f t="shared" si="3"/>
        <v>0.7777777778</v>
      </c>
      <c r="F73" s="26" t="s">
        <v>25</v>
      </c>
      <c r="G73" s="26" t="s">
        <v>25</v>
      </c>
      <c r="H73" s="26" t="s">
        <v>25</v>
      </c>
      <c r="I73" s="26" t="s">
        <v>25</v>
      </c>
      <c r="J73" s="26" t="s">
        <v>25</v>
      </c>
      <c r="K73" s="26" t="s">
        <v>25</v>
      </c>
      <c r="L73" s="26" t="s">
        <v>25</v>
      </c>
      <c r="M73" s="26"/>
      <c r="N73" s="26"/>
    </row>
    <row r="74" ht="15.75" customHeight="1">
      <c r="A74" s="29">
        <v>70.0</v>
      </c>
      <c r="B74" s="42" t="s">
        <v>158</v>
      </c>
      <c r="C74" s="42" t="s">
        <v>159</v>
      </c>
      <c r="D74" s="70" t="str">
        <f t="shared" si="2"/>
        <v>9번 중 9번 참여</v>
      </c>
      <c r="E74" s="71">
        <f t="shared" si="3"/>
        <v>1</v>
      </c>
      <c r="F74" s="26" t="s">
        <v>25</v>
      </c>
      <c r="G74" s="26" t="s">
        <v>25</v>
      </c>
      <c r="H74" s="26" t="s">
        <v>25</v>
      </c>
      <c r="I74" s="26" t="s">
        <v>25</v>
      </c>
      <c r="J74" s="26" t="s">
        <v>25</v>
      </c>
      <c r="K74" s="26" t="s">
        <v>25</v>
      </c>
      <c r="L74" s="26" t="s">
        <v>25</v>
      </c>
      <c r="M74" s="26" t="s">
        <v>25</v>
      </c>
      <c r="N74" s="26" t="s">
        <v>25</v>
      </c>
    </row>
    <row r="75" ht="15.75" customHeight="1">
      <c r="A75" s="21">
        <v>71.0</v>
      </c>
      <c r="B75" s="42" t="s">
        <v>160</v>
      </c>
      <c r="C75" s="42" t="s">
        <v>161</v>
      </c>
      <c r="D75" s="70" t="str">
        <f t="shared" si="2"/>
        <v>9번 중 8번 참여</v>
      </c>
      <c r="E75" s="71">
        <f t="shared" si="3"/>
        <v>0.8888888889</v>
      </c>
      <c r="F75" s="26" t="s">
        <v>25</v>
      </c>
      <c r="G75" s="26" t="s">
        <v>25</v>
      </c>
      <c r="H75" s="26" t="s">
        <v>25</v>
      </c>
      <c r="I75" s="26" t="s">
        <v>25</v>
      </c>
      <c r="J75" s="26" t="s">
        <v>25</v>
      </c>
      <c r="K75" s="26" t="s">
        <v>25</v>
      </c>
      <c r="L75" s="26" t="s">
        <v>25</v>
      </c>
      <c r="M75" s="26"/>
      <c r="N75" s="26" t="s">
        <v>25</v>
      </c>
    </row>
    <row r="76" ht="15.75" customHeight="1">
      <c r="A76" s="29">
        <v>72.0</v>
      </c>
      <c r="B76" s="30" t="s">
        <v>162</v>
      </c>
      <c r="C76" s="30" t="s">
        <v>163</v>
      </c>
      <c r="D76" s="70" t="str">
        <f t="shared" si="2"/>
        <v>9번 중 9번 참여</v>
      </c>
      <c r="E76" s="71">
        <f t="shared" si="3"/>
        <v>1</v>
      </c>
      <c r="F76" s="26" t="s">
        <v>25</v>
      </c>
      <c r="G76" s="26" t="s">
        <v>25</v>
      </c>
      <c r="H76" s="26" t="s">
        <v>25</v>
      </c>
      <c r="I76" s="26" t="s">
        <v>25</v>
      </c>
      <c r="J76" s="26" t="s">
        <v>25</v>
      </c>
      <c r="K76" s="26" t="s">
        <v>25</v>
      </c>
      <c r="L76" s="26" t="s">
        <v>25</v>
      </c>
      <c r="M76" s="26" t="s">
        <v>25</v>
      </c>
      <c r="N76" s="26" t="s">
        <v>25</v>
      </c>
    </row>
    <row r="77" ht="15.75" customHeight="1">
      <c r="A77" s="21">
        <v>73.0</v>
      </c>
      <c r="B77" s="22" t="s">
        <v>164</v>
      </c>
      <c r="C77" s="22" t="s">
        <v>165</v>
      </c>
      <c r="D77" s="70" t="str">
        <f t="shared" si="2"/>
        <v>9번 중 9번 참여</v>
      </c>
      <c r="E77" s="71">
        <f t="shared" si="3"/>
        <v>1</v>
      </c>
      <c r="F77" s="26" t="s">
        <v>25</v>
      </c>
      <c r="G77" s="26" t="s">
        <v>25</v>
      </c>
      <c r="H77" s="26" t="s">
        <v>25</v>
      </c>
      <c r="I77" s="26" t="s">
        <v>25</v>
      </c>
      <c r="J77" s="26" t="s">
        <v>25</v>
      </c>
      <c r="K77" s="26" t="s">
        <v>25</v>
      </c>
      <c r="L77" s="26" t="s">
        <v>25</v>
      </c>
      <c r="M77" s="26" t="s">
        <v>25</v>
      </c>
      <c r="N77" s="26" t="s">
        <v>25</v>
      </c>
    </row>
    <row r="78" ht="15.75" customHeight="1">
      <c r="A78" s="29">
        <v>74.0</v>
      </c>
      <c r="B78" s="42" t="s">
        <v>166</v>
      </c>
      <c r="C78" s="42" t="s">
        <v>167</v>
      </c>
      <c r="D78" s="70" t="str">
        <f t="shared" si="2"/>
        <v>9번 중 5번 참여</v>
      </c>
      <c r="E78" s="71">
        <f t="shared" si="3"/>
        <v>0.5555555556</v>
      </c>
      <c r="F78" s="26" t="s">
        <v>25</v>
      </c>
      <c r="G78" s="26" t="s">
        <v>25</v>
      </c>
      <c r="H78" s="26"/>
      <c r="I78" s="26" t="s">
        <v>25</v>
      </c>
      <c r="J78" s="26"/>
      <c r="K78" s="26"/>
      <c r="L78" s="26"/>
      <c r="M78" s="26" t="s">
        <v>25</v>
      </c>
      <c r="N78" s="26" t="s">
        <v>25</v>
      </c>
    </row>
    <row r="79" ht="15.75" customHeight="1">
      <c r="A79" s="21">
        <v>75.0</v>
      </c>
      <c r="B79" s="105"/>
      <c r="C79" s="106"/>
      <c r="D79" s="70" t="str">
        <f t="shared" si="2"/>
        <v/>
      </c>
      <c r="E79" s="71" t="str">
        <f t="shared" si="3"/>
        <v/>
      </c>
      <c r="F79" s="107"/>
      <c r="G79" s="26"/>
      <c r="H79" s="26"/>
      <c r="I79" s="26"/>
      <c r="J79" s="26"/>
      <c r="K79" s="26"/>
      <c r="L79" s="26"/>
      <c r="M79" s="26"/>
      <c r="N79" s="26"/>
    </row>
    <row r="80" ht="15.75" customHeight="1">
      <c r="A80" s="29">
        <v>76.0</v>
      </c>
      <c r="B80" s="30" t="s">
        <v>154</v>
      </c>
      <c r="C80" s="30" t="s">
        <v>155</v>
      </c>
      <c r="D80" s="70" t="str">
        <f t="shared" si="2"/>
        <v>9번 중 9번 참여</v>
      </c>
      <c r="E80" s="71">
        <f t="shared" si="3"/>
        <v>1</v>
      </c>
      <c r="F80" s="26" t="s">
        <v>25</v>
      </c>
      <c r="G80" s="26" t="s">
        <v>25</v>
      </c>
      <c r="H80" s="26" t="s">
        <v>25</v>
      </c>
      <c r="I80" s="26" t="s">
        <v>25</v>
      </c>
      <c r="J80" s="26" t="s">
        <v>25</v>
      </c>
      <c r="K80" s="26" t="s">
        <v>25</v>
      </c>
      <c r="L80" s="26" t="s">
        <v>25</v>
      </c>
      <c r="M80" s="26" t="s">
        <v>25</v>
      </c>
      <c r="N80" s="26" t="s">
        <v>25</v>
      </c>
    </row>
    <row r="81" ht="15.75" customHeight="1">
      <c r="A81" s="21">
        <v>77.0</v>
      </c>
      <c r="B81" s="105"/>
      <c r="C81" s="105"/>
      <c r="D81" s="70" t="str">
        <f t="shared" si="2"/>
        <v/>
      </c>
      <c r="E81" s="71" t="str">
        <f t="shared" si="3"/>
        <v/>
      </c>
      <c r="F81" s="26"/>
      <c r="G81" s="26"/>
      <c r="H81" s="26"/>
      <c r="I81" s="26"/>
      <c r="J81" s="26"/>
      <c r="K81" s="26"/>
      <c r="L81" s="26"/>
      <c r="M81" s="26"/>
      <c r="N81" s="26"/>
    </row>
    <row r="82" ht="15.75" customHeight="1">
      <c r="A82" s="29">
        <v>78.0</v>
      </c>
      <c r="B82" s="30" t="s">
        <v>170</v>
      </c>
      <c r="C82" s="30" t="s">
        <v>171</v>
      </c>
      <c r="D82" s="70" t="str">
        <f t="shared" si="2"/>
        <v>9번 중 9번 참여</v>
      </c>
      <c r="E82" s="71">
        <f t="shared" si="3"/>
        <v>1</v>
      </c>
      <c r="F82" s="26" t="s">
        <v>25</v>
      </c>
      <c r="G82" s="26" t="s">
        <v>25</v>
      </c>
      <c r="H82" s="26" t="s">
        <v>25</v>
      </c>
      <c r="I82" s="26" t="s">
        <v>25</v>
      </c>
      <c r="J82" s="26" t="s">
        <v>25</v>
      </c>
      <c r="K82" s="26" t="s">
        <v>25</v>
      </c>
      <c r="L82" s="26" t="s">
        <v>25</v>
      </c>
      <c r="M82" s="26" t="s">
        <v>25</v>
      </c>
      <c r="N82" s="26" t="s">
        <v>25</v>
      </c>
    </row>
    <row r="83" ht="15.75" customHeight="1">
      <c r="A83" s="21">
        <v>79.0</v>
      </c>
      <c r="B83" s="22" t="s">
        <v>172</v>
      </c>
      <c r="C83" s="74" t="s">
        <v>173</v>
      </c>
      <c r="D83" s="70" t="str">
        <f t="shared" si="2"/>
        <v>9번 중 9번 참여</v>
      </c>
      <c r="E83" s="71">
        <f t="shared" si="3"/>
        <v>1</v>
      </c>
      <c r="F83" s="26" t="s">
        <v>25</v>
      </c>
      <c r="G83" s="26" t="s">
        <v>25</v>
      </c>
      <c r="H83" s="26" t="s">
        <v>25</v>
      </c>
      <c r="I83" s="26" t="s">
        <v>25</v>
      </c>
      <c r="J83" s="26" t="s">
        <v>25</v>
      </c>
      <c r="K83" s="26" t="s">
        <v>25</v>
      </c>
      <c r="L83" s="26" t="s">
        <v>25</v>
      </c>
      <c r="M83" s="26" t="s">
        <v>25</v>
      </c>
      <c r="N83" s="26" t="s">
        <v>25</v>
      </c>
    </row>
    <row r="84" ht="15.75" customHeight="1">
      <c r="A84" s="29">
        <v>80.0</v>
      </c>
      <c r="B84" s="42"/>
      <c r="C84" s="77"/>
      <c r="D84" s="70" t="str">
        <f t="shared" si="2"/>
        <v/>
      </c>
      <c r="E84" s="71" t="str">
        <f t="shared" si="3"/>
        <v/>
      </c>
      <c r="F84" s="26"/>
      <c r="G84" s="26"/>
      <c r="H84" s="26"/>
      <c r="I84" s="26"/>
      <c r="J84" s="26"/>
      <c r="K84" s="26"/>
      <c r="L84" s="26"/>
      <c r="M84" s="26"/>
      <c r="N84" s="26"/>
    </row>
    <row r="85" ht="15.75" customHeight="1">
      <c r="A85" s="21">
        <v>81.0</v>
      </c>
      <c r="B85" s="82"/>
      <c r="C85" s="108"/>
      <c r="D85" s="70" t="str">
        <f t="shared" si="2"/>
        <v/>
      </c>
      <c r="E85" s="71" t="str">
        <f t="shared" si="3"/>
        <v/>
      </c>
      <c r="F85" s="26"/>
      <c r="G85" s="26"/>
      <c r="H85" s="26"/>
      <c r="I85" s="26"/>
      <c r="J85" s="26"/>
      <c r="K85" s="26"/>
      <c r="L85" s="26"/>
      <c r="M85" s="26"/>
      <c r="N85" s="26"/>
    </row>
    <row r="86" ht="15.75" customHeight="1">
      <c r="A86" s="29">
        <v>82.0</v>
      </c>
      <c r="B86" s="30" t="s">
        <v>174</v>
      </c>
      <c r="C86" s="78" t="s">
        <v>175</v>
      </c>
      <c r="D86" s="70" t="str">
        <f t="shared" si="2"/>
        <v>9번 중 3번 참여</v>
      </c>
      <c r="E86" s="71">
        <f t="shared" si="3"/>
        <v>0.3333333333</v>
      </c>
      <c r="F86" s="26" t="s">
        <v>25</v>
      </c>
      <c r="G86" s="26"/>
      <c r="H86" s="26"/>
      <c r="I86" s="26"/>
      <c r="J86" s="26" t="s">
        <v>25</v>
      </c>
      <c r="K86" s="26"/>
      <c r="L86" s="26"/>
      <c r="M86" s="26" t="s">
        <v>25</v>
      </c>
      <c r="N86" s="26"/>
    </row>
    <row r="87" ht="15.75" customHeight="1">
      <c r="A87" s="21">
        <v>83.0</v>
      </c>
      <c r="B87" s="22" t="s">
        <v>168</v>
      </c>
      <c r="C87" s="74" t="s">
        <v>169</v>
      </c>
      <c r="D87" s="70" t="str">
        <f t="shared" si="2"/>
        <v>9번 중 7번 참여</v>
      </c>
      <c r="E87" s="71">
        <f t="shared" si="3"/>
        <v>0.7777777778</v>
      </c>
      <c r="F87" s="26" t="s">
        <v>25</v>
      </c>
      <c r="G87" s="26"/>
      <c r="H87" s="26" t="s">
        <v>25</v>
      </c>
      <c r="I87" s="26" t="s">
        <v>25</v>
      </c>
      <c r="J87" s="26"/>
      <c r="K87" s="26" t="s">
        <v>25</v>
      </c>
      <c r="L87" s="26" t="s">
        <v>25</v>
      </c>
      <c r="M87" s="26" t="s">
        <v>25</v>
      </c>
      <c r="N87" s="26" t="s">
        <v>25</v>
      </c>
    </row>
    <row r="88" ht="15.75" customHeight="1">
      <c r="A88" s="29">
        <v>84.0</v>
      </c>
      <c r="B88" s="30"/>
      <c r="C88" s="72"/>
      <c r="D88" s="70" t="str">
        <f t="shared" si="2"/>
        <v/>
      </c>
      <c r="E88" s="71" t="str">
        <f t="shared" si="3"/>
        <v/>
      </c>
      <c r="F88" s="26"/>
      <c r="G88" s="26"/>
      <c r="H88" s="26"/>
      <c r="I88" s="26"/>
      <c r="J88" s="26" t="s">
        <v>80</v>
      </c>
      <c r="K88" s="26"/>
      <c r="L88" s="26"/>
      <c r="M88" s="26"/>
      <c r="N88" s="26"/>
    </row>
    <row r="89" ht="15.75" customHeight="1">
      <c r="A89" s="21">
        <v>85.0</v>
      </c>
      <c r="B89" s="39" t="s">
        <v>176</v>
      </c>
      <c r="C89" s="79" t="s">
        <v>177</v>
      </c>
      <c r="D89" s="70" t="str">
        <f t="shared" si="2"/>
        <v>9번 중 7번 참여</v>
      </c>
      <c r="E89" s="71">
        <f t="shared" si="3"/>
        <v>0.7777777778</v>
      </c>
      <c r="F89" s="26" t="s">
        <v>25</v>
      </c>
      <c r="G89" s="26"/>
      <c r="H89" s="26" t="s">
        <v>25</v>
      </c>
      <c r="I89" s="26" t="s">
        <v>25</v>
      </c>
      <c r="J89" s="26" t="s">
        <v>25</v>
      </c>
      <c r="K89" s="26"/>
      <c r="L89" s="26" t="s">
        <v>25</v>
      </c>
      <c r="M89" s="26" t="s">
        <v>25</v>
      </c>
      <c r="N89" s="26" t="s">
        <v>25</v>
      </c>
    </row>
    <row r="90" ht="15.75" customHeight="1">
      <c r="A90" s="29">
        <v>86.0</v>
      </c>
      <c r="B90" s="30" t="s">
        <v>178</v>
      </c>
      <c r="C90" s="72" t="s">
        <v>179</v>
      </c>
      <c r="D90" s="70" t="str">
        <f t="shared" si="2"/>
        <v>9번 중 9번 참여</v>
      </c>
      <c r="E90" s="71">
        <f t="shared" si="3"/>
        <v>1</v>
      </c>
      <c r="F90" s="26" t="s">
        <v>25</v>
      </c>
      <c r="G90" s="26" t="s">
        <v>25</v>
      </c>
      <c r="H90" s="26" t="s">
        <v>25</v>
      </c>
      <c r="I90" s="26" t="s">
        <v>25</v>
      </c>
      <c r="J90" s="26" t="s">
        <v>25</v>
      </c>
      <c r="K90" s="26" t="s">
        <v>25</v>
      </c>
      <c r="L90" s="26" t="s">
        <v>25</v>
      </c>
      <c r="M90" s="26" t="s">
        <v>25</v>
      </c>
      <c r="N90" s="26" t="s">
        <v>25</v>
      </c>
    </row>
    <row r="91" ht="15.75" customHeight="1">
      <c r="A91" s="21">
        <v>87.0</v>
      </c>
      <c r="B91" s="22" t="s">
        <v>180</v>
      </c>
      <c r="C91" s="74" t="s">
        <v>181</v>
      </c>
      <c r="D91" s="70" t="str">
        <f t="shared" si="2"/>
        <v>9번 중 9번 참여</v>
      </c>
      <c r="E91" s="71">
        <f t="shared" si="3"/>
        <v>1</v>
      </c>
      <c r="F91" s="26" t="s">
        <v>25</v>
      </c>
      <c r="G91" s="26" t="s">
        <v>25</v>
      </c>
      <c r="H91" s="26" t="s">
        <v>25</v>
      </c>
      <c r="I91" s="26" t="s">
        <v>25</v>
      </c>
      <c r="J91" s="26" t="s">
        <v>25</v>
      </c>
      <c r="K91" s="26" t="s">
        <v>25</v>
      </c>
      <c r="L91" s="26" t="s">
        <v>25</v>
      </c>
      <c r="M91" s="26" t="s">
        <v>25</v>
      </c>
      <c r="N91" s="26" t="s">
        <v>25</v>
      </c>
    </row>
    <row r="92" ht="15.75" customHeight="1">
      <c r="A92" s="29">
        <v>88.0</v>
      </c>
      <c r="B92" s="44"/>
      <c r="C92" s="100"/>
      <c r="D92" s="70" t="str">
        <f t="shared" si="2"/>
        <v/>
      </c>
      <c r="E92" s="71" t="str">
        <f t="shared" si="3"/>
        <v/>
      </c>
      <c r="F92" s="26"/>
      <c r="G92" s="26"/>
      <c r="H92" s="26"/>
      <c r="I92" s="26"/>
      <c r="J92" s="26"/>
      <c r="K92" s="26"/>
      <c r="L92" s="26"/>
      <c r="M92" s="26"/>
      <c r="N92" s="26"/>
    </row>
    <row r="93" ht="15.75" customHeight="1">
      <c r="A93" s="21">
        <v>89.0</v>
      </c>
      <c r="B93" s="43" t="s">
        <v>184</v>
      </c>
      <c r="C93" s="109" t="s">
        <v>305</v>
      </c>
      <c r="D93" s="70" t="str">
        <f t="shared" si="2"/>
        <v>9번 중 9번 참여</v>
      </c>
      <c r="E93" s="71">
        <f t="shared" si="3"/>
        <v>1</v>
      </c>
      <c r="F93" s="26" t="s">
        <v>25</v>
      </c>
      <c r="G93" s="26" t="s">
        <v>25</v>
      </c>
      <c r="H93" s="26" t="s">
        <v>25</v>
      </c>
      <c r="I93" s="26" t="s">
        <v>25</v>
      </c>
      <c r="J93" s="26" t="s">
        <v>25</v>
      </c>
      <c r="K93" s="26" t="s">
        <v>25</v>
      </c>
      <c r="L93" s="26" t="s">
        <v>25</v>
      </c>
      <c r="M93" s="26" t="s">
        <v>25</v>
      </c>
      <c r="N93" s="26" t="s">
        <v>25</v>
      </c>
    </row>
    <row r="94" ht="15.75" customHeight="1">
      <c r="A94" s="29">
        <v>90.0</v>
      </c>
      <c r="B94" s="86" t="s">
        <v>207</v>
      </c>
      <c r="C94" s="44" t="s">
        <v>208</v>
      </c>
      <c r="D94" s="70" t="str">
        <f t="shared" si="2"/>
        <v>9번 중 4번 참여</v>
      </c>
      <c r="E94" s="71">
        <f t="shared" si="3"/>
        <v>0.4444444444</v>
      </c>
      <c r="F94" s="26"/>
      <c r="G94" s="26"/>
      <c r="H94" s="26" t="s">
        <v>25</v>
      </c>
      <c r="I94" s="26"/>
      <c r="J94" s="26" t="s">
        <v>25</v>
      </c>
      <c r="K94" s="26"/>
      <c r="L94" s="26" t="s">
        <v>25</v>
      </c>
      <c r="M94" s="26"/>
      <c r="N94" s="26" t="s">
        <v>25</v>
      </c>
    </row>
    <row r="95" ht="15.75" customHeight="1">
      <c r="A95" s="21">
        <v>91.0</v>
      </c>
      <c r="B95" s="43" t="s">
        <v>182</v>
      </c>
      <c r="C95" s="87" t="s">
        <v>183</v>
      </c>
      <c r="D95" s="70" t="str">
        <f t="shared" si="2"/>
        <v>9번 중 7번 참여</v>
      </c>
      <c r="E95" s="71">
        <f t="shared" si="3"/>
        <v>0.7777777778</v>
      </c>
      <c r="F95" s="26"/>
      <c r="G95" s="26" t="s">
        <v>25</v>
      </c>
      <c r="H95" s="26" t="s">
        <v>25</v>
      </c>
      <c r="I95" s="26" t="s">
        <v>25</v>
      </c>
      <c r="J95" s="26" t="s">
        <v>25</v>
      </c>
      <c r="K95" s="26" t="s">
        <v>25</v>
      </c>
      <c r="L95" s="26" t="s">
        <v>25</v>
      </c>
      <c r="M95" s="26" t="s">
        <v>25</v>
      </c>
      <c r="N95" s="26"/>
    </row>
    <row r="96" ht="15.75" customHeight="1">
      <c r="A96" s="29">
        <v>92.0</v>
      </c>
      <c r="B96" s="44"/>
      <c r="C96" s="100"/>
      <c r="D96" s="70" t="str">
        <f t="shared" si="2"/>
        <v/>
      </c>
      <c r="E96" s="71" t="str">
        <f t="shared" si="3"/>
        <v/>
      </c>
      <c r="F96" s="26"/>
      <c r="G96" s="26"/>
      <c r="H96" s="26"/>
      <c r="I96" s="26"/>
      <c r="J96" s="26"/>
      <c r="K96" s="26"/>
      <c r="L96" s="26"/>
      <c r="M96" s="26"/>
      <c r="N96" s="26"/>
    </row>
    <row r="97" ht="15.75" customHeight="1">
      <c r="A97" s="21">
        <v>93.0</v>
      </c>
      <c r="B97" s="43"/>
      <c r="C97" s="101"/>
      <c r="D97" s="70" t="str">
        <f t="shared" si="2"/>
        <v/>
      </c>
      <c r="E97" s="71" t="str">
        <f t="shared" si="3"/>
        <v/>
      </c>
      <c r="F97" s="26"/>
      <c r="G97" s="26"/>
      <c r="H97" s="26"/>
      <c r="I97" s="26"/>
      <c r="J97" s="26"/>
      <c r="K97" s="26"/>
      <c r="L97" s="26"/>
      <c r="M97" s="26"/>
      <c r="N97" s="26"/>
    </row>
    <row r="98" ht="15.75" customHeight="1">
      <c r="A98" s="29">
        <v>94.0</v>
      </c>
      <c r="B98" s="86"/>
      <c r="C98" s="44"/>
      <c r="D98" s="70" t="str">
        <f t="shared" si="2"/>
        <v/>
      </c>
      <c r="E98" s="71" t="str">
        <f t="shared" si="3"/>
        <v/>
      </c>
      <c r="F98" s="26"/>
      <c r="G98" s="26"/>
      <c r="H98" s="26"/>
      <c r="I98" s="26"/>
      <c r="J98" s="26"/>
      <c r="K98" s="26"/>
      <c r="L98" s="26"/>
      <c r="M98" s="26"/>
      <c r="N98" s="26"/>
    </row>
    <row r="99" ht="15.75" customHeight="1">
      <c r="A99" s="21">
        <v>95.0</v>
      </c>
      <c r="B99" s="33"/>
      <c r="C99" s="33"/>
      <c r="D99" s="70" t="str">
        <f t="shared" si="2"/>
        <v/>
      </c>
      <c r="E99" s="71" t="str">
        <f t="shared" si="3"/>
        <v/>
      </c>
      <c r="F99" s="26"/>
      <c r="G99" s="26"/>
      <c r="H99" s="26"/>
      <c r="I99" s="26"/>
      <c r="J99" s="26"/>
      <c r="K99" s="26"/>
      <c r="L99" s="26"/>
      <c r="M99" s="26"/>
      <c r="N99" s="26"/>
    </row>
    <row r="100" ht="15.75" customHeight="1">
      <c r="A100" s="29">
        <v>96.0</v>
      </c>
      <c r="B100" s="35"/>
      <c r="C100" s="35"/>
      <c r="D100" s="70" t="str">
        <f t="shared" si="2"/>
        <v/>
      </c>
      <c r="E100" s="71" t="str">
        <f t="shared" si="3"/>
        <v/>
      </c>
      <c r="F100" s="26"/>
      <c r="G100" s="26"/>
      <c r="H100" s="26"/>
      <c r="I100" s="26"/>
      <c r="J100" s="26"/>
      <c r="K100" s="26"/>
      <c r="L100" s="26"/>
      <c r="M100" s="26"/>
      <c r="N100" s="26"/>
    </row>
    <row r="101" ht="15.75" customHeight="1">
      <c r="A101" s="21">
        <v>97.0</v>
      </c>
      <c r="B101" s="33"/>
      <c r="C101" s="33"/>
      <c r="D101" s="70" t="str">
        <f t="shared" si="2"/>
        <v/>
      </c>
      <c r="E101" s="71" t="str">
        <f t="shared" si="3"/>
        <v/>
      </c>
      <c r="F101" s="26"/>
      <c r="G101" s="26"/>
      <c r="H101" s="26"/>
      <c r="I101" s="26"/>
      <c r="J101" s="26"/>
      <c r="K101" s="26"/>
      <c r="L101" s="26"/>
      <c r="M101" s="26"/>
      <c r="N101" s="26"/>
    </row>
    <row r="102" ht="15.75" customHeight="1">
      <c r="A102" s="29">
        <v>98.0</v>
      </c>
      <c r="B102" s="35"/>
      <c r="C102" s="35"/>
      <c r="D102" s="70" t="str">
        <f t="shared" si="2"/>
        <v/>
      </c>
      <c r="E102" s="71" t="str">
        <f t="shared" si="3"/>
        <v/>
      </c>
      <c r="F102" s="26"/>
      <c r="G102" s="26"/>
      <c r="H102" s="26"/>
      <c r="I102" s="26"/>
      <c r="J102" s="26"/>
      <c r="K102" s="26"/>
      <c r="L102" s="26"/>
      <c r="M102" s="26"/>
      <c r="N102" s="26"/>
    </row>
    <row r="103" ht="15.75" customHeight="1">
      <c r="A103" s="21">
        <v>99.0</v>
      </c>
      <c r="B103" s="33"/>
      <c r="C103" s="33"/>
      <c r="D103" s="70" t="str">
        <f t="shared" si="2"/>
        <v/>
      </c>
      <c r="E103" s="71" t="str">
        <f t="shared" si="3"/>
        <v/>
      </c>
      <c r="F103" s="26"/>
      <c r="G103" s="26"/>
      <c r="H103" s="26"/>
      <c r="I103" s="26"/>
      <c r="J103" s="26"/>
      <c r="K103" s="26"/>
      <c r="L103" s="26"/>
      <c r="M103" s="26"/>
      <c r="N103" s="26"/>
    </row>
    <row r="104" ht="15.75" customHeight="1">
      <c r="A104" s="29">
        <v>100.0</v>
      </c>
      <c r="B104" s="35"/>
      <c r="C104" s="35"/>
      <c r="D104" s="70" t="str">
        <f t="shared" si="2"/>
        <v/>
      </c>
      <c r="E104" s="71" t="str">
        <f t="shared" si="3"/>
        <v/>
      </c>
      <c r="F104" s="26"/>
      <c r="G104" s="26"/>
      <c r="H104" s="26"/>
      <c r="I104" s="26"/>
      <c r="J104" s="26"/>
      <c r="K104" s="26"/>
      <c r="L104" s="26"/>
      <c r="M104" s="26"/>
      <c r="N104" s="26"/>
    </row>
    <row r="105" ht="15.75" customHeight="1">
      <c r="A105" s="21">
        <v>101.0</v>
      </c>
      <c r="B105" s="33"/>
      <c r="C105" s="33"/>
      <c r="D105" s="70" t="str">
        <f t="shared" si="2"/>
        <v/>
      </c>
      <c r="E105" s="71" t="str">
        <f t="shared" si="3"/>
        <v/>
      </c>
      <c r="F105" s="26"/>
      <c r="G105" s="26"/>
      <c r="H105" s="26"/>
      <c r="I105" s="26"/>
      <c r="J105" s="26"/>
      <c r="K105" s="26"/>
      <c r="L105" s="26"/>
      <c r="M105" s="26"/>
      <c r="N105" s="26"/>
    </row>
    <row r="106" ht="15.75" customHeight="1">
      <c r="A106" s="29">
        <v>102.0</v>
      </c>
      <c r="B106" s="35"/>
      <c r="C106" s="35"/>
      <c r="D106" s="70" t="str">
        <f t="shared" si="2"/>
        <v/>
      </c>
      <c r="E106" s="71" t="str">
        <f t="shared" si="3"/>
        <v/>
      </c>
      <c r="F106" s="26"/>
      <c r="G106" s="26"/>
      <c r="H106" s="26"/>
      <c r="I106" s="26"/>
      <c r="J106" s="26"/>
      <c r="K106" s="26"/>
      <c r="L106" s="26"/>
      <c r="M106" s="26"/>
      <c r="N106" s="26"/>
    </row>
    <row r="107" ht="15.75" customHeight="1">
      <c r="A107" s="21">
        <v>103.0</v>
      </c>
      <c r="B107" s="33"/>
      <c r="C107" s="33"/>
      <c r="D107" s="70" t="str">
        <f t="shared" si="2"/>
        <v/>
      </c>
      <c r="E107" s="71" t="str">
        <f t="shared" si="3"/>
        <v/>
      </c>
      <c r="F107" s="26"/>
      <c r="G107" s="26"/>
      <c r="H107" s="26"/>
      <c r="I107" s="26"/>
      <c r="J107" s="26"/>
      <c r="K107" s="26"/>
      <c r="L107" s="26"/>
      <c r="M107" s="26"/>
      <c r="N107" s="26"/>
    </row>
    <row r="108" ht="15.75" customHeight="1">
      <c r="A108" s="29">
        <v>104.0</v>
      </c>
      <c r="B108" s="35"/>
      <c r="C108" s="35"/>
      <c r="D108" s="70" t="str">
        <f t="shared" si="2"/>
        <v/>
      </c>
      <c r="E108" s="71" t="str">
        <f t="shared" si="3"/>
        <v/>
      </c>
      <c r="F108" s="26"/>
      <c r="G108" s="26"/>
      <c r="H108" s="26"/>
      <c r="I108" s="26"/>
      <c r="J108" s="26"/>
      <c r="K108" s="26"/>
      <c r="L108" s="26"/>
      <c r="M108" s="26"/>
      <c r="N108" s="26"/>
    </row>
    <row r="109" ht="15.75" customHeight="1">
      <c r="A109" s="21">
        <v>105.0</v>
      </c>
      <c r="B109" s="33"/>
      <c r="C109" s="33"/>
      <c r="D109" s="70" t="str">
        <f t="shared" si="2"/>
        <v/>
      </c>
      <c r="E109" s="71" t="str">
        <f t="shared" si="3"/>
        <v/>
      </c>
      <c r="F109" s="26"/>
      <c r="G109" s="26"/>
      <c r="H109" s="26"/>
      <c r="I109" s="26"/>
      <c r="J109" s="26"/>
      <c r="K109" s="26"/>
      <c r="L109" s="26"/>
      <c r="M109" s="26"/>
      <c r="N109" s="26"/>
    </row>
    <row r="110" ht="15.75" customHeight="1">
      <c r="A110" s="29">
        <v>106.0</v>
      </c>
      <c r="B110" s="35"/>
      <c r="C110" s="35"/>
      <c r="D110" s="70" t="str">
        <f t="shared" si="2"/>
        <v/>
      </c>
      <c r="E110" s="71" t="str">
        <f t="shared" si="3"/>
        <v/>
      </c>
      <c r="F110" s="26"/>
      <c r="G110" s="26"/>
      <c r="H110" s="26"/>
      <c r="I110" s="26"/>
      <c r="J110" s="26"/>
      <c r="K110" s="26"/>
      <c r="L110" s="26"/>
      <c r="M110" s="26"/>
      <c r="N110" s="26"/>
    </row>
    <row r="111" ht="15.75" customHeight="1">
      <c r="A111" s="21">
        <v>107.0</v>
      </c>
      <c r="B111" s="33"/>
      <c r="C111" s="33"/>
      <c r="D111" s="70" t="str">
        <f t="shared" si="2"/>
        <v/>
      </c>
      <c r="E111" s="71" t="str">
        <f t="shared" si="3"/>
        <v/>
      </c>
      <c r="F111" s="26"/>
      <c r="G111" s="26"/>
      <c r="H111" s="26"/>
      <c r="I111" s="26"/>
      <c r="J111" s="26"/>
      <c r="K111" s="26"/>
      <c r="L111" s="26"/>
      <c r="M111" s="26"/>
      <c r="N111" s="26"/>
    </row>
    <row r="112" ht="15.75" customHeight="1">
      <c r="A112" s="29">
        <v>108.0</v>
      </c>
      <c r="B112" s="35"/>
      <c r="C112" s="35"/>
      <c r="D112" s="70" t="str">
        <f t="shared" si="2"/>
        <v/>
      </c>
      <c r="E112" s="71" t="str">
        <f t="shared" si="3"/>
        <v/>
      </c>
      <c r="F112" s="26"/>
      <c r="G112" s="26"/>
      <c r="H112" s="26"/>
      <c r="I112" s="26"/>
      <c r="J112" s="26"/>
      <c r="K112" s="26"/>
      <c r="L112" s="26"/>
      <c r="M112" s="26"/>
      <c r="N112" s="26"/>
    </row>
    <row r="113" ht="15.75" customHeight="1">
      <c r="A113" s="21">
        <v>109.0</v>
      </c>
      <c r="B113" s="33"/>
      <c r="C113" s="33"/>
      <c r="D113" s="70" t="str">
        <f t="shared" si="2"/>
        <v/>
      </c>
      <c r="E113" s="71" t="str">
        <f t="shared" si="3"/>
        <v/>
      </c>
      <c r="F113" s="26"/>
      <c r="G113" s="26"/>
      <c r="H113" s="26"/>
      <c r="I113" s="26"/>
      <c r="J113" s="26"/>
      <c r="K113" s="26"/>
      <c r="L113" s="26"/>
      <c r="M113" s="26"/>
      <c r="N113" s="26"/>
    </row>
    <row r="114" ht="15.75" customHeight="1">
      <c r="A114" s="29">
        <v>110.0</v>
      </c>
      <c r="B114" s="35"/>
      <c r="C114" s="35"/>
      <c r="D114" s="70" t="str">
        <f t="shared" si="2"/>
        <v/>
      </c>
      <c r="E114" s="71" t="str">
        <f t="shared" si="3"/>
        <v/>
      </c>
      <c r="F114" s="26"/>
      <c r="G114" s="26"/>
      <c r="H114" s="26"/>
      <c r="I114" s="26"/>
      <c r="J114" s="26"/>
      <c r="K114" s="26"/>
      <c r="L114" s="26"/>
      <c r="M114" s="26"/>
      <c r="N114" s="26"/>
    </row>
    <row r="115" ht="15.75" customHeight="1">
      <c r="A115" s="21">
        <v>111.0</v>
      </c>
      <c r="B115" s="33"/>
      <c r="C115" s="33"/>
      <c r="D115" s="70" t="str">
        <f t="shared" si="2"/>
        <v/>
      </c>
      <c r="E115" s="71" t="str">
        <f t="shared" si="3"/>
        <v/>
      </c>
      <c r="F115" s="26"/>
      <c r="G115" s="26"/>
      <c r="H115" s="26"/>
      <c r="I115" s="26"/>
      <c r="J115" s="26"/>
      <c r="K115" s="26"/>
      <c r="L115" s="26"/>
      <c r="M115" s="26"/>
      <c r="N115" s="26"/>
    </row>
    <row r="116" ht="15.75" customHeight="1">
      <c r="A116" s="29">
        <v>112.0</v>
      </c>
      <c r="B116" s="35"/>
      <c r="C116" s="35"/>
      <c r="D116" s="70" t="str">
        <f t="shared" si="2"/>
        <v/>
      </c>
      <c r="E116" s="71" t="str">
        <f t="shared" si="3"/>
        <v/>
      </c>
      <c r="F116" s="26"/>
      <c r="G116" s="26"/>
      <c r="H116" s="26"/>
      <c r="I116" s="26"/>
      <c r="J116" s="26"/>
      <c r="K116" s="26"/>
      <c r="L116" s="26"/>
      <c r="M116" s="26"/>
      <c r="N116" s="26"/>
    </row>
    <row r="117" ht="15.75" customHeight="1">
      <c r="A117" s="21">
        <v>113.0</v>
      </c>
      <c r="B117" s="33"/>
      <c r="C117" s="33"/>
      <c r="D117" s="70" t="str">
        <f t="shared" si="2"/>
        <v/>
      </c>
      <c r="E117" s="71" t="str">
        <f t="shared" si="3"/>
        <v/>
      </c>
      <c r="F117" s="26"/>
      <c r="G117" s="26"/>
      <c r="H117" s="26"/>
      <c r="I117" s="26"/>
      <c r="J117" s="26"/>
      <c r="K117" s="26"/>
      <c r="L117" s="26"/>
      <c r="M117" s="26"/>
      <c r="N117" s="26"/>
    </row>
    <row r="118" ht="15.75" customHeight="1">
      <c r="A118" s="29">
        <v>114.0</v>
      </c>
      <c r="B118" s="35"/>
      <c r="C118" s="35"/>
      <c r="D118" s="70" t="str">
        <f t="shared" si="2"/>
        <v/>
      </c>
      <c r="E118" s="71" t="str">
        <f t="shared" si="3"/>
        <v/>
      </c>
      <c r="F118" s="26"/>
      <c r="G118" s="26"/>
      <c r="H118" s="26"/>
      <c r="I118" s="26"/>
      <c r="J118" s="26"/>
      <c r="K118" s="26"/>
      <c r="L118" s="26"/>
      <c r="M118" s="26"/>
      <c r="N118" s="26"/>
    </row>
    <row r="119" ht="15.75" customHeight="1">
      <c r="A119" s="21">
        <v>115.0</v>
      </c>
      <c r="B119" s="33"/>
      <c r="C119" s="33"/>
      <c r="D119" s="70" t="str">
        <f t="shared" si="2"/>
        <v/>
      </c>
      <c r="E119" s="71" t="str">
        <f t="shared" si="3"/>
        <v/>
      </c>
      <c r="F119" s="26"/>
      <c r="G119" s="26"/>
      <c r="H119" s="26"/>
      <c r="I119" s="26"/>
      <c r="J119" s="26"/>
      <c r="K119" s="26"/>
      <c r="L119" s="26"/>
      <c r="M119" s="26"/>
      <c r="N119" s="26"/>
    </row>
    <row r="120" ht="15.75" customHeight="1">
      <c r="A120" s="29">
        <v>116.0</v>
      </c>
      <c r="B120" s="35"/>
      <c r="C120" s="35"/>
      <c r="D120" s="70" t="str">
        <f t="shared" si="2"/>
        <v/>
      </c>
      <c r="E120" s="71" t="str">
        <f t="shared" si="3"/>
        <v/>
      </c>
      <c r="F120" s="26"/>
      <c r="G120" s="26"/>
      <c r="H120" s="26"/>
      <c r="I120" s="26"/>
      <c r="J120" s="26"/>
      <c r="K120" s="26"/>
      <c r="L120" s="26"/>
      <c r="M120" s="26"/>
      <c r="N120" s="26"/>
    </row>
    <row r="121" ht="15.75" customHeight="1">
      <c r="A121" s="21">
        <v>117.0</v>
      </c>
      <c r="B121" s="33"/>
      <c r="C121" s="33"/>
      <c r="D121" s="70" t="str">
        <f t="shared" si="2"/>
        <v/>
      </c>
      <c r="E121" s="71" t="str">
        <f t="shared" si="3"/>
        <v/>
      </c>
      <c r="F121" s="26"/>
      <c r="G121" s="26"/>
      <c r="H121" s="26"/>
      <c r="I121" s="26"/>
      <c r="J121" s="26"/>
      <c r="K121" s="26"/>
      <c r="L121" s="26"/>
      <c r="M121" s="26"/>
      <c r="N121" s="26"/>
    </row>
    <row r="122" ht="15.75" customHeight="1">
      <c r="A122" s="55">
        <v>118.0</v>
      </c>
      <c r="B122" s="56"/>
      <c r="C122" s="56"/>
      <c r="D122" s="92" t="str">
        <f t="shared" si="2"/>
        <v/>
      </c>
      <c r="E122" s="93" t="str">
        <f t="shared" si="3"/>
        <v/>
      </c>
      <c r="F122" s="17"/>
      <c r="G122" s="17"/>
      <c r="H122" s="17"/>
      <c r="I122" s="17"/>
      <c r="J122" s="17"/>
      <c r="K122" s="17"/>
      <c r="L122" s="17"/>
      <c r="M122" s="17"/>
      <c r="N122" s="17"/>
    </row>
    <row r="123" ht="15.75" customHeight="1">
      <c r="A123" s="55">
        <v>119.0</v>
      </c>
      <c r="B123" s="56"/>
      <c r="C123" s="56"/>
      <c r="D123" s="92" t="str">
        <f t="shared" si="2"/>
        <v/>
      </c>
      <c r="E123" s="93" t="str">
        <f t="shared" si="3"/>
        <v/>
      </c>
      <c r="F123" s="17"/>
      <c r="G123" s="17"/>
      <c r="H123" s="17"/>
      <c r="I123" s="17"/>
      <c r="J123" s="17"/>
      <c r="K123" s="17"/>
      <c r="L123" s="17"/>
      <c r="M123" s="17"/>
      <c r="N123" s="17"/>
    </row>
    <row r="124" ht="15.75" customHeight="1">
      <c r="A124" s="55">
        <v>120.0</v>
      </c>
      <c r="B124" s="56"/>
      <c r="C124" s="56"/>
      <c r="D124" s="92" t="str">
        <f t="shared" si="2"/>
        <v/>
      </c>
      <c r="E124" s="93" t="str">
        <f t="shared" si="3"/>
        <v/>
      </c>
      <c r="F124" s="17"/>
      <c r="G124" s="17"/>
      <c r="H124" s="17"/>
      <c r="I124" s="17"/>
      <c r="J124" s="17"/>
      <c r="K124" s="17"/>
      <c r="L124" s="17"/>
      <c r="M124" s="17"/>
      <c r="N124" s="17"/>
    </row>
    <row r="125" ht="15.75" customHeight="1">
      <c r="A125" s="13"/>
      <c r="B125" s="13"/>
      <c r="C125" s="13"/>
      <c r="D125" s="13"/>
      <c r="E125" s="13"/>
      <c r="F125" s="13"/>
      <c r="G125" s="13"/>
      <c r="H125" s="13"/>
      <c r="I125" s="13"/>
      <c r="J125" s="13"/>
      <c r="K125" s="13"/>
      <c r="L125" s="13"/>
      <c r="M125" s="13"/>
      <c r="N125" s="13"/>
    </row>
    <row r="126" ht="15.75" customHeight="1">
      <c r="A126" s="13"/>
      <c r="B126" s="13"/>
      <c r="C126" s="13"/>
      <c r="D126" s="13"/>
      <c r="E126" s="13"/>
      <c r="F126" s="13"/>
      <c r="G126" s="13"/>
      <c r="H126" s="13"/>
      <c r="I126" s="13"/>
      <c r="J126" s="13"/>
      <c r="K126" s="13"/>
      <c r="L126" s="13"/>
      <c r="M126" s="13"/>
      <c r="N126" s="13"/>
    </row>
    <row r="127" ht="15.75" customHeight="1">
      <c r="A127" s="13"/>
      <c r="B127" s="13"/>
      <c r="C127" s="13"/>
      <c r="D127" s="13"/>
      <c r="E127" s="13"/>
      <c r="F127" s="13"/>
      <c r="G127" s="13"/>
      <c r="H127" s="13"/>
      <c r="I127" s="13"/>
      <c r="J127" s="13"/>
      <c r="K127" s="13"/>
      <c r="L127" s="13"/>
      <c r="M127" s="13"/>
      <c r="N127" s="13"/>
    </row>
    <row r="128" ht="15.75" customHeight="1">
      <c r="A128" s="13"/>
      <c r="B128" s="13"/>
      <c r="C128" s="13"/>
      <c r="D128" s="13"/>
      <c r="E128" s="13"/>
      <c r="F128" s="13"/>
      <c r="G128" s="13"/>
      <c r="H128" s="13"/>
      <c r="I128" s="13"/>
      <c r="J128" s="13"/>
      <c r="K128" s="13"/>
      <c r="L128" s="13"/>
      <c r="M128" s="13"/>
      <c r="N128" s="13"/>
    </row>
    <row r="129" ht="15.75" customHeight="1">
      <c r="A129" s="13"/>
      <c r="B129" s="13"/>
      <c r="C129" s="13"/>
      <c r="D129" s="13"/>
      <c r="E129" s="13"/>
      <c r="F129" s="13"/>
      <c r="G129" s="13"/>
      <c r="H129" s="13"/>
      <c r="I129" s="13"/>
      <c r="J129" s="13"/>
      <c r="K129" s="13"/>
      <c r="L129" s="13"/>
      <c r="M129" s="13"/>
      <c r="N129" s="13"/>
    </row>
    <row r="130" ht="15.75" customHeight="1">
      <c r="A130" s="13"/>
      <c r="B130" s="13"/>
      <c r="C130" s="13"/>
      <c r="D130" s="13"/>
      <c r="E130" s="13"/>
      <c r="F130" s="13"/>
      <c r="G130" s="13"/>
      <c r="H130" s="13"/>
      <c r="I130" s="13"/>
      <c r="J130" s="13"/>
      <c r="K130" s="13"/>
      <c r="L130" s="13"/>
      <c r="M130" s="13"/>
      <c r="N130" s="13"/>
    </row>
    <row r="131" ht="15.75" customHeight="1">
      <c r="A131" s="13"/>
      <c r="B131" s="13"/>
      <c r="C131" s="13"/>
      <c r="D131" s="13"/>
      <c r="E131" s="13"/>
      <c r="F131" s="13"/>
      <c r="G131" s="13"/>
      <c r="H131" s="13"/>
      <c r="I131" s="13"/>
      <c r="J131" s="13"/>
      <c r="K131" s="13"/>
      <c r="L131" s="13"/>
      <c r="M131" s="13"/>
      <c r="N131" s="13"/>
    </row>
    <row r="132" ht="15.75" customHeight="1">
      <c r="A132" s="13"/>
      <c r="B132" s="13"/>
      <c r="C132" s="13"/>
      <c r="D132" s="13"/>
      <c r="E132" s="13"/>
      <c r="F132" s="13"/>
      <c r="G132" s="13"/>
      <c r="H132" s="13"/>
      <c r="I132" s="13"/>
      <c r="J132" s="13"/>
      <c r="K132" s="13"/>
      <c r="L132" s="13"/>
      <c r="M132" s="13"/>
      <c r="N132" s="13"/>
    </row>
    <row r="133" ht="15.75" customHeight="1">
      <c r="A133" s="13"/>
      <c r="B133" s="13"/>
      <c r="C133" s="13"/>
      <c r="D133" s="13"/>
      <c r="E133" s="13"/>
      <c r="F133" s="13"/>
      <c r="G133" s="13"/>
      <c r="H133" s="13"/>
      <c r="I133" s="13"/>
      <c r="J133" s="13"/>
      <c r="K133" s="13"/>
      <c r="L133" s="13"/>
      <c r="M133" s="13"/>
      <c r="N133" s="13"/>
    </row>
    <row r="134" ht="15.75" customHeight="1">
      <c r="A134" s="13"/>
      <c r="B134" s="13"/>
      <c r="C134" s="13"/>
      <c r="D134" s="13"/>
      <c r="E134" s="13"/>
      <c r="F134" s="13"/>
      <c r="G134" s="13"/>
      <c r="H134" s="13"/>
      <c r="I134" s="13"/>
      <c r="J134" s="13"/>
      <c r="K134" s="13"/>
      <c r="L134" s="13"/>
      <c r="M134" s="13"/>
      <c r="N134" s="13"/>
    </row>
    <row r="135" ht="15.75" customHeight="1">
      <c r="A135" s="13"/>
      <c r="B135" s="13"/>
      <c r="C135" s="13"/>
      <c r="D135" s="13"/>
      <c r="E135" s="13"/>
      <c r="F135" s="13"/>
      <c r="G135" s="13"/>
      <c r="H135" s="13"/>
      <c r="I135" s="13"/>
      <c r="J135" s="13"/>
      <c r="K135" s="13"/>
      <c r="L135" s="13"/>
      <c r="M135" s="13"/>
      <c r="N135" s="13"/>
    </row>
    <row r="136" ht="15.75" customHeight="1">
      <c r="A136" s="13"/>
      <c r="B136" s="13"/>
      <c r="C136" s="13"/>
      <c r="D136" s="13"/>
      <c r="E136" s="13"/>
      <c r="F136" s="13"/>
      <c r="G136" s="13"/>
      <c r="H136" s="13"/>
      <c r="I136" s="13"/>
      <c r="J136" s="13"/>
      <c r="K136" s="13"/>
      <c r="L136" s="13"/>
      <c r="M136" s="13"/>
      <c r="N136" s="13"/>
    </row>
    <row r="137" ht="15.75" customHeight="1">
      <c r="A137" s="13"/>
      <c r="B137" s="13"/>
      <c r="C137" s="13"/>
      <c r="D137" s="13"/>
      <c r="E137" s="13"/>
      <c r="F137" s="13"/>
      <c r="G137" s="13"/>
      <c r="H137" s="13"/>
      <c r="I137" s="13"/>
      <c r="J137" s="13"/>
      <c r="K137" s="13"/>
      <c r="L137" s="13"/>
      <c r="M137" s="13"/>
      <c r="N137" s="13"/>
    </row>
    <row r="138" ht="15.75" customHeight="1">
      <c r="A138" s="13"/>
      <c r="B138" s="13"/>
      <c r="C138" s="13"/>
      <c r="D138" s="13"/>
      <c r="E138" s="13"/>
      <c r="F138" s="13"/>
      <c r="G138" s="13"/>
      <c r="H138" s="13"/>
      <c r="I138" s="13"/>
      <c r="J138" s="13"/>
      <c r="K138" s="13"/>
      <c r="L138" s="13"/>
      <c r="M138" s="13"/>
      <c r="N138" s="13"/>
    </row>
    <row r="139" ht="15.75" customHeight="1">
      <c r="A139" s="13"/>
      <c r="B139" s="13"/>
      <c r="C139" s="13"/>
      <c r="D139" s="13"/>
      <c r="E139" s="13"/>
      <c r="F139" s="13"/>
      <c r="G139" s="13"/>
      <c r="H139" s="13"/>
      <c r="I139" s="13"/>
      <c r="J139" s="13"/>
      <c r="K139" s="13"/>
      <c r="L139" s="13"/>
      <c r="M139" s="13"/>
      <c r="N139" s="13"/>
    </row>
    <row r="140" ht="15.75" customHeight="1">
      <c r="A140" s="13"/>
      <c r="B140" s="13"/>
      <c r="C140" s="13"/>
      <c r="D140" s="13"/>
      <c r="E140" s="13"/>
      <c r="F140" s="13"/>
      <c r="G140" s="13"/>
      <c r="H140" s="13"/>
      <c r="I140" s="13"/>
      <c r="J140" s="13"/>
      <c r="K140" s="13"/>
      <c r="L140" s="13"/>
      <c r="M140" s="13"/>
      <c r="N140" s="13"/>
    </row>
    <row r="141" ht="15.75" customHeight="1">
      <c r="A141" s="13"/>
      <c r="B141" s="13"/>
      <c r="C141" s="13"/>
      <c r="D141" s="13"/>
      <c r="E141" s="13"/>
      <c r="F141" s="13"/>
      <c r="G141" s="13"/>
      <c r="H141" s="13"/>
      <c r="I141" s="13"/>
      <c r="J141" s="13"/>
      <c r="K141" s="13"/>
      <c r="L141" s="13"/>
      <c r="M141" s="13"/>
      <c r="N141" s="13"/>
    </row>
    <row r="142" ht="15.75" customHeight="1">
      <c r="A142" s="13"/>
      <c r="B142" s="13"/>
      <c r="C142" s="13"/>
      <c r="D142" s="13"/>
      <c r="E142" s="13"/>
      <c r="F142" s="13"/>
      <c r="G142" s="13"/>
      <c r="H142" s="13"/>
      <c r="I142" s="13"/>
      <c r="J142" s="13"/>
      <c r="K142" s="13"/>
      <c r="L142" s="13"/>
      <c r="M142" s="13"/>
      <c r="N142" s="13"/>
    </row>
    <row r="143" ht="15.75" customHeight="1">
      <c r="A143" s="13"/>
      <c r="B143" s="13"/>
      <c r="C143" s="13"/>
      <c r="D143" s="13"/>
      <c r="E143" s="13"/>
      <c r="F143" s="13"/>
      <c r="G143" s="13"/>
      <c r="H143" s="13"/>
      <c r="I143" s="13"/>
      <c r="J143" s="13"/>
      <c r="K143" s="13"/>
      <c r="L143" s="13"/>
      <c r="M143" s="13"/>
      <c r="N143" s="13"/>
    </row>
    <row r="144" ht="15.75" customHeight="1">
      <c r="A144" s="13"/>
      <c r="B144" s="13"/>
      <c r="C144" s="13"/>
      <c r="D144" s="13"/>
      <c r="E144" s="13"/>
      <c r="F144" s="13"/>
      <c r="G144" s="13"/>
      <c r="H144" s="13"/>
      <c r="I144" s="13"/>
      <c r="J144" s="13"/>
      <c r="K144" s="13"/>
      <c r="L144" s="13"/>
      <c r="M144" s="13"/>
      <c r="N144" s="13"/>
    </row>
    <row r="145" ht="15.75" customHeight="1">
      <c r="A145" s="13"/>
      <c r="B145" s="13"/>
      <c r="C145" s="13"/>
      <c r="D145" s="13"/>
      <c r="E145" s="13"/>
      <c r="F145" s="13"/>
      <c r="G145" s="13"/>
      <c r="H145" s="13"/>
      <c r="I145" s="13"/>
      <c r="J145" s="13"/>
      <c r="K145" s="13"/>
      <c r="L145" s="13"/>
      <c r="M145" s="13"/>
      <c r="N145" s="13"/>
    </row>
    <row r="146" ht="15.75" customHeight="1">
      <c r="A146" s="13"/>
      <c r="B146" s="13"/>
      <c r="C146" s="13"/>
      <c r="D146" s="13"/>
      <c r="E146" s="13"/>
      <c r="F146" s="13"/>
      <c r="G146" s="13"/>
      <c r="H146" s="13"/>
      <c r="I146" s="13"/>
      <c r="J146" s="13"/>
      <c r="K146" s="13"/>
      <c r="L146" s="13"/>
      <c r="M146" s="13"/>
      <c r="N146" s="13"/>
    </row>
    <row r="147" ht="15.75" customHeight="1">
      <c r="A147" s="13"/>
      <c r="B147" s="13"/>
      <c r="C147" s="13"/>
      <c r="D147" s="13"/>
      <c r="E147" s="13"/>
      <c r="F147" s="13"/>
      <c r="G147" s="13"/>
      <c r="H147" s="13"/>
      <c r="I147" s="13"/>
      <c r="J147" s="13"/>
      <c r="K147" s="13"/>
      <c r="L147" s="13"/>
      <c r="M147" s="13"/>
      <c r="N147" s="13"/>
    </row>
    <row r="148" ht="15.75" customHeight="1">
      <c r="A148" s="13"/>
      <c r="B148" s="13"/>
      <c r="C148" s="13"/>
      <c r="D148" s="13"/>
      <c r="E148" s="13"/>
      <c r="F148" s="13"/>
      <c r="G148" s="13"/>
      <c r="H148" s="13"/>
      <c r="I148" s="13"/>
      <c r="J148" s="13"/>
      <c r="K148" s="13"/>
      <c r="L148" s="13"/>
      <c r="M148" s="13"/>
      <c r="N148" s="13"/>
    </row>
    <row r="149" ht="15.75" customHeight="1">
      <c r="A149" s="13"/>
      <c r="B149" s="13"/>
      <c r="C149" s="13"/>
      <c r="D149" s="13"/>
      <c r="E149" s="13"/>
      <c r="F149" s="13"/>
      <c r="G149" s="13"/>
      <c r="H149" s="13"/>
      <c r="I149" s="13"/>
      <c r="J149" s="13"/>
      <c r="K149" s="13"/>
      <c r="L149" s="13"/>
      <c r="M149" s="13"/>
      <c r="N149" s="13"/>
    </row>
    <row r="150" ht="15.75" customHeight="1">
      <c r="A150" s="13"/>
      <c r="B150" s="13"/>
      <c r="C150" s="13"/>
      <c r="D150" s="13"/>
      <c r="E150" s="13"/>
      <c r="F150" s="13"/>
      <c r="G150" s="13"/>
      <c r="H150" s="13"/>
      <c r="I150" s="13"/>
      <c r="J150" s="13"/>
      <c r="K150" s="13"/>
      <c r="L150" s="13"/>
      <c r="M150" s="13"/>
      <c r="N150" s="13"/>
    </row>
    <row r="151" ht="15.75" customHeight="1">
      <c r="A151" s="13"/>
      <c r="B151" s="13"/>
      <c r="C151" s="13"/>
      <c r="D151" s="13"/>
      <c r="E151" s="13"/>
      <c r="F151" s="13"/>
      <c r="G151" s="13"/>
      <c r="H151" s="13"/>
      <c r="I151" s="13"/>
      <c r="J151" s="13"/>
      <c r="K151" s="13"/>
      <c r="L151" s="13"/>
      <c r="M151" s="13"/>
      <c r="N151" s="13"/>
    </row>
    <row r="152" ht="15.75" customHeight="1">
      <c r="A152" s="13"/>
      <c r="B152" s="13"/>
      <c r="C152" s="13"/>
      <c r="D152" s="13"/>
      <c r="E152" s="13"/>
      <c r="F152" s="13"/>
      <c r="G152" s="13"/>
      <c r="H152" s="13"/>
      <c r="I152" s="13"/>
      <c r="J152" s="13"/>
      <c r="K152" s="13"/>
      <c r="L152" s="13"/>
      <c r="M152" s="13"/>
      <c r="N152" s="13"/>
    </row>
    <row r="153" ht="15.75" customHeight="1">
      <c r="A153" s="13"/>
      <c r="B153" s="13"/>
      <c r="C153" s="13"/>
      <c r="D153" s="13"/>
      <c r="E153" s="13"/>
      <c r="F153" s="13"/>
      <c r="G153" s="13"/>
      <c r="H153" s="13"/>
      <c r="I153" s="13"/>
      <c r="J153" s="13"/>
      <c r="K153" s="13"/>
      <c r="L153" s="13"/>
      <c r="M153" s="13"/>
      <c r="N153" s="13"/>
    </row>
    <row r="154" ht="15.75" customHeight="1">
      <c r="A154" s="13"/>
      <c r="B154" s="13"/>
      <c r="C154" s="13"/>
      <c r="D154" s="13"/>
      <c r="E154" s="13"/>
      <c r="F154" s="13"/>
      <c r="G154" s="13"/>
      <c r="H154" s="13"/>
      <c r="I154" s="13"/>
      <c r="J154" s="13"/>
      <c r="K154" s="13"/>
      <c r="L154" s="13"/>
      <c r="M154" s="13"/>
      <c r="N154" s="13"/>
    </row>
    <row r="155" ht="15.75" customHeight="1">
      <c r="A155" s="13"/>
      <c r="B155" s="13"/>
      <c r="C155" s="13"/>
      <c r="D155" s="13"/>
      <c r="E155" s="13"/>
      <c r="F155" s="13"/>
      <c r="G155" s="13"/>
      <c r="H155" s="13"/>
      <c r="I155" s="13"/>
      <c r="J155" s="13"/>
      <c r="K155" s="13"/>
      <c r="L155" s="13"/>
      <c r="M155" s="13"/>
      <c r="N155" s="13"/>
    </row>
    <row r="156" ht="15.75" customHeight="1">
      <c r="A156" s="13"/>
      <c r="B156" s="13"/>
      <c r="C156" s="13"/>
      <c r="D156" s="13"/>
      <c r="E156" s="13"/>
      <c r="F156" s="13"/>
      <c r="G156" s="13"/>
      <c r="H156" s="13"/>
      <c r="I156" s="13"/>
      <c r="J156" s="13"/>
      <c r="K156" s="13"/>
      <c r="L156" s="13"/>
      <c r="M156" s="13"/>
      <c r="N156" s="13"/>
    </row>
    <row r="157" ht="15.75" customHeight="1">
      <c r="A157" s="13"/>
      <c r="B157" s="13"/>
      <c r="C157" s="13"/>
      <c r="D157" s="13"/>
      <c r="E157" s="13"/>
      <c r="F157" s="13"/>
      <c r="G157" s="13"/>
      <c r="H157" s="13"/>
      <c r="I157" s="13"/>
      <c r="J157" s="13"/>
      <c r="K157" s="13"/>
      <c r="L157" s="13"/>
      <c r="M157" s="13"/>
      <c r="N157" s="13"/>
    </row>
    <row r="158" ht="15.75" customHeight="1">
      <c r="A158" s="13"/>
      <c r="B158" s="13"/>
      <c r="C158" s="13"/>
      <c r="D158" s="13"/>
      <c r="E158" s="13"/>
      <c r="F158" s="13"/>
      <c r="G158" s="13"/>
      <c r="H158" s="13"/>
      <c r="I158" s="13"/>
      <c r="J158" s="13"/>
      <c r="K158" s="13"/>
      <c r="L158" s="13"/>
      <c r="M158" s="13"/>
      <c r="N158" s="13"/>
    </row>
    <row r="159" ht="15.75" customHeight="1">
      <c r="A159" s="13"/>
      <c r="B159" s="13"/>
      <c r="C159" s="13"/>
      <c r="D159" s="13"/>
      <c r="E159" s="13"/>
      <c r="F159" s="13"/>
      <c r="G159" s="13"/>
      <c r="H159" s="13"/>
      <c r="I159" s="13"/>
      <c r="J159" s="13"/>
      <c r="K159" s="13"/>
      <c r="L159" s="13"/>
      <c r="M159" s="13"/>
      <c r="N159" s="13"/>
    </row>
    <row r="160" ht="15.75" customHeight="1">
      <c r="A160" s="13"/>
      <c r="B160" s="13"/>
      <c r="C160" s="13"/>
      <c r="D160" s="13"/>
      <c r="E160" s="13"/>
      <c r="F160" s="13"/>
      <c r="G160" s="13"/>
      <c r="H160" s="13"/>
      <c r="I160" s="13"/>
      <c r="J160" s="13"/>
      <c r="K160" s="13"/>
      <c r="L160" s="13"/>
      <c r="M160" s="13"/>
      <c r="N160" s="13"/>
    </row>
    <row r="161" ht="15.75" customHeight="1">
      <c r="A161" s="13"/>
      <c r="B161" s="13"/>
      <c r="C161" s="13"/>
      <c r="D161" s="13"/>
      <c r="E161" s="13"/>
      <c r="F161" s="13"/>
      <c r="G161" s="13"/>
      <c r="H161" s="13"/>
      <c r="I161" s="13"/>
      <c r="J161" s="13"/>
      <c r="K161" s="13"/>
      <c r="L161" s="13"/>
      <c r="M161" s="13"/>
      <c r="N161" s="13"/>
    </row>
    <row r="162" ht="15.75" customHeight="1">
      <c r="A162" s="13"/>
      <c r="B162" s="13"/>
      <c r="C162" s="13"/>
      <c r="D162" s="13"/>
      <c r="E162" s="13"/>
      <c r="F162" s="13"/>
      <c r="G162" s="13"/>
      <c r="H162" s="13"/>
      <c r="I162" s="13"/>
      <c r="J162" s="13"/>
      <c r="K162" s="13"/>
      <c r="L162" s="13"/>
      <c r="M162" s="13"/>
      <c r="N162" s="13"/>
    </row>
    <row r="163" ht="15.75" customHeight="1">
      <c r="A163" s="13"/>
      <c r="B163" s="13"/>
      <c r="C163" s="13"/>
      <c r="D163" s="13"/>
      <c r="E163" s="13"/>
      <c r="F163" s="13"/>
      <c r="G163" s="13"/>
      <c r="H163" s="13"/>
      <c r="I163" s="13"/>
      <c r="J163" s="13"/>
      <c r="K163" s="13"/>
      <c r="L163" s="13"/>
      <c r="M163" s="13"/>
      <c r="N163" s="13"/>
    </row>
    <row r="164" ht="15.75" customHeight="1">
      <c r="A164" s="13"/>
      <c r="B164" s="13"/>
      <c r="C164" s="13"/>
      <c r="D164" s="13"/>
      <c r="E164" s="13"/>
      <c r="F164" s="13"/>
      <c r="G164" s="13"/>
      <c r="H164" s="13"/>
      <c r="I164" s="13"/>
      <c r="J164" s="13"/>
      <c r="K164" s="13"/>
      <c r="L164" s="13"/>
      <c r="M164" s="13"/>
      <c r="N164" s="13"/>
    </row>
    <row r="165" ht="15.75" customHeight="1">
      <c r="A165" s="13"/>
      <c r="B165" s="13"/>
      <c r="C165" s="13"/>
      <c r="D165" s="13"/>
      <c r="E165" s="13"/>
      <c r="F165" s="13"/>
      <c r="G165" s="13"/>
      <c r="H165" s="13"/>
      <c r="I165" s="13"/>
      <c r="J165" s="13"/>
      <c r="K165" s="13"/>
      <c r="L165" s="13"/>
      <c r="M165" s="13"/>
      <c r="N165" s="13"/>
    </row>
    <row r="166" ht="15.75" customHeight="1">
      <c r="A166" s="13"/>
      <c r="B166" s="13"/>
      <c r="C166" s="13"/>
      <c r="D166" s="13"/>
      <c r="E166" s="13"/>
      <c r="F166" s="13"/>
      <c r="G166" s="13"/>
      <c r="H166" s="13"/>
      <c r="I166" s="13"/>
      <c r="J166" s="13"/>
      <c r="K166" s="13"/>
      <c r="L166" s="13"/>
      <c r="M166" s="13"/>
      <c r="N166" s="13"/>
    </row>
    <row r="167" ht="15.75" customHeight="1">
      <c r="A167" s="13"/>
      <c r="B167" s="13"/>
      <c r="C167" s="13"/>
      <c r="D167" s="13"/>
      <c r="E167" s="13"/>
      <c r="F167" s="13"/>
      <c r="G167" s="13"/>
      <c r="H167" s="13"/>
      <c r="I167" s="13"/>
      <c r="J167" s="13"/>
      <c r="K167" s="13"/>
      <c r="L167" s="13"/>
      <c r="M167" s="13"/>
      <c r="N167" s="13"/>
    </row>
    <row r="168" ht="15.75" customHeight="1">
      <c r="A168" s="13"/>
      <c r="B168" s="13"/>
      <c r="C168" s="13"/>
      <c r="D168" s="13"/>
      <c r="E168" s="13"/>
      <c r="F168" s="13"/>
      <c r="G168" s="13"/>
      <c r="H168" s="13"/>
      <c r="I168" s="13"/>
      <c r="J168" s="13"/>
      <c r="K168" s="13"/>
      <c r="L168" s="13"/>
      <c r="M168" s="13"/>
      <c r="N168" s="13"/>
    </row>
    <row r="169" ht="15.75" customHeight="1">
      <c r="A169" s="13"/>
      <c r="B169" s="13"/>
      <c r="C169" s="13"/>
      <c r="D169" s="13"/>
      <c r="E169" s="13"/>
      <c r="F169" s="13"/>
      <c r="G169" s="13"/>
      <c r="H169" s="13"/>
      <c r="I169" s="13"/>
      <c r="J169" s="13"/>
      <c r="K169" s="13"/>
      <c r="L169" s="13"/>
      <c r="M169" s="13"/>
      <c r="N169" s="13"/>
    </row>
    <row r="170" ht="15.75" customHeight="1">
      <c r="A170" s="13"/>
      <c r="B170" s="13"/>
      <c r="C170" s="13"/>
      <c r="D170" s="13"/>
      <c r="E170" s="13"/>
      <c r="F170" s="13"/>
      <c r="G170" s="13"/>
      <c r="H170" s="13"/>
      <c r="I170" s="13"/>
      <c r="J170" s="13"/>
      <c r="K170" s="13"/>
      <c r="L170" s="13"/>
      <c r="M170" s="13"/>
      <c r="N170" s="13"/>
    </row>
    <row r="171" ht="15.75" customHeight="1">
      <c r="A171" s="13"/>
      <c r="B171" s="13"/>
      <c r="C171" s="13"/>
      <c r="D171" s="13"/>
      <c r="E171" s="13"/>
      <c r="F171" s="13"/>
      <c r="G171" s="13"/>
      <c r="H171" s="13"/>
      <c r="I171" s="13"/>
      <c r="J171" s="13"/>
      <c r="K171" s="13"/>
      <c r="L171" s="13"/>
      <c r="M171" s="13"/>
      <c r="N171" s="13"/>
    </row>
    <row r="172" ht="15.75" customHeight="1">
      <c r="A172" s="13"/>
      <c r="B172" s="13"/>
      <c r="C172" s="13"/>
      <c r="D172" s="13"/>
      <c r="E172" s="13"/>
      <c r="F172" s="13"/>
      <c r="G172" s="13"/>
      <c r="H172" s="13"/>
      <c r="I172" s="13"/>
      <c r="J172" s="13"/>
      <c r="K172" s="13"/>
      <c r="L172" s="13"/>
      <c r="M172" s="13"/>
      <c r="N172" s="13"/>
    </row>
    <row r="173" ht="15.75" customHeight="1">
      <c r="A173" s="13"/>
      <c r="B173" s="13"/>
      <c r="C173" s="13"/>
      <c r="D173" s="13"/>
      <c r="E173" s="13"/>
      <c r="F173" s="13"/>
      <c r="G173" s="13"/>
      <c r="H173" s="13"/>
      <c r="I173" s="13"/>
      <c r="J173" s="13"/>
      <c r="K173" s="13"/>
      <c r="L173" s="13"/>
      <c r="M173" s="13"/>
      <c r="N173" s="13"/>
    </row>
    <row r="174" ht="15.75" customHeight="1">
      <c r="A174" s="13"/>
      <c r="B174" s="13"/>
      <c r="C174" s="13"/>
      <c r="D174" s="13"/>
      <c r="E174" s="13"/>
      <c r="F174" s="13"/>
      <c r="G174" s="13"/>
      <c r="H174" s="13"/>
      <c r="I174" s="13"/>
      <c r="J174" s="13"/>
      <c r="K174" s="13"/>
      <c r="L174" s="13"/>
      <c r="M174" s="13"/>
      <c r="N174" s="13"/>
    </row>
    <row r="175" ht="15.75" customHeight="1">
      <c r="A175" s="13"/>
      <c r="B175" s="13"/>
      <c r="C175" s="13"/>
      <c r="D175" s="13"/>
      <c r="E175" s="13"/>
      <c r="F175" s="13"/>
      <c r="G175" s="13"/>
      <c r="H175" s="13"/>
      <c r="I175" s="13"/>
      <c r="J175" s="13"/>
      <c r="K175" s="13"/>
      <c r="L175" s="13"/>
      <c r="M175" s="13"/>
      <c r="N175" s="13"/>
    </row>
    <row r="176" ht="15.75" customHeight="1">
      <c r="A176" s="13"/>
      <c r="B176" s="13"/>
      <c r="C176" s="13"/>
      <c r="D176" s="13"/>
      <c r="E176" s="13"/>
      <c r="F176" s="13"/>
      <c r="G176" s="13"/>
      <c r="H176" s="13"/>
      <c r="I176" s="13"/>
      <c r="J176" s="13"/>
      <c r="K176" s="13"/>
      <c r="L176" s="13"/>
      <c r="M176" s="13"/>
      <c r="N176" s="13"/>
    </row>
    <row r="177" ht="15.75" customHeight="1">
      <c r="A177" s="13"/>
      <c r="B177" s="13"/>
      <c r="C177" s="13"/>
      <c r="D177" s="13"/>
      <c r="E177" s="13"/>
      <c r="F177" s="13"/>
      <c r="G177" s="13"/>
      <c r="H177" s="13"/>
      <c r="I177" s="13"/>
      <c r="J177" s="13"/>
      <c r="K177" s="13"/>
      <c r="L177" s="13"/>
      <c r="M177" s="13"/>
      <c r="N177" s="13"/>
    </row>
    <row r="178" ht="15.75" customHeight="1">
      <c r="A178" s="13"/>
      <c r="B178" s="13"/>
      <c r="C178" s="13"/>
      <c r="D178" s="13"/>
      <c r="E178" s="13"/>
      <c r="F178" s="13"/>
      <c r="G178" s="13"/>
      <c r="H178" s="13"/>
      <c r="I178" s="13"/>
      <c r="J178" s="13"/>
      <c r="K178" s="13"/>
      <c r="L178" s="13"/>
      <c r="M178" s="13"/>
      <c r="N178" s="13"/>
    </row>
    <row r="179" ht="15.75" customHeight="1">
      <c r="A179" s="13"/>
      <c r="B179" s="13"/>
      <c r="C179" s="13"/>
      <c r="D179" s="13"/>
      <c r="E179" s="13"/>
      <c r="F179" s="13"/>
      <c r="G179" s="13"/>
      <c r="H179" s="13"/>
      <c r="I179" s="13"/>
      <c r="J179" s="13"/>
      <c r="K179" s="13"/>
      <c r="L179" s="13"/>
      <c r="M179" s="13"/>
      <c r="N179" s="13"/>
    </row>
    <row r="180" ht="15.75" customHeight="1">
      <c r="A180" s="13"/>
      <c r="B180" s="13"/>
      <c r="C180" s="13"/>
      <c r="D180" s="13"/>
      <c r="E180" s="13"/>
      <c r="F180" s="13"/>
      <c r="G180" s="13"/>
      <c r="H180" s="13"/>
      <c r="I180" s="13"/>
      <c r="J180" s="13"/>
      <c r="K180" s="13"/>
      <c r="L180" s="13"/>
      <c r="M180" s="13"/>
      <c r="N180" s="13"/>
    </row>
    <row r="181" ht="15.75" customHeight="1">
      <c r="A181" s="13"/>
      <c r="B181" s="13"/>
      <c r="C181" s="13"/>
      <c r="D181" s="13"/>
      <c r="E181" s="13"/>
      <c r="F181" s="13"/>
      <c r="G181" s="13"/>
      <c r="H181" s="13"/>
      <c r="I181" s="13"/>
      <c r="J181" s="13"/>
      <c r="K181" s="13"/>
      <c r="L181" s="13"/>
      <c r="M181" s="13"/>
      <c r="N181" s="13"/>
    </row>
    <row r="182" ht="15.75" customHeight="1">
      <c r="A182" s="13"/>
      <c r="B182" s="13"/>
      <c r="C182" s="13"/>
      <c r="D182" s="13"/>
      <c r="E182" s="13"/>
      <c r="F182" s="13"/>
      <c r="G182" s="13"/>
      <c r="H182" s="13"/>
      <c r="I182" s="13"/>
      <c r="J182" s="13"/>
      <c r="K182" s="13"/>
      <c r="L182" s="13"/>
      <c r="M182" s="13"/>
      <c r="N182" s="13"/>
    </row>
    <row r="183" ht="15.75" customHeight="1">
      <c r="A183" s="13"/>
      <c r="B183" s="13"/>
      <c r="C183" s="13"/>
      <c r="D183" s="13"/>
      <c r="E183" s="13"/>
      <c r="F183" s="13"/>
      <c r="G183" s="13"/>
      <c r="H183" s="13"/>
      <c r="I183" s="13"/>
      <c r="J183" s="13"/>
      <c r="K183" s="13"/>
      <c r="L183" s="13"/>
      <c r="M183" s="13"/>
      <c r="N183" s="13"/>
    </row>
    <row r="184" ht="15.75" customHeight="1">
      <c r="A184" s="13"/>
      <c r="B184" s="13"/>
      <c r="C184" s="13"/>
      <c r="D184" s="13"/>
      <c r="E184" s="13"/>
      <c r="F184" s="13"/>
      <c r="G184" s="13"/>
      <c r="H184" s="13"/>
      <c r="I184" s="13"/>
      <c r="J184" s="13"/>
      <c r="K184" s="13"/>
      <c r="L184" s="13"/>
      <c r="M184" s="13"/>
      <c r="N184" s="13"/>
    </row>
    <row r="185" ht="15.75" customHeight="1">
      <c r="A185" s="13"/>
      <c r="B185" s="13"/>
      <c r="C185" s="13"/>
      <c r="D185" s="13"/>
      <c r="E185" s="13"/>
      <c r="F185" s="13"/>
      <c r="G185" s="13"/>
      <c r="H185" s="13"/>
      <c r="I185" s="13"/>
      <c r="J185" s="13"/>
      <c r="K185" s="13"/>
      <c r="L185" s="13"/>
      <c r="M185" s="13"/>
      <c r="N185" s="13"/>
    </row>
    <row r="186" ht="15.75" customHeight="1">
      <c r="A186" s="13"/>
      <c r="B186" s="13"/>
      <c r="C186" s="13"/>
      <c r="D186" s="13"/>
      <c r="E186" s="13"/>
      <c r="F186" s="13"/>
      <c r="G186" s="13"/>
      <c r="H186" s="13"/>
      <c r="I186" s="13"/>
      <c r="J186" s="13"/>
      <c r="K186" s="13"/>
      <c r="L186" s="13"/>
      <c r="M186" s="13"/>
      <c r="N186" s="13"/>
    </row>
    <row r="187" ht="15.75" customHeight="1">
      <c r="A187" s="13"/>
      <c r="B187" s="13"/>
      <c r="C187" s="13"/>
      <c r="D187" s="13"/>
      <c r="E187" s="13"/>
      <c r="F187" s="13"/>
      <c r="G187" s="13"/>
      <c r="H187" s="13"/>
      <c r="I187" s="13"/>
      <c r="J187" s="13"/>
      <c r="K187" s="13"/>
      <c r="L187" s="13"/>
      <c r="M187" s="13"/>
      <c r="N187" s="13"/>
    </row>
    <row r="188" ht="15.75" customHeight="1">
      <c r="A188" s="13"/>
      <c r="B188" s="13"/>
      <c r="C188" s="13"/>
      <c r="D188" s="13"/>
      <c r="E188" s="13"/>
      <c r="F188" s="13"/>
      <c r="G188" s="13"/>
      <c r="H188" s="13"/>
      <c r="I188" s="13"/>
      <c r="J188" s="13"/>
      <c r="K188" s="13"/>
      <c r="L188" s="13"/>
      <c r="M188" s="13"/>
      <c r="N188" s="13"/>
    </row>
    <row r="189" ht="15.75" customHeight="1">
      <c r="A189" s="13"/>
      <c r="B189" s="13"/>
      <c r="C189" s="13"/>
      <c r="D189" s="13"/>
      <c r="E189" s="13"/>
      <c r="F189" s="13"/>
      <c r="G189" s="13"/>
      <c r="H189" s="13"/>
      <c r="I189" s="13"/>
      <c r="J189" s="13"/>
      <c r="K189" s="13"/>
      <c r="L189" s="13"/>
      <c r="M189" s="13"/>
      <c r="N189" s="13"/>
    </row>
    <row r="190" ht="15.75" customHeight="1">
      <c r="A190" s="13"/>
      <c r="B190" s="13"/>
      <c r="C190" s="13"/>
      <c r="D190" s="13"/>
      <c r="E190" s="13"/>
      <c r="F190" s="13"/>
      <c r="G190" s="13"/>
      <c r="H190" s="13"/>
      <c r="I190" s="13"/>
      <c r="J190" s="13"/>
      <c r="K190" s="13"/>
      <c r="L190" s="13"/>
      <c r="M190" s="13"/>
      <c r="N190" s="13"/>
    </row>
    <row r="191" ht="15.75" customHeight="1">
      <c r="A191" s="13"/>
      <c r="B191" s="13"/>
      <c r="C191" s="13"/>
      <c r="D191" s="13"/>
      <c r="E191" s="13"/>
      <c r="F191" s="13"/>
      <c r="G191" s="13"/>
      <c r="H191" s="13"/>
      <c r="I191" s="13"/>
      <c r="J191" s="13"/>
      <c r="K191" s="13"/>
      <c r="L191" s="13"/>
      <c r="M191" s="13"/>
      <c r="N191" s="13"/>
    </row>
    <row r="192" ht="15.75" customHeight="1">
      <c r="A192" s="13"/>
      <c r="B192" s="13"/>
      <c r="C192" s="13"/>
      <c r="D192" s="13"/>
      <c r="E192" s="13"/>
      <c r="F192" s="13"/>
      <c r="G192" s="13"/>
      <c r="H192" s="13"/>
      <c r="I192" s="13"/>
      <c r="J192" s="13"/>
      <c r="K192" s="13"/>
      <c r="L192" s="13"/>
      <c r="M192" s="13"/>
      <c r="N192" s="13"/>
    </row>
    <row r="193" ht="15.75" customHeight="1">
      <c r="A193" s="13"/>
      <c r="B193" s="13"/>
      <c r="C193" s="13"/>
      <c r="D193" s="13"/>
      <c r="E193" s="13"/>
      <c r="F193" s="13"/>
      <c r="G193" s="13"/>
      <c r="H193" s="13"/>
      <c r="I193" s="13"/>
      <c r="J193" s="13"/>
      <c r="K193" s="13"/>
      <c r="L193" s="13"/>
      <c r="M193" s="13"/>
      <c r="N193" s="13"/>
    </row>
    <row r="194" ht="15.75" customHeight="1">
      <c r="A194" s="13"/>
      <c r="B194" s="13"/>
      <c r="C194" s="13"/>
      <c r="D194" s="13"/>
      <c r="E194" s="13"/>
      <c r="F194" s="13"/>
      <c r="G194" s="13"/>
      <c r="H194" s="13"/>
      <c r="I194" s="13"/>
      <c r="J194" s="13"/>
      <c r="K194" s="13"/>
      <c r="L194" s="13"/>
      <c r="M194" s="13"/>
      <c r="N194" s="13"/>
    </row>
    <row r="195" ht="15.75" customHeight="1">
      <c r="A195" s="13"/>
      <c r="B195" s="13"/>
      <c r="C195" s="13"/>
      <c r="D195" s="13"/>
      <c r="E195" s="13"/>
      <c r="F195" s="13"/>
      <c r="G195" s="13"/>
      <c r="H195" s="13"/>
      <c r="I195" s="13"/>
      <c r="J195" s="13"/>
      <c r="K195" s="13"/>
      <c r="L195" s="13"/>
      <c r="M195" s="13"/>
      <c r="N195" s="13"/>
    </row>
    <row r="196" ht="15.75" customHeight="1">
      <c r="A196" s="13"/>
      <c r="B196" s="13"/>
      <c r="C196" s="13"/>
      <c r="D196" s="13"/>
      <c r="E196" s="13"/>
      <c r="F196" s="13"/>
      <c r="G196" s="13"/>
      <c r="H196" s="13"/>
      <c r="I196" s="13"/>
      <c r="J196" s="13"/>
      <c r="K196" s="13"/>
      <c r="L196" s="13"/>
      <c r="M196" s="13"/>
      <c r="N196" s="13"/>
    </row>
    <row r="197" ht="15.75" customHeight="1">
      <c r="A197" s="13"/>
      <c r="B197" s="13"/>
      <c r="C197" s="13"/>
      <c r="D197" s="13"/>
      <c r="E197" s="13"/>
      <c r="F197" s="13"/>
      <c r="G197" s="13"/>
      <c r="H197" s="13"/>
      <c r="I197" s="13"/>
      <c r="J197" s="13"/>
      <c r="K197" s="13"/>
      <c r="L197" s="13"/>
      <c r="M197" s="13"/>
      <c r="N197" s="13"/>
    </row>
    <row r="198" ht="15.75" customHeight="1">
      <c r="A198" s="13"/>
      <c r="B198" s="13"/>
      <c r="C198" s="13"/>
      <c r="D198" s="13"/>
      <c r="E198" s="13"/>
      <c r="F198" s="13"/>
      <c r="G198" s="13"/>
      <c r="H198" s="13"/>
      <c r="I198" s="13"/>
      <c r="J198" s="13"/>
      <c r="K198" s="13"/>
      <c r="L198" s="13"/>
      <c r="M198" s="13"/>
      <c r="N198" s="13"/>
    </row>
    <row r="199" ht="15.75" customHeight="1">
      <c r="A199" s="13"/>
      <c r="B199" s="13"/>
      <c r="C199" s="13"/>
      <c r="D199" s="13"/>
      <c r="E199" s="13"/>
      <c r="F199" s="13"/>
      <c r="G199" s="13"/>
      <c r="H199" s="13"/>
      <c r="I199" s="13"/>
      <c r="J199" s="13"/>
      <c r="K199" s="13"/>
      <c r="L199" s="13"/>
      <c r="M199" s="13"/>
      <c r="N199" s="13"/>
    </row>
    <row r="200" ht="15.75" customHeight="1">
      <c r="A200" s="13"/>
      <c r="B200" s="13"/>
      <c r="C200" s="13"/>
      <c r="D200" s="13"/>
      <c r="E200" s="13"/>
      <c r="F200" s="13"/>
      <c r="G200" s="13"/>
      <c r="H200" s="13"/>
      <c r="I200" s="13"/>
      <c r="J200" s="13"/>
      <c r="K200" s="13"/>
      <c r="L200" s="13"/>
      <c r="M200" s="13"/>
      <c r="N200" s="13"/>
    </row>
    <row r="201" ht="15.75" customHeight="1">
      <c r="A201" s="13"/>
      <c r="B201" s="13"/>
      <c r="C201" s="13"/>
      <c r="D201" s="13"/>
      <c r="E201" s="13"/>
      <c r="F201" s="13"/>
      <c r="G201" s="13"/>
      <c r="H201" s="13"/>
      <c r="I201" s="13"/>
      <c r="J201" s="13"/>
      <c r="K201" s="13"/>
      <c r="L201" s="13"/>
      <c r="M201" s="13"/>
      <c r="N201" s="13"/>
    </row>
    <row r="202" ht="15.75" customHeight="1">
      <c r="A202" s="13"/>
      <c r="B202" s="13"/>
      <c r="C202" s="13"/>
      <c r="D202" s="13"/>
      <c r="E202" s="13"/>
      <c r="F202" s="13"/>
      <c r="G202" s="13"/>
      <c r="H202" s="13"/>
      <c r="I202" s="13"/>
      <c r="J202" s="13"/>
      <c r="K202" s="13"/>
      <c r="L202" s="13"/>
      <c r="M202" s="13"/>
      <c r="N202" s="13"/>
    </row>
    <row r="203" ht="15.75" customHeight="1">
      <c r="A203" s="13"/>
      <c r="B203" s="13"/>
      <c r="C203" s="13"/>
      <c r="D203" s="13"/>
      <c r="E203" s="13"/>
      <c r="F203" s="13"/>
      <c r="G203" s="13"/>
      <c r="H203" s="13"/>
      <c r="I203" s="13"/>
      <c r="J203" s="13"/>
      <c r="K203" s="13"/>
      <c r="L203" s="13"/>
      <c r="M203" s="13"/>
      <c r="N203" s="13"/>
    </row>
    <row r="204" ht="15.75" customHeight="1">
      <c r="A204" s="13"/>
      <c r="B204" s="13"/>
      <c r="C204" s="13"/>
      <c r="D204" s="13"/>
      <c r="E204" s="13"/>
      <c r="F204" s="13"/>
      <c r="G204" s="13"/>
      <c r="H204" s="13"/>
      <c r="I204" s="13"/>
      <c r="J204" s="13"/>
      <c r="K204" s="13"/>
      <c r="L204" s="13"/>
      <c r="M204" s="13"/>
      <c r="N204" s="13"/>
    </row>
    <row r="205" ht="15.75" customHeight="1">
      <c r="A205" s="13"/>
      <c r="B205" s="13"/>
      <c r="C205" s="13"/>
      <c r="D205" s="13"/>
      <c r="E205" s="13"/>
      <c r="F205" s="13"/>
      <c r="G205" s="13"/>
      <c r="H205" s="13"/>
      <c r="I205" s="13"/>
      <c r="J205" s="13"/>
      <c r="K205" s="13"/>
      <c r="L205" s="13"/>
      <c r="M205" s="13"/>
      <c r="N205" s="13"/>
    </row>
    <row r="206" ht="15.75" customHeight="1">
      <c r="A206" s="13"/>
      <c r="B206" s="13"/>
      <c r="C206" s="13"/>
      <c r="D206" s="13"/>
      <c r="E206" s="13"/>
      <c r="F206" s="13"/>
      <c r="G206" s="13"/>
      <c r="H206" s="13"/>
      <c r="I206" s="13"/>
      <c r="J206" s="13"/>
      <c r="K206" s="13"/>
      <c r="L206" s="13"/>
      <c r="M206" s="13"/>
      <c r="N206" s="13"/>
    </row>
    <row r="207" ht="15.75" customHeight="1">
      <c r="A207" s="13"/>
      <c r="B207" s="13"/>
      <c r="C207" s="13"/>
      <c r="D207" s="13"/>
      <c r="E207" s="13"/>
      <c r="F207" s="13"/>
      <c r="G207" s="13"/>
      <c r="H207" s="13"/>
      <c r="I207" s="13"/>
      <c r="J207" s="13"/>
      <c r="K207" s="13"/>
      <c r="L207" s="13"/>
      <c r="M207" s="13"/>
      <c r="N207" s="13"/>
    </row>
    <row r="208" ht="15.75" customHeight="1">
      <c r="A208" s="13"/>
      <c r="B208" s="13"/>
      <c r="C208" s="13"/>
      <c r="D208" s="13"/>
      <c r="E208" s="13"/>
      <c r="F208" s="13"/>
      <c r="G208" s="13"/>
      <c r="H208" s="13"/>
      <c r="I208" s="13"/>
      <c r="J208" s="13"/>
      <c r="K208" s="13"/>
      <c r="L208" s="13"/>
      <c r="M208" s="13"/>
      <c r="N208" s="13"/>
    </row>
    <row r="209" ht="15.75" customHeight="1">
      <c r="A209" s="13"/>
      <c r="B209" s="13"/>
      <c r="C209" s="13"/>
      <c r="D209" s="13"/>
      <c r="E209" s="13"/>
      <c r="F209" s="13"/>
      <c r="G209" s="13"/>
      <c r="H209" s="13"/>
      <c r="I209" s="13"/>
      <c r="J209" s="13"/>
      <c r="K209" s="13"/>
      <c r="L209" s="13"/>
      <c r="M209" s="13"/>
      <c r="N209" s="13"/>
    </row>
    <row r="210" ht="15.75" customHeight="1">
      <c r="A210" s="13"/>
      <c r="B210" s="13"/>
      <c r="C210" s="13"/>
      <c r="D210" s="13"/>
      <c r="E210" s="13"/>
      <c r="F210" s="13"/>
      <c r="G210" s="13"/>
      <c r="H210" s="13"/>
      <c r="I210" s="13"/>
      <c r="J210" s="13"/>
      <c r="K210" s="13"/>
      <c r="L210" s="13"/>
      <c r="M210" s="13"/>
      <c r="N210" s="13"/>
    </row>
    <row r="211" ht="15.75" customHeight="1">
      <c r="A211" s="13"/>
      <c r="B211" s="13"/>
      <c r="C211" s="13"/>
      <c r="D211" s="13"/>
      <c r="E211" s="13"/>
      <c r="F211" s="13"/>
      <c r="G211" s="13"/>
      <c r="H211" s="13"/>
      <c r="I211" s="13"/>
      <c r="J211" s="13"/>
      <c r="K211" s="13"/>
      <c r="L211" s="13"/>
      <c r="M211" s="13"/>
      <c r="N211" s="13"/>
    </row>
    <row r="212" ht="15.75" customHeight="1">
      <c r="A212" s="13"/>
      <c r="B212" s="13"/>
      <c r="C212" s="13"/>
      <c r="D212" s="13"/>
      <c r="E212" s="13"/>
      <c r="F212" s="13"/>
      <c r="G212" s="13"/>
      <c r="H212" s="13"/>
      <c r="I212" s="13"/>
      <c r="J212" s="13"/>
      <c r="K212" s="13"/>
      <c r="L212" s="13"/>
      <c r="M212" s="13"/>
      <c r="N212" s="13"/>
    </row>
    <row r="213" ht="15.75" customHeight="1">
      <c r="A213" s="13"/>
      <c r="B213" s="13"/>
      <c r="C213" s="13"/>
      <c r="D213" s="13"/>
      <c r="E213" s="13"/>
      <c r="F213" s="13"/>
      <c r="G213" s="13"/>
      <c r="H213" s="13"/>
      <c r="I213" s="13"/>
      <c r="J213" s="13"/>
      <c r="K213" s="13"/>
      <c r="L213" s="13"/>
      <c r="M213" s="13"/>
      <c r="N213" s="13"/>
    </row>
    <row r="214" ht="15.75" customHeight="1">
      <c r="A214" s="13"/>
      <c r="B214" s="13"/>
      <c r="C214" s="13"/>
      <c r="D214" s="13"/>
      <c r="E214" s="13"/>
      <c r="F214" s="13"/>
      <c r="G214" s="13"/>
      <c r="H214" s="13"/>
      <c r="I214" s="13"/>
      <c r="J214" s="13"/>
      <c r="K214" s="13"/>
      <c r="L214" s="13"/>
      <c r="M214" s="13"/>
      <c r="N214" s="13"/>
    </row>
    <row r="215" ht="15.75" customHeight="1">
      <c r="A215" s="13"/>
      <c r="B215" s="13"/>
      <c r="C215" s="13"/>
      <c r="D215" s="13"/>
      <c r="E215" s="13"/>
      <c r="F215" s="13"/>
      <c r="G215" s="13"/>
      <c r="H215" s="13"/>
      <c r="I215" s="13"/>
      <c r="J215" s="13"/>
      <c r="K215" s="13"/>
      <c r="L215" s="13"/>
      <c r="M215" s="13"/>
      <c r="N215" s="13"/>
    </row>
    <row r="216" ht="15.75" customHeight="1">
      <c r="A216" s="13"/>
      <c r="B216" s="13"/>
      <c r="C216" s="13"/>
      <c r="D216" s="13"/>
      <c r="E216" s="13"/>
      <c r="F216" s="13"/>
      <c r="G216" s="13"/>
      <c r="H216" s="13"/>
      <c r="I216" s="13"/>
      <c r="J216" s="13"/>
      <c r="K216" s="13"/>
      <c r="L216" s="13"/>
      <c r="M216" s="13"/>
      <c r="N216" s="13"/>
    </row>
    <row r="217" ht="15.75" customHeight="1">
      <c r="A217" s="13"/>
      <c r="B217" s="13"/>
      <c r="C217" s="13"/>
      <c r="D217" s="13"/>
      <c r="E217" s="13"/>
      <c r="F217" s="13"/>
      <c r="G217" s="13"/>
      <c r="H217" s="13"/>
      <c r="I217" s="13"/>
      <c r="J217" s="13"/>
      <c r="K217" s="13"/>
      <c r="L217" s="13"/>
      <c r="M217" s="13"/>
      <c r="N217" s="13"/>
    </row>
    <row r="218" ht="15.75" customHeight="1">
      <c r="A218" s="13"/>
      <c r="B218" s="13"/>
      <c r="C218" s="13"/>
      <c r="D218" s="13"/>
      <c r="E218" s="13"/>
      <c r="F218" s="13"/>
      <c r="G218" s="13"/>
      <c r="H218" s="13"/>
      <c r="I218" s="13"/>
      <c r="J218" s="13"/>
      <c r="K218" s="13"/>
      <c r="L218" s="13"/>
      <c r="M218" s="13"/>
      <c r="N218" s="13"/>
    </row>
    <row r="219" ht="15.75" customHeight="1">
      <c r="A219" s="13"/>
      <c r="B219" s="13"/>
      <c r="C219" s="13"/>
      <c r="D219" s="13"/>
      <c r="E219" s="13"/>
      <c r="F219" s="13"/>
      <c r="G219" s="13"/>
      <c r="H219" s="13"/>
      <c r="I219" s="13"/>
      <c r="J219" s="13"/>
      <c r="K219" s="13"/>
      <c r="L219" s="13"/>
      <c r="M219" s="13"/>
      <c r="N219" s="13"/>
    </row>
    <row r="220" ht="15.75" customHeight="1">
      <c r="A220" s="13"/>
      <c r="B220" s="13"/>
      <c r="C220" s="13"/>
      <c r="D220" s="13"/>
      <c r="E220" s="13"/>
      <c r="F220" s="13"/>
      <c r="G220" s="13"/>
      <c r="H220" s="13"/>
      <c r="I220" s="13"/>
      <c r="J220" s="13"/>
      <c r="K220" s="13"/>
      <c r="L220" s="13"/>
      <c r="M220" s="13"/>
      <c r="N220" s="13"/>
    </row>
    <row r="221" ht="15.75" customHeight="1">
      <c r="A221" s="13"/>
      <c r="B221" s="13"/>
      <c r="C221" s="13"/>
      <c r="D221" s="13"/>
      <c r="E221" s="13"/>
      <c r="F221" s="13"/>
      <c r="G221" s="13"/>
      <c r="H221" s="13"/>
      <c r="I221" s="13"/>
      <c r="J221" s="13"/>
      <c r="K221" s="13"/>
      <c r="L221" s="13"/>
      <c r="M221" s="13"/>
      <c r="N221" s="13"/>
    </row>
    <row r="222" ht="15.75" customHeight="1">
      <c r="A222" s="13"/>
      <c r="B222" s="13"/>
      <c r="C222" s="13"/>
      <c r="D222" s="13"/>
      <c r="E222" s="13"/>
      <c r="F222" s="13"/>
      <c r="G222" s="13"/>
      <c r="H222" s="13"/>
      <c r="I222" s="13"/>
      <c r="J222" s="13"/>
      <c r="K222" s="13"/>
      <c r="L222" s="13"/>
      <c r="M222" s="13"/>
      <c r="N222" s="13"/>
    </row>
    <row r="223" ht="15.75" customHeight="1">
      <c r="A223" s="13"/>
      <c r="B223" s="13"/>
      <c r="C223" s="13"/>
      <c r="D223" s="13"/>
      <c r="E223" s="13"/>
      <c r="F223" s="13"/>
      <c r="G223" s="13"/>
      <c r="H223" s="13"/>
      <c r="I223" s="13"/>
      <c r="J223" s="13"/>
      <c r="K223" s="13"/>
      <c r="L223" s="13"/>
      <c r="M223" s="13"/>
      <c r="N223" s="13"/>
    </row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1:C2"/>
    <mergeCell ref="D1:E2"/>
  </mergeCells>
  <dataValidations>
    <dataValidation type="list" allowBlank="1" showErrorMessage="1" sqref="F4:N124">
      <formula1>"선택,완료"</formula1>
    </dataValidation>
  </dataValidations>
  <hyperlinks>
    <hyperlink r:id="rId1" ref="C5"/>
    <hyperlink r:id="rId2" ref="C24"/>
    <hyperlink r:id="rId3" ref="C25"/>
    <hyperlink r:id="rId4" ref="C30"/>
    <hyperlink r:id="rId5" ref="C31"/>
    <hyperlink r:id="rId6" ref="C36"/>
    <hyperlink r:id="rId7" ref="C51"/>
    <hyperlink r:id="rId8" ref="C70"/>
    <hyperlink r:id="rId9" ref="C86"/>
    <hyperlink r:id="rId10" ref="C93"/>
  </hyperlinks>
  <drawing r:id="rId11"/>
  <tableParts count="1">
    <tablePart r:id="rId13"/>
  </tableParts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xSplit="6.0" ySplit="4.0" topLeftCell="G5" activePane="bottomRight" state="frozen"/>
      <selection activeCell="G1" sqref="G1" pane="topRight"/>
      <selection activeCell="A5" sqref="A5" pane="bottomLeft"/>
      <selection activeCell="G5" sqref="G5" pane="bottomRight"/>
    </sheetView>
  </sheetViews>
  <sheetFormatPr customHeight="1" defaultColWidth="12.63" defaultRowHeight="15.0"/>
  <cols>
    <col customWidth="1" min="1" max="1" width="10.63"/>
    <col customWidth="1" min="2" max="2" width="4.25"/>
    <col customWidth="1" min="3" max="3" width="18.63"/>
    <col customWidth="1" min="4" max="4" width="21.13"/>
    <col customWidth="1" min="5" max="5" width="15.38"/>
    <col customWidth="1" min="6" max="6" width="8.5"/>
    <col customWidth="1" min="7" max="15" width="14.5"/>
  </cols>
  <sheetData>
    <row r="1" ht="15.75" customHeight="1">
      <c r="A1" s="110"/>
      <c r="B1" s="110"/>
      <c r="E1" s="111" t="s">
        <v>1</v>
      </c>
      <c r="G1" s="112" t="s">
        <v>306</v>
      </c>
      <c r="H1" s="112" t="s">
        <v>307</v>
      </c>
      <c r="I1" s="112" t="s">
        <v>308</v>
      </c>
      <c r="J1" s="112" t="s">
        <v>309</v>
      </c>
      <c r="K1" s="112" t="s">
        <v>310</v>
      </c>
      <c r="L1" s="112" t="s">
        <v>311</v>
      </c>
      <c r="M1" s="112" t="s">
        <v>312</v>
      </c>
      <c r="N1" s="112" t="s">
        <v>313</v>
      </c>
      <c r="O1" s="112" t="s">
        <v>314</v>
      </c>
    </row>
    <row r="2" ht="15.75" customHeight="1">
      <c r="A2" s="113"/>
      <c r="B2" s="114" t="s">
        <v>315</v>
      </c>
      <c r="G2" s="115" t="s">
        <v>316</v>
      </c>
      <c r="H2" s="115" t="s">
        <v>317</v>
      </c>
      <c r="I2" s="115" t="s">
        <v>318</v>
      </c>
      <c r="J2" s="115" t="s">
        <v>319</v>
      </c>
      <c r="K2" s="115" t="s">
        <v>320</v>
      </c>
      <c r="L2" s="115" t="s">
        <v>321</v>
      </c>
      <c r="M2" s="115" t="s">
        <v>322</v>
      </c>
      <c r="N2" s="115" t="s">
        <v>323</v>
      </c>
      <c r="O2" s="115" t="s">
        <v>324</v>
      </c>
    </row>
    <row r="3" ht="15.75" customHeight="1">
      <c r="A3" s="113"/>
      <c r="B3" s="113"/>
      <c r="C3" s="113"/>
      <c r="D3" s="113"/>
      <c r="E3" s="111"/>
      <c r="F3" s="111"/>
      <c r="G3" s="116" t="str">
        <f t="shared" ref="G3:O3" si="1">COUNTIF(G5:G200, "완료") &amp; "명 완료"
</f>
        <v>77명 완료</v>
      </c>
      <c r="H3" s="116" t="str">
        <f t="shared" si="1"/>
        <v>75명 완료</v>
      </c>
      <c r="I3" s="116" t="str">
        <f t="shared" si="1"/>
        <v>72명 완료</v>
      </c>
      <c r="J3" s="116" t="str">
        <f t="shared" si="1"/>
        <v>70명 완료</v>
      </c>
      <c r="K3" s="116" t="str">
        <f t="shared" si="1"/>
        <v>75명 완료</v>
      </c>
      <c r="L3" s="116" t="str">
        <f t="shared" si="1"/>
        <v>63명 완료</v>
      </c>
      <c r="M3" s="116" t="str">
        <f t="shared" si="1"/>
        <v>71명 완료</v>
      </c>
      <c r="N3" s="116" t="str">
        <f t="shared" si="1"/>
        <v>72명 완료</v>
      </c>
      <c r="O3" s="116" t="str">
        <f t="shared" si="1"/>
        <v>69명 완료</v>
      </c>
    </row>
    <row r="4" ht="15.75" customHeight="1">
      <c r="A4" s="117"/>
      <c r="B4" s="118" t="s">
        <v>20</v>
      </c>
      <c r="C4" s="119" t="s">
        <v>21</v>
      </c>
      <c r="D4" s="119" t="s">
        <v>325</v>
      </c>
      <c r="E4" s="120" t="s">
        <v>23</v>
      </c>
      <c r="F4" s="120" t="s">
        <v>24</v>
      </c>
      <c r="G4" s="121" t="s">
        <v>25</v>
      </c>
      <c r="H4" s="121" t="s">
        <v>25</v>
      </c>
      <c r="I4" s="121" t="s">
        <v>25</v>
      </c>
      <c r="J4" s="121" t="s">
        <v>25</v>
      </c>
      <c r="K4" s="121" t="s">
        <v>25</v>
      </c>
      <c r="L4" s="121" t="s">
        <v>25</v>
      </c>
      <c r="M4" s="121" t="s">
        <v>25</v>
      </c>
      <c r="N4" s="121" t="s">
        <v>25</v>
      </c>
      <c r="O4" s="121" t="s">
        <v>25</v>
      </c>
    </row>
    <row r="5" ht="15.75" customHeight="1">
      <c r="A5" s="122"/>
      <c r="B5" s="123">
        <v>1.0</v>
      </c>
      <c r="C5" s="124" t="s">
        <v>26</v>
      </c>
      <c r="D5" s="125" t="s">
        <v>27</v>
      </c>
      <c r="E5" s="70" t="str">
        <f t="shared" ref="E5:E124" si="2">IF(COUNTIF(G5:O5, "완료")=0, "", COUNTIF($G$4:$O$4, "완료") &amp; "번 중 " &amp; COUNTIF(G5:O5, "완료") &amp; "번 참여")
</f>
        <v>9번 중 9번 참여</v>
      </c>
      <c r="F5" s="71">
        <f t="shared" ref="F5:F124" si="3">IF(COUNTIF($G$4:$O$4, "완료")=0, "", IF(COUNTIF(G5:O5, "완료")=0, "", COUNTIF(G5:O5, "완료") / COUNTIF($G$4:$O$4, "완료")))
</f>
        <v>1</v>
      </c>
      <c r="G5" s="126" t="s">
        <v>25</v>
      </c>
      <c r="H5" s="126" t="s">
        <v>25</v>
      </c>
      <c r="I5" s="126" t="s">
        <v>25</v>
      </c>
      <c r="J5" s="126" t="s">
        <v>25</v>
      </c>
      <c r="K5" s="126" t="s">
        <v>25</v>
      </c>
      <c r="L5" s="126" t="s">
        <v>25</v>
      </c>
      <c r="M5" s="126" t="s">
        <v>25</v>
      </c>
      <c r="N5" s="126" t="s">
        <v>25</v>
      </c>
      <c r="O5" s="126" t="s">
        <v>25</v>
      </c>
    </row>
    <row r="6" ht="15.75" customHeight="1">
      <c r="A6" s="122"/>
      <c r="B6" s="123">
        <v>2.0</v>
      </c>
      <c r="C6" s="124" t="s">
        <v>326</v>
      </c>
      <c r="D6" s="125" t="s">
        <v>327</v>
      </c>
      <c r="E6" s="70" t="str">
        <f t="shared" si="2"/>
        <v>9번 중 9번 참여</v>
      </c>
      <c r="F6" s="71">
        <f t="shared" si="3"/>
        <v>1</v>
      </c>
      <c r="G6" s="126" t="s">
        <v>25</v>
      </c>
      <c r="H6" s="126" t="s">
        <v>25</v>
      </c>
      <c r="I6" s="126" t="s">
        <v>25</v>
      </c>
      <c r="J6" s="126" t="s">
        <v>25</v>
      </c>
      <c r="K6" s="126" t="s">
        <v>25</v>
      </c>
      <c r="L6" s="126" t="s">
        <v>25</v>
      </c>
      <c r="M6" s="126" t="s">
        <v>25</v>
      </c>
      <c r="N6" s="126" t="s">
        <v>25</v>
      </c>
      <c r="O6" s="126" t="s">
        <v>25</v>
      </c>
    </row>
    <row r="7" ht="15.75" customHeight="1">
      <c r="A7" s="122"/>
      <c r="B7" s="123">
        <v>3.0</v>
      </c>
      <c r="C7" s="124" t="s">
        <v>28</v>
      </c>
      <c r="D7" s="124" t="s">
        <v>29</v>
      </c>
      <c r="E7" s="70" t="str">
        <f t="shared" si="2"/>
        <v>9번 중 9번 참여</v>
      </c>
      <c r="F7" s="71">
        <f t="shared" si="3"/>
        <v>1</v>
      </c>
      <c r="G7" s="127" t="s">
        <v>25</v>
      </c>
      <c r="H7" s="126" t="s">
        <v>25</v>
      </c>
      <c r="I7" s="126" t="s">
        <v>25</v>
      </c>
      <c r="J7" s="126" t="s">
        <v>25</v>
      </c>
      <c r="K7" s="126" t="s">
        <v>25</v>
      </c>
      <c r="L7" s="126" t="s">
        <v>25</v>
      </c>
      <c r="M7" s="126" t="s">
        <v>25</v>
      </c>
      <c r="N7" s="126" t="s">
        <v>25</v>
      </c>
      <c r="O7" s="126" t="s">
        <v>25</v>
      </c>
    </row>
    <row r="8" ht="15.75" customHeight="1">
      <c r="A8" s="122"/>
      <c r="B8" s="123">
        <v>4.0</v>
      </c>
      <c r="C8" s="124" t="s">
        <v>30</v>
      </c>
      <c r="D8" s="124" t="s">
        <v>31</v>
      </c>
      <c r="E8" s="70" t="str">
        <f t="shared" si="2"/>
        <v>9번 중 8번 참여</v>
      </c>
      <c r="F8" s="71">
        <f t="shared" si="3"/>
        <v>0.8888888889</v>
      </c>
      <c r="G8" s="126" t="s">
        <v>25</v>
      </c>
      <c r="H8" s="126"/>
      <c r="I8" s="126" t="s">
        <v>25</v>
      </c>
      <c r="J8" s="126" t="s">
        <v>25</v>
      </c>
      <c r="K8" s="126" t="s">
        <v>25</v>
      </c>
      <c r="L8" s="126" t="s">
        <v>25</v>
      </c>
      <c r="M8" s="126" t="s">
        <v>25</v>
      </c>
      <c r="N8" s="126" t="s">
        <v>25</v>
      </c>
      <c r="O8" s="126" t="s">
        <v>25</v>
      </c>
    </row>
    <row r="9" ht="15.75" customHeight="1">
      <c r="A9" s="122"/>
      <c r="B9" s="123">
        <v>5.0</v>
      </c>
      <c r="C9" s="124" t="s">
        <v>32</v>
      </c>
      <c r="D9" s="124" t="s">
        <v>33</v>
      </c>
      <c r="E9" s="70" t="str">
        <f t="shared" si="2"/>
        <v>9번 중 8번 참여</v>
      </c>
      <c r="F9" s="71">
        <f t="shared" si="3"/>
        <v>0.8888888889</v>
      </c>
      <c r="G9" s="126" t="s">
        <v>25</v>
      </c>
      <c r="H9" s="126"/>
      <c r="I9" s="126" t="s">
        <v>25</v>
      </c>
      <c r="J9" s="126" t="s">
        <v>25</v>
      </c>
      <c r="K9" s="126" t="s">
        <v>25</v>
      </c>
      <c r="L9" s="126" t="s">
        <v>25</v>
      </c>
      <c r="M9" s="126" t="s">
        <v>25</v>
      </c>
      <c r="N9" s="126" t="s">
        <v>25</v>
      </c>
      <c r="O9" s="126" t="s">
        <v>25</v>
      </c>
    </row>
    <row r="10" ht="15.75" customHeight="1">
      <c r="A10" s="122"/>
      <c r="B10" s="123">
        <v>6.0</v>
      </c>
      <c r="C10" s="124" t="s">
        <v>34</v>
      </c>
      <c r="D10" s="124" t="s">
        <v>35</v>
      </c>
      <c r="E10" s="70" t="str">
        <f t="shared" si="2"/>
        <v>9번 중 9번 참여</v>
      </c>
      <c r="F10" s="71">
        <f t="shared" si="3"/>
        <v>1</v>
      </c>
      <c r="G10" s="126" t="s">
        <v>25</v>
      </c>
      <c r="H10" s="126" t="s">
        <v>25</v>
      </c>
      <c r="I10" s="126" t="s">
        <v>25</v>
      </c>
      <c r="J10" s="126" t="s">
        <v>25</v>
      </c>
      <c r="K10" s="126" t="s">
        <v>25</v>
      </c>
      <c r="L10" s="126" t="s">
        <v>25</v>
      </c>
      <c r="M10" s="126" t="s">
        <v>25</v>
      </c>
      <c r="N10" s="126" t="s">
        <v>25</v>
      </c>
      <c r="O10" s="126" t="s">
        <v>25</v>
      </c>
    </row>
    <row r="11" ht="15.75" customHeight="1">
      <c r="A11" s="122"/>
      <c r="B11" s="123">
        <v>7.0</v>
      </c>
      <c r="C11" s="124" t="s">
        <v>36</v>
      </c>
      <c r="D11" s="124" t="s">
        <v>72</v>
      </c>
      <c r="E11" s="70" t="str">
        <f t="shared" si="2"/>
        <v>9번 중 8번 참여</v>
      </c>
      <c r="F11" s="71">
        <f t="shared" si="3"/>
        <v>0.8888888889</v>
      </c>
      <c r="G11" s="126" t="s">
        <v>25</v>
      </c>
      <c r="H11" s="126"/>
      <c r="I11" s="126" t="s">
        <v>25</v>
      </c>
      <c r="J11" s="126" t="s">
        <v>25</v>
      </c>
      <c r="K11" s="126" t="s">
        <v>25</v>
      </c>
      <c r="L11" s="126" t="s">
        <v>25</v>
      </c>
      <c r="M11" s="126" t="s">
        <v>25</v>
      </c>
      <c r="N11" s="126" t="s">
        <v>25</v>
      </c>
      <c r="O11" s="126" t="s">
        <v>25</v>
      </c>
    </row>
    <row r="12" ht="15.75" customHeight="1">
      <c r="A12" s="122"/>
      <c r="B12" s="123">
        <v>8.0</v>
      </c>
      <c r="C12" s="124" t="s">
        <v>38</v>
      </c>
      <c r="D12" s="124" t="s">
        <v>39</v>
      </c>
      <c r="E12" s="70" t="str">
        <f t="shared" si="2"/>
        <v>9번 중 9번 참여</v>
      </c>
      <c r="F12" s="71">
        <f t="shared" si="3"/>
        <v>1</v>
      </c>
      <c r="G12" s="126" t="s">
        <v>25</v>
      </c>
      <c r="H12" s="126" t="s">
        <v>25</v>
      </c>
      <c r="I12" s="126" t="s">
        <v>25</v>
      </c>
      <c r="J12" s="126" t="s">
        <v>25</v>
      </c>
      <c r="K12" s="126" t="s">
        <v>25</v>
      </c>
      <c r="L12" s="126" t="s">
        <v>25</v>
      </c>
      <c r="M12" s="126" t="s">
        <v>25</v>
      </c>
      <c r="N12" s="126" t="s">
        <v>25</v>
      </c>
      <c r="O12" s="126" t="s">
        <v>25</v>
      </c>
    </row>
    <row r="13" ht="15.75" customHeight="1">
      <c r="A13" s="122"/>
      <c r="B13" s="123">
        <v>9.0</v>
      </c>
      <c r="C13" s="124" t="s">
        <v>40</v>
      </c>
      <c r="D13" s="125" t="s">
        <v>41</v>
      </c>
      <c r="E13" s="70" t="str">
        <f t="shared" si="2"/>
        <v>9번 중 9번 참여</v>
      </c>
      <c r="F13" s="71">
        <f t="shared" si="3"/>
        <v>1</v>
      </c>
      <c r="G13" s="126" t="s">
        <v>25</v>
      </c>
      <c r="H13" s="126" t="s">
        <v>25</v>
      </c>
      <c r="I13" s="126" t="s">
        <v>25</v>
      </c>
      <c r="J13" s="126" t="s">
        <v>25</v>
      </c>
      <c r="K13" s="126" t="s">
        <v>25</v>
      </c>
      <c r="L13" s="126" t="s">
        <v>25</v>
      </c>
      <c r="M13" s="126" t="s">
        <v>25</v>
      </c>
      <c r="N13" s="126" t="s">
        <v>25</v>
      </c>
      <c r="O13" s="126" t="s">
        <v>25</v>
      </c>
    </row>
    <row r="14" ht="15.75" customHeight="1">
      <c r="A14" s="122"/>
      <c r="B14" s="123">
        <v>10.0</v>
      </c>
      <c r="C14" s="124" t="s">
        <v>42</v>
      </c>
      <c r="D14" s="124" t="s">
        <v>43</v>
      </c>
      <c r="E14" s="70" t="str">
        <f t="shared" si="2"/>
        <v>9번 중 7번 참여</v>
      </c>
      <c r="F14" s="71">
        <f t="shared" si="3"/>
        <v>0.7777777778</v>
      </c>
      <c r="G14" s="126" t="s">
        <v>25</v>
      </c>
      <c r="H14" s="126" t="s">
        <v>25</v>
      </c>
      <c r="I14" s="126" t="s">
        <v>25</v>
      </c>
      <c r="J14" s="126"/>
      <c r="K14" s="126" t="s">
        <v>25</v>
      </c>
      <c r="L14" s="126" t="s">
        <v>25</v>
      </c>
      <c r="M14" s="126" t="s">
        <v>25</v>
      </c>
      <c r="N14" s="126"/>
      <c r="O14" s="126" t="s">
        <v>25</v>
      </c>
    </row>
    <row r="15" ht="15.75" customHeight="1">
      <c r="A15" s="122"/>
      <c r="B15" s="123">
        <v>11.0</v>
      </c>
      <c r="C15" s="124" t="s">
        <v>328</v>
      </c>
      <c r="D15" s="124" t="s">
        <v>329</v>
      </c>
      <c r="E15" s="70" t="str">
        <f t="shared" si="2"/>
        <v>9번 중 9번 참여</v>
      </c>
      <c r="F15" s="71">
        <f t="shared" si="3"/>
        <v>1</v>
      </c>
      <c r="G15" s="126" t="s">
        <v>25</v>
      </c>
      <c r="H15" s="126" t="s">
        <v>25</v>
      </c>
      <c r="I15" s="126" t="s">
        <v>25</v>
      </c>
      <c r="J15" s="126" t="s">
        <v>25</v>
      </c>
      <c r="K15" s="126" t="s">
        <v>25</v>
      </c>
      <c r="L15" s="126" t="s">
        <v>25</v>
      </c>
      <c r="M15" s="126" t="s">
        <v>25</v>
      </c>
      <c r="N15" s="126" t="s">
        <v>25</v>
      </c>
      <c r="O15" s="126" t="s">
        <v>25</v>
      </c>
    </row>
    <row r="16" ht="15.75" customHeight="1">
      <c r="A16" s="122"/>
      <c r="B16" s="123">
        <v>12.0</v>
      </c>
      <c r="C16" s="124" t="s">
        <v>328</v>
      </c>
      <c r="D16" s="124" t="s">
        <v>330</v>
      </c>
      <c r="E16" s="70" t="str">
        <f t="shared" si="2"/>
        <v>9번 중 9번 참여</v>
      </c>
      <c r="F16" s="71">
        <f t="shared" si="3"/>
        <v>1</v>
      </c>
      <c r="G16" s="126" t="s">
        <v>25</v>
      </c>
      <c r="H16" s="126" t="s">
        <v>25</v>
      </c>
      <c r="I16" s="126" t="s">
        <v>25</v>
      </c>
      <c r="J16" s="126" t="s">
        <v>25</v>
      </c>
      <c r="K16" s="126" t="s">
        <v>25</v>
      </c>
      <c r="L16" s="126" t="s">
        <v>25</v>
      </c>
      <c r="M16" s="126" t="s">
        <v>25</v>
      </c>
      <c r="N16" s="126" t="s">
        <v>25</v>
      </c>
      <c r="O16" s="126" t="s">
        <v>25</v>
      </c>
    </row>
    <row r="17" ht="15.75" customHeight="1">
      <c r="A17" s="122"/>
      <c r="B17" s="123">
        <v>13.0</v>
      </c>
      <c r="C17" s="124" t="s">
        <v>44</v>
      </c>
      <c r="D17" s="128" t="s">
        <v>45</v>
      </c>
      <c r="E17" s="70" t="str">
        <f t="shared" si="2"/>
        <v>9번 중 9번 참여</v>
      </c>
      <c r="F17" s="71">
        <f t="shared" si="3"/>
        <v>1</v>
      </c>
      <c r="G17" s="126" t="s">
        <v>25</v>
      </c>
      <c r="H17" s="126" t="s">
        <v>25</v>
      </c>
      <c r="I17" s="126" t="s">
        <v>25</v>
      </c>
      <c r="J17" s="126" t="s">
        <v>25</v>
      </c>
      <c r="K17" s="126" t="s">
        <v>25</v>
      </c>
      <c r="L17" s="126" t="s">
        <v>25</v>
      </c>
      <c r="M17" s="126" t="s">
        <v>25</v>
      </c>
      <c r="N17" s="126" t="s">
        <v>25</v>
      </c>
      <c r="O17" s="126" t="s">
        <v>25</v>
      </c>
    </row>
    <row r="18" ht="15.75" customHeight="1">
      <c r="A18" s="122"/>
      <c r="B18" s="123">
        <v>14.0</v>
      </c>
      <c r="C18" s="124" t="s">
        <v>46</v>
      </c>
      <c r="D18" s="124" t="s">
        <v>47</v>
      </c>
      <c r="E18" s="70" t="str">
        <f t="shared" si="2"/>
        <v>9번 중 9번 참여</v>
      </c>
      <c r="F18" s="71">
        <f t="shared" si="3"/>
        <v>1</v>
      </c>
      <c r="G18" s="126" t="s">
        <v>25</v>
      </c>
      <c r="H18" s="126" t="s">
        <v>25</v>
      </c>
      <c r="I18" s="126" t="s">
        <v>25</v>
      </c>
      <c r="J18" s="126" t="s">
        <v>25</v>
      </c>
      <c r="K18" s="126" t="s">
        <v>25</v>
      </c>
      <c r="L18" s="126" t="s">
        <v>25</v>
      </c>
      <c r="M18" s="126" t="s">
        <v>25</v>
      </c>
      <c r="N18" s="126" t="s">
        <v>25</v>
      </c>
      <c r="O18" s="126" t="s">
        <v>25</v>
      </c>
    </row>
    <row r="19" ht="15.75" customHeight="1">
      <c r="A19" s="122"/>
      <c r="B19" s="123">
        <v>15.0</v>
      </c>
      <c r="C19" s="124" t="s">
        <v>48</v>
      </c>
      <c r="D19" s="124" t="s">
        <v>49</v>
      </c>
      <c r="E19" s="70" t="str">
        <f t="shared" si="2"/>
        <v>9번 중 9번 참여</v>
      </c>
      <c r="F19" s="71">
        <f t="shared" si="3"/>
        <v>1</v>
      </c>
      <c r="G19" s="126" t="s">
        <v>25</v>
      </c>
      <c r="H19" s="126" t="s">
        <v>25</v>
      </c>
      <c r="I19" s="126" t="s">
        <v>25</v>
      </c>
      <c r="J19" s="126" t="s">
        <v>25</v>
      </c>
      <c r="K19" s="126" t="s">
        <v>25</v>
      </c>
      <c r="L19" s="126" t="s">
        <v>25</v>
      </c>
      <c r="M19" s="126" t="s">
        <v>25</v>
      </c>
      <c r="N19" s="126" t="s">
        <v>25</v>
      </c>
      <c r="O19" s="126" t="s">
        <v>25</v>
      </c>
    </row>
    <row r="20" ht="15.75" customHeight="1">
      <c r="A20" s="122"/>
      <c r="B20" s="123">
        <v>16.0</v>
      </c>
      <c r="C20" s="124" t="s">
        <v>50</v>
      </c>
      <c r="D20" s="124" t="s">
        <v>51</v>
      </c>
      <c r="E20" s="70" t="str">
        <f t="shared" si="2"/>
        <v>9번 중 9번 참여</v>
      </c>
      <c r="F20" s="71">
        <f t="shared" si="3"/>
        <v>1</v>
      </c>
      <c r="G20" s="126" t="s">
        <v>25</v>
      </c>
      <c r="H20" s="126" t="s">
        <v>25</v>
      </c>
      <c r="I20" s="126" t="s">
        <v>25</v>
      </c>
      <c r="J20" s="126" t="s">
        <v>25</v>
      </c>
      <c r="K20" s="126" t="s">
        <v>25</v>
      </c>
      <c r="L20" s="126" t="s">
        <v>25</v>
      </c>
      <c r="M20" s="126" t="s">
        <v>25</v>
      </c>
      <c r="N20" s="126" t="s">
        <v>25</v>
      </c>
      <c r="O20" s="126" t="s">
        <v>25</v>
      </c>
    </row>
    <row r="21" ht="15.75" customHeight="1">
      <c r="A21" s="122"/>
      <c r="B21" s="123">
        <v>17.0</v>
      </c>
      <c r="C21" s="124" t="s">
        <v>52</v>
      </c>
      <c r="D21" s="124" t="s">
        <v>53</v>
      </c>
      <c r="E21" s="70" t="str">
        <f t="shared" si="2"/>
        <v>9번 중 8번 참여</v>
      </c>
      <c r="F21" s="71">
        <f t="shared" si="3"/>
        <v>0.8888888889</v>
      </c>
      <c r="G21" s="126" t="s">
        <v>25</v>
      </c>
      <c r="H21" s="126" t="s">
        <v>25</v>
      </c>
      <c r="I21" s="126" t="s">
        <v>25</v>
      </c>
      <c r="J21" s="126"/>
      <c r="K21" s="126" t="s">
        <v>25</v>
      </c>
      <c r="L21" s="126" t="s">
        <v>25</v>
      </c>
      <c r="M21" s="126" t="s">
        <v>25</v>
      </c>
      <c r="N21" s="126" t="s">
        <v>25</v>
      </c>
      <c r="O21" s="126" t="s">
        <v>25</v>
      </c>
    </row>
    <row r="22" ht="15.75" customHeight="1">
      <c r="A22" s="122"/>
      <c r="B22" s="123">
        <v>18.0</v>
      </c>
      <c r="C22" s="124" t="s">
        <v>331</v>
      </c>
      <c r="D22" s="124" t="s">
        <v>332</v>
      </c>
      <c r="E22" s="70" t="str">
        <f t="shared" si="2"/>
        <v>9번 중 9번 참여</v>
      </c>
      <c r="F22" s="71">
        <f t="shared" si="3"/>
        <v>1</v>
      </c>
      <c r="G22" s="126" t="s">
        <v>25</v>
      </c>
      <c r="H22" s="126" t="s">
        <v>25</v>
      </c>
      <c r="I22" s="126" t="s">
        <v>25</v>
      </c>
      <c r="J22" s="126" t="s">
        <v>25</v>
      </c>
      <c r="K22" s="126" t="s">
        <v>25</v>
      </c>
      <c r="L22" s="126" t="s">
        <v>25</v>
      </c>
      <c r="M22" s="126" t="s">
        <v>25</v>
      </c>
      <c r="N22" s="126" t="s">
        <v>25</v>
      </c>
      <c r="O22" s="126" t="s">
        <v>25</v>
      </c>
    </row>
    <row r="23" ht="15.75" customHeight="1">
      <c r="A23" s="122"/>
      <c r="B23" s="123">
        <v>19.0</v>
      </c>
      <c r="C23" s="124" t="s">
        <v>56</v>
      </c>
      <c r="D23" s="124" t="s">
        <v>57</v>
      </c>
      <c r="E23" s="70" t="str">
        <f t="shared" si="2"/>
        <v>9번 중 9번 참여</v>
      </c>
      <c r="F23" s="71">
        <f t="shared" si="3"/>
        <v>1</v>
      </c>
      <c r="G23" s="126" t="s">
        <v>25</v>
      </c>
      <c r="H23" s="126" t="s">
        <v>25</v>
      </c>
      <c r="I23" s="126" t="s">
        <v>25</v>
      </c>
      <c r="J23" s="126" t="s">
        <v>25</v>
      </c>
      <c r="K23" s="126" t="s">
        <v>25</v>
      </c>
      <c r="L23" s="126" t="s">
        <v>25</v>
      </c>
      <c r="M23" s="126" t="s">
        <v>25</v>
      </c>
      <c r="N23" s="126" t="s">
        <v>25</v>
      </c>
      <c r="O23" s="126" t="s">
        <v>25</v>
      </c>
    </row>
    <row r="24" ht="15.75" customHeight="1">
      <c r="A24" s="122"/>
      <c r="B24" s="123">
        <v>20.0</v>
      </c>
      <c r="C24" s="129" t="s">
        <v>333</v>
      </c>
      <c r="D24" s="124" t="s">
        <v>334</v>
      </c>
      <c r="E24" s="70" t="str">
        <f t="shared" si="2"/>
        <v>9번 중 1번 참여</v>
      </c>
      <c r="F24" s="71">
        <f t="shared" si="3"/>
        <v>0.1111111111</v>
      </c>
      <c r="G24" s="126" t="s">
        <v>25</v>
      </c>
      <c r="H24" s="126"/>
      <c r="I24" s="126"/>
      <c r="J24" s="126"/>
      <c r="K24" s="126"/>
      <c r="L24" s="126"/>
      <c r="M24" s="126"/>
      <c r="N24" s="126"/>
      <c r="O24" s="126"/>
    </row>
    <row r="25" ht="15.75" customHeight="1">
      <c r="A25" s="122"/>
      <c r="B25" s="123">
        <v>21.0</v>
      </c>
      <c r="C25" s="124" t="s">
        <v>60</v>
      </c>
      <c r="D25" s="130" t="s">
        <v>61</v>
      </c>
      <c r="E25" s="70" t="str">
        <f t="shared" si="2"/>
        <v>9번 중 9번 참여</v>
      </c>
      <c r="F25" s="71">
        <f t="shared" si="3"/>
        <v>1</v>
      </c>
      <c r="G25" s="126" t="s">
        <v>25</v>
      </c>
      <c r="H25" s="126" t="s">
        <v>25</v>
      </c>
      <c r="I25" s="126" t="s">
        <v>25</v>
      </c>
      <c r="J25" s="126" t="s">
        <v>25</v>
      </c>
      <c r="K25" s="126" t="s">
        <v>25</v>
      </c>
      <c r="L25" s="126" t="s">
        <v>25</v>
      </c>
      <c r="M25" s="126" t="s">
        <v>25</v>
      </c>
      <c r="N25" s="126" t="s">
        <v>25</v>
      </c>
      <c r="O25" s="126" t="s">
        <v>25</v>
      </c>
    </row>
    <row r="26" ht="15.75" customHeight="1">
      <c r="A26" s="122"/>
      <c r="B26" s="123">
        <v>22.0</v>
      </c>
      <c r="C26" s="124" t="s">
        <v>335</v>
      </c>
      <c r="D26" s="125" t="s">
        <v>336</v>
      </c>
      <c r="E26" s="70" t="str">
        <f t="shared" si="2"/>
        <v>9번 중 6번 참여</v>
      </c>
      <c r="F26" s="71">
        <f t="shared" si="3"/>
        <v>0.6666666667</v>
      </c>
      <c r="G26" s="126" t="s">
        <v>25</v>
      </c>
      <c r="H26" s="126" t="s">
        <v>25</v>
      </c>
      <c r="I26" s="126" t="s">
        <v>25</v>
      </c>
      <c r="J26" s="126" t="s">
        <v>25</v>
      </c>
      <c r="K26" s="126" t="s">
        <v>25</v>
      </c>
      <c r="L26" s="126" t="s">
        <v>25</v>
      </c>
      <c r="M26" s="126"/>
      <c r="N26" s="126"/>
      <c r="O26" s="126"/>
    </row>
    <row r="27" ht="15.75" customHeight="1">
      <c r="A27" s="122"/>
      <c r="B27" s="123">
        <v>23.0</v>
      </c>
      <c r="C27" s="124" t="s">
        <v>64</v>
      </c>
      <c r="D27" s="124" t="s">
        <v>65</v>
      </c>
      <c r="E27" s="70" t="str">
        <f t="shared" si="2"/>
        <v>9번 중 9번 참여</v>
      </c>
      <c r="F27" s="71">
        <f t="shared" si="3"/>
        <v>1</v>
      </c>
      <c r="G27" s="126" t="s">
        <v>25</v>
      </c>
      <c r="H27" s="126" t="s">
        <v>25</v>
      </c>
      <c r="I27" s="126" t="s">
        <v>25</v>
      </c>
      <c r="J27" s="126" t="s">
        <v>25</v>
      </c>
      <c r="K27" s="126" t="s">
        <v>25</v>
      </c>
      <c r="L27" s="126" t="s">
        <v>25</v>
      </c>
      <c r="M27" s="126" t="s">
        <v>25</v>
      </c>
      <c r="N27" s="126" t="s">
        <v>25</v>
      </c>
      <c r="O27" s="126" t="s">
        <v>25</v>
      </c>
    </row>
    <row r="28" ht="15.75" customHeight="1">
      <c r="A28" s="122"/>
      <c r="B28" s="123">
        <v>24.0</v>
      </c>
      <c r="C28" s="124" t="s">
        <v>337</v>
      </c>
      <c r="D28" s="124" t="s">
        <v>338</v>
      </c>
      <c r="E28" s="70" t="str">
        <f t="shared" si="2"/>
        <v>9번 중 9번 참여</v>
      </c>
      <c r="F28" s="71">
        <f t="shared" si="3"/>
        <v>1</v>
      </c>
      <c r="G28" s="126" t="s">
        <v>25</v>
      </c>
      <c r="H28" s="126" t="s">
        <v>25</v>
      </c>
      <c r="I28" s="126" t="s">
        <v>25</v>
      </c>
      <c r="J28" s="126" t="s">
        <v>25</v>
      </c>
      <c r="K28" s="126" t="s">
        <v>25</v>
      </c>
      <c r="L28" s="126" t="s">
        <v>25</v>
      </c>
      <c r="M28" s="126" t="s">
        <v>25</v>
      </c>
      <c r="N28" s="126" t="s">
        <v>25</v>
      </c>
      <c r="O28" s="126" t="s">
        <v>25</v>
      </c>
    </row>
    <row r="29" ht="15.75" customHeight="1">
      <c r="A29" s="122"/>
      <c r="B29" s="123">
        <v>25.0</v>
      </c>
      <c r="C29" s="124" t="s">
        <v>337</v>
      </c>
      <c r="D29" s="124" t="s">
        <v>339</v>
      </c>
      <c r="E29" s="70" t="str">
        <f t="shared" si="2"/>
        <v>9번 중 9번 참여</v>
      </c>
      <c r="F29" s="71">
        <f t="shared" si="3"/>
        <v>1</v>
      </c>
      <c r="G29" s="126" t="s">
        <v>25</v>
      </c>
      <c r="H29" s="126" t="s">
        <v>25</v>
      </c>
      <c r="I29" s="126" t="s">
        <v>25</v>
      </c>
      <c r="J29" s="126" t="s">
        <v>25</v>
      </c>
      <c r="K29" s="126" t="s">
        <v>25</v>
      </c>
      <c r="L29" s="126" t="s">
        <v>25</v>
      </c>
      <c r="M29" s="126" t="s">
        <v>25</v>
      </c>
      <c r="N29" s="126" t="s">
        <v>25</v>
      </c>
      <c r="O29" s="126" t="s">
        <v>25</v>
      </c>
    </row>
    <row r="30" ht="15.75" customHeight="1">
      <c r="A30" s="122"/>
      <c r="B30" s="123">
        <v>26.0</v>
      </c>
      <c r="C30" s="124" t="s">
        <v>74</v>
      </c>
      <c r="D30" s="124" t="s">
        <v>75</v>
      </c>
      <c r="E30" s="70" t="str">
        <f t="shared" si="2"/>
        <v>9번 중 7번 참여</v>
      </c>
      <c r="F30" s="71">
        <f t="shared" si="3"/>
        <v>0.7777777778</v>
      </c>
      <c r="G30" s="126" t="s">
        <v>25</v>
      </c>
      <c r="H30" s="126" t="s">
        <v>25</v>
      </c>
      <c r="I30" s="126" t="s">
        <v>25</v>
      </c>
      <c r="J30" s="126" t="s">
        <v>25</v>
      </c>
      <c r="K30" s="126" t="s">
        <v>25</v>
      </c>
      <c r="L30" s="126" t="s">
        <v>25</v>
      </c>
      <c r="M30" s="126"/>
      <c r="N30" s="126"/>
      <c r="O30" s="126" t="s">
        <v>25</v>
      </c>
    </row>
    <row r="31" ht="15.75" customHeight="1">
      <c r="A31" s="122"/>
      <c r="B31" s="123">
        <v>27.0</v>
      </c>
      <c r="C31" s="124" t="s">
        <v>76</v>
      </c>
      <c r="D31" s="130" t="s">
        <v>77</v>
      </c>
      <c r="E31" s="70" t="str">
        <f t="shared" si="2"/>
        <v>9번 중 8번 참여</v>
      </c>
      <c r="F31" s="71">
        <f t="shared" si="3"/>
        <v>0.8888888889</v>
      </c>
      <c r="G31" s="126" t="s">
        <v>25</v>
      </c>
      <c r="H31" s="126" t="s">
        <v>25</v>
      </c>
      <c r="I31" s="126"/>
      <c r="J31" s="126" t="s">
        <v>25</v>
      </c>
      <c r="K31" s="126" t="s">
        <v>25</v>
      </c>
      <c r="L31" s="126" t="s">
        <v>25</v>
      </c>
      <c r="M31" s="126" t="s">
        <v>25</v>
      </c>
      <c r="N31" s="126" t="s">
        <v>25</v>
      </c>
      <c r="O31" s="126" t="s">
        <v>25</v>
      </c>
    </row>
    <row r="32" ht="15.75" customHeight="1">
      <c r="A32" s="122"/>
      <c r="B32" s="123">
        <v>28.0</v>
      </c>
      <c r="C32" s="124" t="s">
        <v>78</v>
      </c>
      <c r="D32" s="125" t="s">
        <v>79</v>
      </c>
      <c r="E32" s="70" t="str">
        <f t="shared" si="2"/>
        <v>9번 중 9번 참여</v>
      </c>
      <c r="F32" s="71">
        <f t="shared" si="3"/>
        <v>1</v>
      </c>
      <c r="G32" s="126" t="s">
        <v>25</v>
      </c>
      <c r="H32" s="126" t="s">
        <v>25</v>
      </c>
      <c r="I32" s="126" t="s">
        <v>25</v>
      </c>
      <c r="J32" s="126" t="s">
        <v>25</v>
      </c>
      <c r="K32" s="126" t="s">
        <v>25</v>
      </c>
      <c r="L32" s="126" t="s">
        <v>25</v>
      </c>
      <c r="M32" s="126" t="s">
        <v>25</v>
      </c>
      <c r="N32" s="126" t="s">
        <v>25</v>
      </c>
      <c r="O32" s="126" t="s">
        <v>25</v>
      </c>
    </row>
    <row r="33" ht="15.75" customHeight="1">
      <c r="A33" s="122"/>
      <c r="B33" s="123">
        <v>29.0</v>
      </c>
      <c r="C33" s="124" t="s">
        <v>130</v>
      </c>
      <c r="D33" s="124" t="s">
        <v>340</v>
      </c>
      <c r="E33" s="70" t="str">
        <f t="shared" si="2"/>
        <v>9번 중 8번 참여</v>
      </c>
      <c r="F33" s="71">
        <f t="shared" si="3"/>
        <v>0.8888888889</v>
      </c>
      <c r="G33" s="126" t="s">
        <v>25</v>
      </c>
      <c r="H33" s="126" t="s">
        <v>25</v>
      </c>
      <c r="I33" s="126" t="s">
        <v>25</v>
      </c>
      <c r="J33" s="126" t="s">
        <v>25</v>
      </c>
      <c r="K33" s="126" t="s">
        <v>25</v>
      </c>
      <c r="L33" s="126"/>
      <c r="M33" s="126" t="s">
        <v>25</v>
      </c>
      <c r="N33" s="126" t="s">
        <v>25</v>
      </c>
      <c r="O33" s="126" t="s">
        <v>25</v>
      </c>
    </row>
    <row r="34" ht="15.75" customHeight="1">
      <c r="A34" s="122"/>
      <c r="B34" s="123">
        <v>30.0</v>
      </c>
      <c r="C34" s="124" t="s">
        <v>81</v>
      </c>
      <c r="D34" s="124" t="s">
        <v>82</v>
      </c>
      <c r="E34" s="70" t="str">
        <f t="shared" si="2"/>
        <v>9번 중 9번 참여</v>
      </c>
      <c r="F34" s="71">
        <f t="shared" si="3"/>
        <v>1</v>
      </c>
      <c r="G34" s="126" t="s">
        <v>25</v>
      </c>
      <c r="H34" s="126" t="s">
        <v>25</v>
      </c>
      <c r="I34" s="126" t="s">
        <v>25</v>
      </c>
      <c r="J34" s="126" t="s">
        <v>25</v>
      </c>
      <c r="K34" s="126" t="s">
        <v>25</v>
      </c>
      <c r="L34" s="126" t="s">
        <v>25</v>
      </c>
      <c r="M34" s="126" t="s">
        <v>25</v>
      </c>
      <c r="N34" s="126" t="s">
        <v>25</v>
      </c>
      <c r="O34" s="126" t="s">
        <v>25</v>
      </c>
    </row>
    <row r="35" ht="15.75" customHeight="1">
      <c r="A35" s="122"/>
      <c r="B35" s="123">
        <v>31.0</v>
      </c>
      <c r="C35" s="124" t="s">
        <v>83</v>
      </c>
      <c r="D35" s="124" t="s">
        <v>84</v>
      </c>
      <c r="E35" s="70" t="str">
        <f t="shared" si="2"/>
        <v>9번 중 7번 참여</v>
      </c>
      <c r="F35" s="71">
        <f t="shared" si="3"/>
        <v>0.7777777778</v>
      </c>
      <c r="G35" s="126" t="s">
        <v>25</v>
      </c>
      <c r="H35" s="126" t="s">
        <v>25</v>
      </c>
      <c r="I35" s="126" t="s">
        <v>25</v>
      </c>
      <c r="J35" s="126" t="s">
        <v>25</v>
      </c>
      <c r="K35" s="126" t="s">
        <v>25</v>
      </c>
      <c r="L35" s="126"/>
      <c r="M35" s="126" t="s">
        <v>25</v>
      </c>
      <c r="N35" s="126" t="s">
        <v>25</v>
      </c>
      <c r="O35" s="126"/>
    </row>
    <row r="36" ht="15.75" customHeight="1">
      <c r="A36" s="122"/>
      <c r="B36" s="123">
        <v>32.0</v>
      </c>
      <c r="C36" s="124" t="s">
        <v>85</v>
      </c>
      <c r="D36" s="124" t="s">
        <v>86</v>
      </c>
      <c r="E36" s="70" t="str">
        <f t="shared" si="2"/>
        <v>9번 중 9번 참여</v>
      </c>
      <c r="F36" s="71">
        <f t="shared" si="3"/>
        <v>1</v>
      </c>
      <c r="G36" s="126" t="s">
        <v>25</v>
      </c>
      <c r="H36" s="126" t="s">
        <v>25</v>
      </c>
      <c r="I36" s="126" t="s">
        <v>25</v>
      </c>
      <c r="J36" s="126" t="s">
        <v>25</v>
      </c>
      <c r="K36" s="126" t="s">
        <v>25</v>
      </c>
      <c r="L36" s="126" t="s">
        <v>25</v>
      </c>
      <c r="M36" s="126" t="s">
        <v>25</v>
      </c>
      <c r="N36" s="126" t="s">
        <v>25</v>
      </c>
      <c r="O36" s="126" t="s">
        <v>25</v>
      </c>
    </row>
    <row r="37" ht="15.75" customHeight="1">
      <c r="A37" s="122"/>
      <c r="B37" s="123">
        <v>33.0</v>
      </c>
      <c r="C37" s="124" t="s">
        <v>87</v>
      </c>
      <c r="D37" s="130" t="s">
        <v>88</v>
      </c>
      <c r="E37" s="70" t="str">
        <f t="shared" si="2"/>
        <v>9번 중 8번 참여</v>
      </c>
      <c r="F37" s="71">
        <f t="shared" si="3"/>
        <v>0.8888888889</v>
      </c>
      <c r="G37" s="126" t="s">
        <v>25</v>
      </c>
      <c r="H37" s="126" t="s">
        <v>25</v>
      </c>
      <c r="I37" s="126" t="s">
        <v>25</v>
      </c>
      <c r="J37" s="126" t="s">
        <v>25</v>
      </c>
      <c r="K37" s="126" t="s">
        <v>25</v>
      </c>
      <c r="L37" s="126"/>
      <c r="M37" s="126" t="s">
        <v>25</v>
      </c>
      <c r="N37" s="126" t="s">
        <v>25</v>
      </c>
      <c r="O37" s="126" t="s">
        <v>25</v>
      </c>
    </row>
    <row r="38" ht="15.75" customHeight="1">
      <c r="A38" s="122"/>
      <c r="B38" s="123">
        <v>34.0</v>
      </c>
      <c r="C38" s="129" t="s">
        <v>341</v>
      </c>
      <c r="D38" s="124" t="s">
        <v>342</v>
      </c>
      <c r="E38" s="70" t="str">
        <f t="shared" si="2"/>
        <v>9번 중 5번 참여</v>
      </c>
      <c r="F38" s="71">
        <f t="shared" si="3"/>
        <v>0.5555555556</v>
      </c>
      <c r="G38" s="126" t="s">
        <v>80</v>
      </c>
      <c r="H38" s="126"/>
      <c r="I38" s="126" t="s">
        <v>25</v>
      </c>
      <c r="J38" s="126"/>
      <c r="K38" s="126" t="s">
        <v>25</v>
      </c>
      <c r="L38" s="126"/>
      <c r="M38" s="126" t="s">
        <v>25</v>
      </c>
      <c r="N38" s="126" t="s">
        <v>25</v>
      </c>
      <c r="O38" s="126" t="s">
        <v>25</v>
      </c>
    </row>
    <row r="39" ht="15.75" customHeight="1">
      <c r="A39" s="122"/>
      <c r="B39" s="123">
        <v>35.0</v>
      </c>
      <c r="C39" s="129" t="s">
        <v>343</v>
      </c>
      <c r="D39" s="124" t="s">
        <v>344</v>
      </c>
      <c r="E39" s="70" t="str">
        <f t="shared" si="2"/>
        <v>9번 중 1번 참여</v>
      </c>
      <c r="F39" s="71">
        <f t="shared" si="3"/>
        <v>0.1111111111</v>
      </c>
      <c r="G39" s="126"/>
      <c r="H39" s="126"/>
      <c r="I39" s="126" t="s">
        <v>25</v>
      </c>
      <c r="J39" s="126"/>
      <c r="K39" s="126"/>
      <c r="L39" s="126"/>
      <c r="M39" s="126"/>
      <c r="N39" s="126"/>
      <c r="O39" s="126"/>
    </row>
    <row r="40" ht="15.75" customHeight="1">
      <c r="A40" s="122"/>
      <c r="B40" s="123">
        <v>36.0</v>
      </c>
      <c r="C40" s="124" t="s">
        <v>93</v>
      </c>
      <c r="D40" s="124" t="s">
        <v>94</v>
      </c>
      <c r="E40" s="70" t="str">
        <f t="shared" si="2"/>
        <v>9번 중 9번 참여</v>
      </c>
      <c r="F40" s="71">
        <f t="shared" si="3"/>
        <v>1</v>
      </c>
      <c r="G40" s="131" t="s">
        <v>25</v>
      </c>
      <c r="H40" s="126" t="s">
        <v>25</v>
      </c>
      <c r="I40" s="126" t="s">
        <v>25</v>
      </c>
      <c r="J40" s="126" t="s">
        <v>25</v>
      </c>
      <c r="K40" s="126" t="s">
        <v>25</v>
      </c>
      <c r="L40" s="126" t="s">
        <v>25</v>
      </c>
      <c r="M40" s="126" t="s">
        <v>25</v>
      </c>
      <c r="N40" s="126" t="s">
        <v>25</v>
      </c>
      <c r="O40" s="126" t="s">
        <v>25</v>
      </c>
    </row>
    <row r="41" ht="15.75" customHeight="1">
      <c r="A41" s="122"/>
      <c r="B41" s="123">
        <v>37.0</v>
      </c>
      <c r="C41" s="124" t="s">
        <v>124</v>
      </c>
      <c r="D41" s="124" t="s">
        <v>125</v>
      </c>
      <c r="E41" s="70" t="str">
        <f t="shared" si="2"/>
        <v>9번 중 9번 참여</v>
      </c>
      <c r="F41" s="71">
        <f t="shared" si="3"/>
        <v>1</v>
      </c>
      <c r="G41" s="126" t="s">
        <v>25</v>
      </c>
      <c r="H41" s="126" t="s">
        <v>25</v>
      </c>
      <c r="I41" s="126" t="s">
        <v>25</v>
      </c>
      <c r="J41" s="126" t="s">
        <v>25</v>
      </c>
      <c r="K41" s="126" t="s">
        <v>25</v>
      </c>
      <c r="L41" s="126" t="s">
        <v>25</v>
      </c>
      <c r="M41" s="126" t="s">
        <v>25</v>
      </c>
      <c r="N41" s="126" t="s">
        <v>25</v>
      </c>
      <c r="O41" s="126" t="s">
        <v>25</v>
      </c>
    </row>
    <row r="42" ht="15.75" customHeight="1">
      <c r="A42" s="122"/>
      <c r="B42" s="123">
        <v>38.0</v>
      </c>
      <c r="C42" s="124" t="s">
        <v>128</v>
      </c>
      <c r="D42" s="124" t="s">
        <v>129</v>
      </c>
      <c r="E42" s="70" t="str">
        <f t="shared" si="2"/>
        <v>9번 중 9번 참여</v>
      </c>
      <c r="F42" s="71">
        <f t="shared" si="3"/>
        <v>1</v>
      </c>
      <c r="G42" s="126" t="s">
        <v>25</v>
      </c>
      <c r="H42" s="126" t="s">
        <v>25</v>
      </c>
      <c r="I42" s="126" t="s">
        <v>25</v>
      </c>
      <c r="J42" s="126" t="s">
        <v>25</v>
      </c>
      <c r="K42" s="126" t="s">
        <v>25</v>
      </c>
      <c r="L42" s="126" t="s">
        <v>25</v>
      </c>
      <c r="M42" s="126" t="s">
        <v>25</v>
      </c>
      <c r="N42" s="126" t="s">
        <v>25</v>
      </c>
      <c r="O42" s="126" t="s">
        <v>25</v>
      </c>
    </row>
    <row r="43" ht="15.75" customHeight="1">
      <c r="A43" s="122"/>
      <c r="B43" s="123">
        <v>39.0</v>
      </c>
      <c r="C43" s="129" t="s">
        <v>345</v>
      </c>
      <c r="D43" s="124" t="s">
        <v>346</v>
      </c>
      <c r="E43" s="70" t="str">
        <f t="shared" si="2"/>
        <v>9번 중 2번 참여</v>
      </c>
      <c r="F43" s="71">
        <f t="shared" si="3"/>
        <v>0.2222222222</v>
      </c>
      <c r="G43" s="126" t="s">
        <v>25</v>
      </c>
      <c r="H43" s="126" t="s">
        <v>25</v>
      </c>
      <c r="I43" s="126"/>
      <c r="J43" s="126"/>
      <c r="K43" s="126"/>
      <c r="L43" s="126"/>
      <c r="M43" s="126"/>
      <c r="N43" s="126"/>
      <c r="O43" s="126"/>
    </row>
    <row r="44" ht="15.75" customHeight="1">
      <c r="A44" s="122"/>
      <c r="B44" s="123">
        <v>40.0</v>
      </c>
      <c r="C44" s="129" t="s">
        <v>347</v>
      </c>
      <c r="D44" s="124" t="s">
        <v>348</v>
      </c>
      <c r="E44" s="70" t="str">
        <f t="shared" si="2"/>
        <v>9번 중 2번 참여</v>
      </c>
      <c r="F44" s="71">
        <f t="shared" si="3"/>
        <v>0.2222222222</v>
      </c>
      <c r="G44" s="126" t="s">
        <v>25</v>
      </c>
      <c r="H44" s="126"/>
      <c r="I44" s="126" t="s">
        <v>25</v>
      </c>
      <c r="J44" s="126"/>
      <c r="K44" s="126"/>
      <c r="L44" s="126"/>
      <c r="M44" s="126"/>
      <c r="N44" s="126"/>
      <c r="O44" s="126"/>
    </row>
    <row r="45" ht="15.75" customHeight="1">
      <c r="A45" s="122"/>
      <c r="B45" s="123">
        <v>41.0</v>
      </c>
      <c r="C45" s="124" t="s">
        <v>349</v>
      </c>
      <c r="D45" s="124" t="s">
        <v>350</v>
      </c>
      <c r="E45" s="70" t="str">
        <f t="shared" si="2"/>
        <v>9번 중 9번 참여</v>
      </c>
      <c r="F45" s="71">
        <f t="shared" si="3"/>
        <v>1</v>
      </c>
      <c r="G45" s="126" t="s">
        <v>25</v>
      </c>
      <c r="H45" s="126" t="s">
        <v>25</v>
      </c>
      <c r="I45" s="126" t="s">
        <v>25</v>
      </c>
      <c r="J45" s="126" t="s">
        <v>25</v>
      </c>
      <c r="K45" s="126" t="s">
        <v>25</v>
      </c>
      <c r="L45" s="126" t="s">
        <v>25</v>
      </c>
      <c r="M45" s="126" t="s">
        <v>25</v>
      </c>
      <c r="N45" s="126" t="s">
        <v>25</v>
      </c>
      <c r="O45" s="126" t="s">
        <v>25</v>
      </c>
    </row>
    <row r="46" ht="15.75" customHeight="1">
      <c r="A46" s="122"/>
      <c r="B46" s="123">
        <v>42.0</v>
      </c>
      <c r="C46" s="124" t="s">
        <v>95</v>
      </c>
      <c r="D46" s="124" t="s">
        <v>96</v>
      </c>
      <c r="E46" s="70" t="str">
        <f t="shared" si="2"/>
        <v>9번 중 9번 참여</v>
      </c>
      <c r="F46" s="71">
        <f t="shared" si="3"/>
        <v>1</v>
      </c>
      <c r="G46" s="126" t="s">
        <v>25</v>
      </c>
      <c r="H46" s="126" t="s">
        <v>25</v>
      </c>
      <c r="I46" s="126" t="s">
        <v>25</v>
      </c>
      <c r="J46" s="126" t="s">
        <v>25</v>
      </c>
      <c r="K46" s="126" t="s">
        <v>25</v>
      </c>
      <c r="L46" s="126" t="s">
        <v>25</v>
      </c>
      <c r="M46" s="126" t="s">
        <v>25</v>
      </c>
      <c r="N46" s="126" t="s">
        <v>25</v>
      </c>
      <c r="O46" s="126" t="s">
        <v>25</v>
      </c>
    </row>
    <row r="47" ht="15.75" customHeight="1">
      <c r="A47" s="122"/>
      <c r="B47" s="123">
        <v>43.0</v>
      </c>
      <c r="C47" s="124" t="s">
        <v>97</v>
      </c>
      <c r="D47" s="124" t="s">
        <v>98</v>
      </c>
      <c r="E47" s="70" t="str">
        <f t="shared" si="2"/>
        <v>9번 중 8번 참여</v>
      </c>
      <c r="F47" s="71">
        <f t="shared" si="3"/>
        <v>0.8888888889</v>
      </c>
      <c r="G47" s="126" t="s">
        <v>25</v>
      </c>
      <c r="H47" s="126" t="s">
        <v>25</v>
      </c>
      <c r="I47" s="126" t="s">
        <v>25</v>
      </c>
      <c r="J47" s="126" t="s">
        <v>25</v>
      </c>
      <c r="K47" s="126" t="s">
        <v>25</v>
      </c>
      <c r="L47" s="126"/>
      <c r="M47" s="126" t="s">
        <v>25</v>
      </c>
      <c r="N47" s="126" t="s">
        <v>25</v>
      </c>
      <c r="O47" s="126" t="s">
        <v>25</v>
      </c>
    </row>
    <row r="48" ht="15.75" customHeight="1">
      <c r="A48" s="122"/>
      <c r="B48" s="123">
        <v>44.0</v>
      </c>
      <c r="C48" s="124" t="s">
        <v>351</v>
      </c>
      <c r="D48" s="124" t="s">
        <v>352</v>
      </c>
      <c r="E48" s="70" t="str">
        <f t="shared" si="2"/>
        <v>9번 중 7번 참여</v>
      </c>
      <c r="F48" s="71">
        <f t="shared" si="3"/>
        <v>0.7777777778</v>
      </c>
      <c r="G48" s="126" t="s">
        <v>25</v>
      </c>
      <c r="H48" s="126" t="s">
        <v>25</v>
      </c>
      <c r="I48" s="126" t="s">
        <v>25</v>
      </c>
      <c r="J48" s="126" t="s">
        <v>25</v>
      </c>
      <c r="K48" s="126" t="s">
        <v>25</v>
      </c>
      <c r="L48" s="126"/>
      <c r="M48" s="126" t="s">
        <v>25</v>
      </c>
      <c r="N48" s="126" t="s">
        <v>25</v>
      </c>
      <c r="O48" s="126"/>
    </row>
    <row r="49" ht="15.75" customHeight="1">
      <c r="A49" s="122"/>
      <c r="B49" s="123">
        <v>45.0</v>
      </c>
      <c r="C49" s="124" t="s">
        <v>103</v>
      </c>
      <c r="D49" s="124" t="s">
        <v>104</v>
      </c>
      <c r="E49" s="70" t="str">
        <f t="shared" si="2"/>
        <v>9번 중 8번 참여</v>
      </c>
      <c r="F49" s="71">
        <f t="shared" si="3"/>
        <v>0.8888888889</v>
      </c>
      <c r="G49" s="126" t="s">
        <v>25</v>
      </c>
      <c r="H49" s="126" t="s">
        <v>25</v>
      </c>
      <c r="I49" s="126" t="s">
        <v>25</v>
      </c>
      <c r="J49" s="126"/>
      <c r="K49" s="126" t="s">
        <v>25</v>
      </c>
      <c r="L49" s="126" t="s">
        <v>25</v>
      </c>
      <c r="M49" s="126" t="s">
        <v>25</v>
      </c>
      <c r="N49" s="126" t="s">
        <v>25</v>
      </c>
      <c r="O49" s="126" t="s">
        <v>25</v>
      </c>
    </row>
    <row r="50" ht="15.75" customHeight="1">
      <c r="A50" s="122"/>
      <c r="B50" s="123">
        <v>46.0</v>
      </c>
      <c r="C50" s="124" t="s">
        <v>353</v>
      </c>
      <c r="D50" s="124" t="s">
        <v>354</v>
      </c>
      <c r="E50" s="70" t="str">
        <f t="shared" si="2"/>
        <v>9번 중 7번 참여</v>
      </c>
      <c r="F50" s="71">
        <f t="shared" si="3"/>
        <v>0.7777777778</v>
      </c>
      <c r="G50" s="126" t="s">
        <v>25</v>
      </c>
      <c r="H50" s="126" t="s">
        <v>80</v>
      </c>
      <c r="I50" s="126" t="s">
        <v>25</v>
      </c>
      <c r="J50" s="126" t="s">
        <v>25</v>
      </c>
      <c r="K50" s="126" t="s">
        <v>25</v>
      </c>
      <c r="L50" s="126" t="s">
        <v>25</v>
      </c>
      <c r="M50" s="126" t="s">
        <v>25</v>
      </c>
      <c r="N50" s="126" t="s">
        <v>25</v>
      </c>
      <c r="O50" s="126"/>
    </row>
    <row r="51" ht="15.75" customHeight="1">
      <c r="A51" s="122"/>
      <c r="B51" s="123">
        <v>47.0</v>
      </c>
      <c r="C51" s="132" t="s">
        <v>355</v>
      </c>
      <c r="D51" s="124" t="s">
        <v>356</v>
      </c>
      <c r="E51" s="70" t="str">
        <f t="shared" si="2"/>
        <v>9번 중 3번 참여</v>
      </c>
      <c r="F51" s="71">
        <f t="shared" si="3"/>
        <v>0.3333333333</v>
      </c>
      <c r="G51" s="126" t="s">
        <v>25</v>
      </c>
      <c r="H51" s="126" t="s">
        <v>25</v>
      </c>
      <c r="I51" s="126"/>
      <c r="J51" s="126" t="s">
        <v>25</v>
      </c>
      <c r="K51" s="126"/>
      <c r="L51" s="126"/>
      <c r="M51" s="126"/>
      <c r="N51" s="126"/>
      <c r="O51" s="126"/>
    </row>
    <row r="52" ht="15.75" customHeight="1">
      <c r="A52" s="122"/>
      <c r="B52" s="123">
        <v>48.0</v>
      </c>
      <c r="C52" s="124" t="s">
        <v>101</v>
      </c>
      <c r="D52" s="124" t="s">
        <v>102</v>
      </c>
      <c r="E52" s="70" t="str">
        <f t="shared" si="2"/>
        <v>9번 중 8번 참여</v>
      </c>
      <c r="F52" s="71">
        <f t="shared" si="3"/>
        <v>0.8888888889</v>
      </c>
      <c r="G52" s="126" t="s">
        <v>25</v>
      </c>
      <c r="H52" s="126" t="s">
        <v>25</v>
      </c>
      <c r="I52" s="126" t="s">
        <v>25</v>
      </c>
      <c r="J52" s="126" t="s">
        <v>25</v>
      </c>
      <c r="K52" s="126" t="s">
        <v>25</v>
      </c>
      <c r="L52" s="126" t="s">
        <v>25</v>
      </c>
      <c r="M52" s="126" t="s">
        <v>25</v>
      </c>
      <c r="N52" s="126" t="s">
        <v>25</v>
      </c>
      <c r="O52" s="126"/>
    </row>
    <row r="53" ht="15.75" customHeight="1">
      <c r="A53" s="122"/>
      <c r="B53" s="123">
        <v>49.0</v>
      </c>
      <c r="C53" s="132" t="s">
        <v>357</v>
      </c>
      <c r="D53" s="124" t="s">
        <v>358</v>
      </c>
      <c r="E53" s="70" t="str">
        <f t="shared" si="2"/>
        <v>9번 중 3번 참여</v>
      </c>
      <c r="F53" s="71">
        <f t="shared" si="3"/>
        <v>0.3333333333</v>
      </c>
      <c r="G53" s="126" t="s">
        <v>25</v>
      </c>
      <c r="H53" s="126" t="s">
        <v>25</v>
      </c>
      <c r="I53" s="126"/>
      <c r="J53" s="126"/>
      <c r="K53" s="126" t="s">
        <v>25</v>
      </c>
      <c r="L53" s="126"/>
      <c r="M53" s="126"/>
      <c r="N53" s="126"/>
      <c r="O53" s="126"/>
    </row>
    <row r="54" ht="15.75" customHeight="1">
      <c r="A54" s="122"/>
      <c r="B54" s="123">
        <v>50.0</v>
      </c>
      <c r="C54" s="124" t="s">
        <v>359</v>
      </c>
      <c r="D54" s="125" t="s">
        <v>360</v>
      </c>
      <c r="E54" s="70" t="str">
        <f t="shared" si="2"/>
        <v>9번 중 9번 참여</v>
      </c>
      <c r="F54" s="71">
        <f t="shared" si="3"/>
        <v>1</v>
      </c>
      <c r="G54" s="126" t="s">
        <v>25</v>
      </c>
      <c r="H54" s="126" t="s">
        <v>25</v>
      </c>
      <c r="I54" s="126" t="s">
        <v>25</v>
      </c>
      <c r="J54" s="126" t="s">
        <v>25</v>
      </c>
      <c r="K54" s="126" t="s">
        <v>25</v>
      </c>
      <c r="L54" s="126" t="s">
        <v>25</v>
      </c>
      <c r="M54" s="126" t="s">
        <v>25</v>
      </c>
      <c r="N54" s="126" t="s">
        <v>25</v>
      </c>
      <c r="O54" s="126" t="s">
        <v>25</v>
      </c>
    </row>
    <row r="55" ht="15.75" customHeight="1">
      <c r="A55" s="122"/>
      <c r="B55" s="123">
        <v>51.0</v>
      </c>
      <c r="C55" s="133" t="s">
        <v>361</v>
      </c>
      <c r="D55" s="124" t="s">
        <v>362</v>
      </c>
      <c r="E55" s="70" t="str">
        <f t="shared" si="2"/>
        <v>9번 중 8번 참여</v>
      </c>
      <c r="F55" s="71">
        <f t="shared" si="3"/>
        <v>0.8888888889</v>
      </c>
      <c r="G55" s="126" t="s">
        <v>25</v>
      </c>
      <c r="H55" s="126"/>
      <c r="I55" s="126" t="s">
        <v>25</v>
      </c>
      <c r="J55" s="126" t="s">
        <v>25</v>
      </c>
      <c r="K55" s="126" t="s">
        <v>25</v>
      </c>
      <c r="L55" s="126" t="s">
        <v>25</v>
      </c>
      <c r="M55" s="126" t="s">
        <v>25</v>
      </c>
      <c r="N55" s="126" t="s">
        <v>25</v>
      </c>
      <c r="O55" s="126" t="s">
        <v>25</v>
      </c>
    </row>
    <row r="56" ht="15.75" customHeight="1">
      <c r="A56" s="122"/>
      <c r="B56" s="123">
        <v>52.0</v>
      </c>
      <c r="C56" s="124" t="s">
        <v>111</v>
      </c>
      <c r="D56" s="124" t="s">
        <v>112</v>
      </c>
      <c r="E56" s="70" t="str">
        <f t="shared" si="2"/>
        <v>9번 중 9번 참여</v>
      </c>
      <c r="F56" s="71">
        <f t="shared" si="3"/>
        <v>1</v>
      </c>
      <c r="G56" s="126" t="s">
        <v>25</v>
      </c>
      <c r="H56" s="126" t="s">
        <v>25</v>
      </c>
      <c r="I56" s="126" t="s">
        <v>25</v>
      </c>
      <c r="J56" s="126" t="s">
        <v>25</v>
      </c>
      <c r="K56" s="126" t="s">
        <v>25</v>
      </c>
      <c r="L56" s="126" t="s">
        <v>25</v>
      </c>
      <c r="M56" s="126" t="s">
        <v>25</v>
      </c>
      <c r="N56" s="126" t="s">
        <v>25</v>
      </c>
      <c r="O56" s="126" t="s">
        <v>25</v>
      </c>
    </row>
    <row r="57" ht="15.75" customHeight="1">
      <c r="A57" s="122"/>
      <c r="B57" s="123">
        <v>53.0</v>
      </c>
      <c r="C57" s="124" t="s">
        <v>113</v>
      </c>
      <c r="D57" s="124" t="s">
        <v>114</v>
      </c>
      <c r="E57" s="70" t="str">
        <f t="shared" si="2"/>
        <v>9번 중 8번 참여</v>
      </c>
      <c r="F57" s="71">
        <f t="shared" si="3"/>
        <v>0.8888888889</v>
      </c>
      <c r="G57" s="126" t="s">
        <v>25</v>
      </c>
      <c r="H57" s="126" t="s">
        <v>25</v>
      </c>
      <c r="I57" s="126" t="s">
        <v>25</v>
      </c>
      <c r="J57" s="126" t="s">
        <v>25</v>
      </c>
      <c r="K57" s="126" t="s">
        <v>25</v>
      </c>
      <c r="L57" s="126" t="s">
        <v>80</v>
      </c>
      <c r="M57" s="126" t="s">
        <v>25</v>
      </c>
      <c r="N57" s="126" t="s">
        <v>25</v>
      </c>
      <c r="O57" s="126" t="s">
        <v>25</v>
      </c>
    </row>
    <row r="58" ht="15.75" customHeight="1">
      <c r="A58" s="122"/>
      <c r="B58" s="123">
        <v>54.0</v>
      </c>
      <c r="C58" s="124" t="s">
        <v>363</v>
      </c>
      <c r="D58" s="124" t="s">
        <v>364</v>
      </c>
      <c r="E58" s="70" t="str">
        <f t="shared" si="2"/>
        <v>9번 중 7번 참여</v>
      </c>
      <c r="F58" s="71">
        <f t="shared" si="3"/>
        <v>0.7777777778</v>
      </c>
      <c r="G58" s="134" t="s">
        <v>25</v>
      </c>
      <c r="H58" s="126" t="s">
        <v>25</v>
      </c>
      <c r="I58" s="126"/>
      <c r="J58" s="126" t="s">
        <v>25</v>
      </c>
      <c r="K58" s="126" t="s">
        <v>25</v>
      </c>
      <c r="L58" s="126"/>
      <c r="M58" s="126" t="s">
        <v>25</v>
      </c>
      <c r="N58" s="126" t="s">
        <v>25</v>
      </c>
      <c r="O58" s="126" t="s">
        <v>25</v>
      </c>
    </row>
    <row r="59" ht="15.75" customHeight="1">
      <c r="A59" s="122"/>
      <c r="B59" s="123">
        <v>55.0</v>
      </c>
      <c r="C59" s="124" t="s">
        <v>132</v>
      </c>
      <c r="D59" s="124" t="s">
        <v>133</v>
      </c>
      <c r="E59" s="70" t="str">
        <f t="shared" si="2"/>
        <v>9번 중 9번 참여</v>
      </c>
      <c r="F59" s="71">
        <f t="shared" si="3"/>
        <v>1</v>
      </c>
      <c r="G59" s="126" t="s">
        <v>25</v>
      </c>
      <c r="H59" s="126" t="s">
        <v>25</v>
      </c>
      <c r="I59" s="126" t="s">
        <v>25</v>
      </c>
      <c r="J59" s="126" t="s">
        <v>25</v>
      </c>
      <c r="K59" s="126" t="s">
        <v>25</v>
      </c>
      <c r="L59" s="126" t="s">
        <v>25</v>
      </c>
      <c r="M59" s="126" t="s">
        <v>25</v>
      </c>
      <c r="N59" s="126" t="s">
        <v>25</v>
      </c>
      <c r="O59" s="126" t="s">
        <v>25</v>
      </c>
    </row>
    <row r="60" ht="15.75" customHeight="1">
      <c r="A60" s="122"/>
      <c r="B60" s="123">
        <v>56.0</v>
      </c>
      <c r="C60" s="124" t="s">
        <v>285</v>
      </c>
      <c r="D60" s="124" t="s">
        <v>119</v>
      </c>
      <c r="E60" s="70" t="str">
        <f t="shared" si="2"/>
        <v>9번 중 9번 참여</v>
      </c>
      <c r="F60" s="71">
        <f t="shared" si="3"/>
        <v>1</v>
      </c>
      <c r="G60" s="126" t="s">
        <v>25</v>
      </c>
      <c r="H60" s="126" t="s">
        <v>25</v>
      </c>
      <c r="I60" s="126" t="s">
        <v>25</v>
      </c>
      <c r="J60" s="126" t="s">
        <v>25</v>
      </c>
      <c r="K60" s="126" t="s">
        <v>25</v>
      </c>
      <c r="L60" s="126" t="s">
        <v>25</v>
      </c>
      <c r="M60" s="126" t="s">
        <v>25</v>
      </c>
      <c r="N60" s="126" t="s">
        <v>25</v>
      </c>
      <c r="O60" s="126" t="s">
        <v>25</v>
      </c>
    </row>
    <row r="61" ht="15.75" customHeight="1">
      <c r="A61" s="122"/>
      <c r="B61" s="123">
        <v>57.0</v>
      </c>
      <c r="C61" s="124" t="s">
        <v>365</v>
      </c>
      <c r="D61" s="135" t="s">
        <v>366</v>
      </c>
      <c r="E61" s="70" t="str">
        <f t="shared" si="2"/>
        <v>9번 중 9번 참여</v>
      </c>
      <c r="F61" s="71">
        <f t="shared" si="3"/>
        <v>1</v>
      </c>
      <c r="G61" s="126" t="s">
        <v>25</v>
      </c>
      <c r="H61" s="126" t="s">
        <v>25</v>
      </c>
      <c r="I61" s="126" t="s">
        <v>25</v>
      </c>
      <c r="J61" s="126" t="s">
        <v>25</v>
      </c>
      <c r="K61" s="126" t="s">
        <v>25</v>
      </c>
      <c r="L61" s="126" t="s">
        <v>25</v>
      </c>
      <c r="M61" s="126" t="s">
        <v>25</v>
      </c>
      <c r="N61" s="126" t="s">
        <v>25</v>
      </c>
      <c r="O61" s="126" t="s">
        <v>25</v>
      </c>
    </row>
    <row r="62" ht="15.75" customHeight="1">
      <c r="A62" s="122"/>
      <c r="B62" s="123">
        <v>58.0</v>
      </c>
      <c r="C62" s="129" t="s">
        <v>367</v>
      </c>
      <c r="D62" s="124" t="s">
        <v>368</v>
      </c>
      <c r="E62" s="70" t="str">
        <f t="shared" si="2"/>
        <v>9번 중 1번 참여</v>
      </c>
      <c r="F62" s="71">
        <f t="shared" si="3"/>
        <v>0.1111111111</v>
      </c>
      <c r="G62" s="126" t="s">
        <v>25</v>
      </c>
      <c r="H62" s="126"/>
      <c r="I62" s="126"/>
      <c r="J62" s="126"/>
      <c r="K62" s="126"/>
      <c r="L62" s="126"/>
      <c r="M62" s="126"/>
      <c r="N62" s="126"/>
      <c r="O62" s="126"/>
    </row>
    <row r="63" ht="15.75" customHeight="1">
      <c r="A63" s="122"/>
      <c r="B63" s="123">
        <v>59.0</v>
      </c>
      <c r="C63" s="124" t="s">
        <v>369</v>
      </c>
      <c r="D63" s="124" t="s">
        <v>370</v>
      </c>
      <c r="E63" s="70" t="str">
        <f t="shared" si="2"/>
        <v>9번 중 6번 참여</v>
      </c>
      <c r="F63" s="71">
        <f t="shared" si="3"/>
        <v>0.6666666667</v>
      </c>
      <c r="G63" s="126"/>
      <c r="H63" s="126" t="s">
        <v>25</v>
      </c>
      <c r="I63" s="126"/>
      <c r="J63" s="126" t="s">
        <v>25</v>
      </c>
      <c r="K63" s="126" t="s">
        <v>25</v>
      </c>
      <c r="L63" s="126" t="s">
        <v>25</v>
      </c>
      <c r="M63" s="126"/>
      <c r="N63" s="126" t="s">
        <v>25</v>
      </c>
      <c r="O63" s="126" t="s">
        <v>25</v>
      </c>
    </row>
    <row r="64" ht="15.75" customHeight="1">
      <c r="A64" s="122"/>
      <c r="B64" s="123">
        <v>60.0</v>
      </c>
      <c r="C64" s="124" t="s">
        <v>371</v>
      </c>
      <c r="D64" s="124" t="s">
        <v>108</v>
      </c>
      <c r="E64" s="70" t="str">
        <f t="shared" si="2"/>
        <v>9번 중 9번 참여</v>
      </c>
      <c r="F64" s="71">
        <f t="shared" si="3"/>
        <v>1</v>
      </c>
      <c r="G64" s="126" t="s">
        <v>25</v>
      </c>
      <c r="H64" s="126" t="s">
        <v>25</v>
      </c>
      <c r="I64" s="126" t="s">
        <v>25</v>
      </c>
      <c r="J64" s="126" t="s">
        <v>25</v>
      </c>
      <c r="K64" s="126" t="s">
        <v>25</v>
      </c>
      <c r="L64" s="126" t="s">
        <v>25</v>
      </c>
      <c r="M64" s="126" t="s">
        <v>25</v>
      </c>
      <c r="N64" s="126" t="s">
        <v>25</v>
      </c>
      <c r="O64" s="126" t="s">
        <v>25</v>
      </c>
    </row>
    <row r="65" ht="15.75" customHeight="1">
      <c r="A65" s="122"/>
      <c r="B65" s="123">
        <v>61.0</v>
      </c>
      <c r="C65" s="124" t="s">
        <v>372</v>
      </c>
      <c r="D65" s="124" t="s">
        <v>139</v>
      </c>
      <c r="E65" s="70" t="str">
        <f t="shared" si="2"/>
        <v>9번 중 9번 참여</v>
      </c>
      <c r="F65" s="71">
        <f t="shared" si="3"/>
        <v>1</v>
      </c>
      <c r="G65" s="126" t="s">
        <v>25</v>
      </c>
      <c r="H65" s="126" t="s">
        <v>25</v>
      </c>
      <c r="I65" s="126" t="s">
        <v>25</v>
      </c>
      <c r="J65" s="126" t="s">
        <v>25</v>
      </c>
      <c r="K65" s="126" t="s">
        <v>25</v>
      </c>
      <c r="L65" s="126" t="s">
        <v>25</v>
      </c>
      <c r="M65" s="126" t="s">
        <v>25</v>
      </c>
      <c r="N65" s="126" t="s">
        <v>25</v>
      </c>
      <c r="O65" s="126" t="s">
        <v>25</v>
      </c>
    </row>
    <row r="66" ht="15.75" customHeight="1">
      <c r="A66" s="122"/>
      <c r="B66" s="123">
        <v>62.0</v>
      </c>
      <c r="C66" s="124" t="s">
        <v>373</v>
      </c>
      <c r="D66" s="124" t="s">
        <v>137</v>
      </c>
      <c r="E66" s="70" t="str">
        <f t="shared" si="2"/>
        <v>9번 중 9번 참여</v>
      </c>
      <c r="F66" s="71">
        <f t="shared" si="3"/>
        <v>1</v>
      </c>
      <c r="G66" s="126" t="s">
        <v>25</v>
      </c>
      <c r="H66" s="126" t="s">
        <v>25</v>
      </c>
      <c r="I66" s="126" t="s">
        <v>25</v>
      </c>
      <c r="J66" s="126" t="s">
        <v>25</v>
      </c>
      <c r="K66" s="126" t="s">
        <v>25</v>
      </c>
      <c r="L66" s="126" t="s">
        <v>25</v>
      </c>
      <c r="M66" s="126" t="s">
        <v>25</v>
      </c>
      <c r="N66" s="126" t="s">
        <v>25</v>
      </c>
      <c r="O66" s="126" t="s">
        <v>25</v>
      </c>
    </row>
    <row r="67" ht="15.75" customHeight="1">
      <c r="A67" s="122"/>
      <c r="B67" s="123">
        <v>63.0</v>
      </c>
      <c r="C67" s="124" t="s">
        <v>374</v>
      </c>
      <c r="D67" s="124" t="s">
        <v>375</v>
      </c>
      <c r="E67" s="70" t="str">
        <f t="shared" si="2"/>
        <v>9번 중 3번 참여</v>
      </c>
      <c r="F67" s="71">
        <f t="shared" si="3"/>
        <v>0.3333333333</v>
      </c>
      <c r="G67" s="126" t="s">
        <v>25</v>
      </c>
      <c r="H67" s="126" t="s">
        <v>25</v>
      </c>
      <c r="I67" s="126" t="s">
        <v>25</v>
      </c>
      <c r="J67" s="126"/>
      <c r="K67" s="126"/>
      <c r="L67" s="126"/>
      <c r="M67" s="126"/>
      <c r="N67" s="126"/>
      <c r="O67" s="126"/>
    </row>
    <row r="68" ht="15.75" customHeight="1">
      <c r="A68" s="122"/>
      <c r="B68" s="123">
        <v>64.0</v>
      </c>
      <c r="C68" s="129" t="s">
        <v>376</v>
      </c>
      <c r="D68" s="124" t="s">
        <v>377</v>
      </c>
      <c r="E68" s="70" t="str">
        <f t="shared" si="2"/>
        <v>9번 중 1번 참여</v>
      </c>
      <c r="F68" s="71">
        <f t="shared" si="3"/>
        <v>0.1111111111</v>
      </c>
      <c r="G68" s="134"/>
      <c r="H68" s="126" t="s">
        <v>25</v>
      </c>
      <c r="I68" s="126"/>
      <c r="J68" s="126"/>
      <c r="K68" s="126"/>
      <c r="L68" s="126"/>
      <c r="M68" s="126"/>
      <c r="N68" s="126"/>
      <c r="O68" s="126"/>
    </row>
    <row r="69" ht="15.75" customHeight="1">
      <c r="A69" s="122"/>
      <c r="B69" s="123">
        <v>65.0</v>
      </c>
      <c r="C69" s="129" t="s">
        <v>378</v>
      </c>
      <c r="D69" s="124" t="s">
        <v>379</v>
      </c>
      <c r="E69" s="70" t="str">
        <f t="shared" si="2"/>
        <v/>
      </c>
      <c r="F69" s="71" t="str">
        <f t="shared" si="3"/>
        <v/>
      </c>
      <c r="G69" s="126"/>
      <c r="H69" s="126"/>
      <c r="I69" s="126"/>
      <c r="J69" s="126"/>
      <c r="K69" s="126"/>
      <c r="L69" s="126"/>
      <c r="M69" s="126"/>
      <c r="N69" s="126"/>
      <c r="O69" s="126"/>
    </row>
    <row r="70" ht="15.75" customHeight="1">
      <c r="A70" s="122"/>
      <c r="B70" s="123">
        <v>66.0</v>
      </c>
      <c r="C70" s="124" t="s">
        <v>148</v>
      </c>
      <c r="D70" s="124" t="s">
        <v>149</v>
      </c>
      <c r="E70" s="70" t="str">
        <f t="shared" si="2"/>
        <v>9번 중 7번 참여</v>
      </c>
      <c r="F70" s="71">
        <f t="shared" si="3"/>
        <v>0.7777777778</v>
      </c>
      <c r="G70" s="126"/>
      <c r="H70" s="126" t="s">
        <v>25</v>
      </c>
      <c r="I70" s="126"/>
      <c r="J70" s="126" t="s">
        <v>25</v>
      </c>
      <c r="K70" s="126" t="s">
        <v>25</v>
      </c>
      <c r="L70" s="126" t="s">
        <v>25</v>
      </c>
      <c r="M70" s="126" t="s">
        <v>25</v>
      </c>
      <c r="N70" s="126" t="s">
        <v>25</v>
      </c>
      <c r="O70" s="126" t="s">
        <v>25</v>
      </c>
    </row>
    <row r="71" ht="15.75" customHeight="1">
      <c r="A71" s="122"/>
      <c r="B71" s="123">
        <v>67.0</v>
      </c>
      <c r="C71" s="124" t="s">
        <v>380</v>
      </c>
      <c r="D71" s="124" t="s">
        <v>381</v>
      </c>
      <c r="E71" s="70" t="str">
        <f t="shared" si="2"/>
        <v>9번 중 8번 참여</v>
      </c>
      <c r="F71" s="71">
        <f t="shared" si="3"/>
        <v>0.8888888889</v>
      </c>
      <c r="G71" s="126"/>
      <c r="H71" s="126" t="s">
        <v>25</v>
      </c>
      <c r="I71" s="126" t="s">
        <v>25</v>
      </c>
      <c r="J71" s="126" t="s">
        <v>25</v>
      </c>
      <c r="K71" s="126" t="s">
        <v>25</v>
      </c>
      <c r="L71" s="126" t="s">
        <v>25</v>
      </c>
      <c r="M71" s="126" t="s">
        <v>25</v>
      </c>
      <c r="N71" s="126" t="s">
        <v>25</v>
      </c>
      <c r="O71" s="126" t="s">
        <v>25</v>
      </c>
    </row>
    <row r="72" ht="15.75" customHeight="1">
      <c r="A72" s="122"/>
      <c r="B72" s="123">
        <v>68.0</v>
      </c>
      <c r="C72" s="124" t="s">
        <v>146</v>
      </c>
      <c r="D72" s="124" t="s">
        <v>147</v>
      </c>
      <c r="E72" s="70" t="str">
        <f t="shared" si="2"/>
        <v>9번 중 9번 참여</v>
      </c>
      <c r="F72" s="71">
        <f t="shared" si="3"/>
        <v>1</v>
      </c>
      <c r="G72" s="126" t="s">
        <v>25</v>
      </c>
      <c r="H72" s="126" t="s">
        <v>25</v>
      </c>
      <c r="I72" s="126" t="s">
        <v>25</v>
      </c>
      <c r="J72" s="126" t="s">
        <v>25</v>
      </c>
      <c r="K72" s="126" t="s">
        <v>25</v>
      </c>
      <c r="L72" s="126" t="s">
        <v>25</v>
      </c>
      <c r="M72" s="126" t="s">
        <v>25</v>
      </c>
      <c r="N72" s="126" t="s">
        <v>25</v>
      </c>
      <c r="O72" s="126" t="s">
        <v>25</v>
      </c>
    </row>
    <row r="73" ht="15.75" customHeight="1">
      <c r="A73" s="122"/>
      <c r="B73" s="123">
        <v>69.0</v>
      </c>
      <c r="C73" s="124" t="s">
        <v>144</v>
      </c>
      <c r="D73" s="124" t="s">
        <v>145</v>
      </c>
      <c r="E73" s="70" t="str">
        <f t="shared" si="2"/>
        <v>9번 중 9번 참여</v>
      </c>
      <c r="F73" s="71">
        <f t="shared" si="3"/>
        <v>1</v>
      </c>
      <c r="G73" s="126" t="s">
        <v>25</v>
      </c>
      <c r="H73" s="126" t="s">
        <v>25</v>
      </c>
      <c r="I73" s="126" t="s">
        <v>25</v>
      </c>
      <c r="J73" s="126" t="s">
        <v>25</v>
      </c>
      <c r="K73" s="126" t="s">
        <v>25</v>
      </c>
      <c r="L73" s="126" t="s">
        <v>25</v>
      </c>
      <c r="M73" s="126" t="s">
        <v>25</v>
      </c>
      <c r="N73" s="126" t="s">
        <v>25</v>
      </c>
      <c r="O73" s="126" t="s">
        <v>25</v>
      </c>
    </row>
    <row r="74" ht="15.75" customHeight="1">
      <c r="A74" s="122"/>
      <c r="B74" s="123">
        <v>70.0</v>
      </c>
      <c r="C74" s="124" t="s">
        <v>142</v>
      </c>
      <c r="D74" s="124" t="s">
        <v>143</v>
      </c>
      <c r="E74" s="70" t="str">
        <f t="shared" si="2"/>
        <v>9번 중 9번 참여</v>
      </c>
      <c r="F74" s="71">
        <f t="shared" si="3"/>
        <v>1</v>
      </c>
      <c r="G74" s="126" t="s">
        <v>25</v>
      </c>
      <c r="H74" s="126" t="s">
        <v>25</v>
      </c>
      <c r="I74" s="126" t="s">
        <v>25</v>
      </c>
      <c r="J74" s="126" t="s">
        <v>25</v>
      </c>
      <c r="K74" s="126" t="s">
        <v>25</v>
      </c>
      <c r="L74" s="126" t="s">
        <v>25</v>
      </c>
      <c r="M74" s="126" t="s">
        <v>25</v>
      </c>
      <c r="N74" s="126" t="s">
        <v>25</v>
      </c>
      <c r="O74" s="126" t="s">
        <v>25</v>
      </c>
    </row>
    <row r="75" ht="15.75" customHeight="1">
      <c r="A75" s="122"/>
      <c r="B75" s="123">
        <v>71.0</v>
      </c>
      <c r="C75" s="124" t="s">
        <v>382</v>
      </c>
      <c r="D75" s="124" t="s">
        <v>383</v>
      </c>
      <c r="E75" s="70" t="str">
        <f t="shared" si="2"/>
        <v>9번 중 9번 참여</v>
      </c>
      <c r="F75" s="71">
        <f t="shared" si="3"/>
        <v>1</v>
      </c>
      <c r="G75" s="126" t="s">
        <v>25</v>
      </c>
      <c r="H75" s="126" t="s">
        <v>25</v>
      </c>
      <c r="I75" s="126" t="s">
        <v>25</v>
      </c>
      <c r="J75" s="126" t="s">
        <v>25</v>
      </c>
      <c r="K75" s="126" t="s">
        <v>25</v>
      </c>
      <c r="L75" s="126" t="s">
        <v>25</v>
      </c>
      <c r="M75" s="126" t="s">
        <v>25</v>
      </c>
      <c r="N75" s="126" t="s">
        <v>25</v>
      </c>
      <c r="O75" s="126" t="s">
        <v>25</v>
      </c>
    </row>
    <row r="76" ht="15.75" customHeight="1">
      <c r="A76" s="122"/>
      <c r="B76" s="123">
        <v>72.0</v>
      </c>
      <c r="C76" s="124" t="s">
        <v>286</v>
      </c>
      <c r="D76" s="124" t="s">
        <v>121</v>
      </c>
      <c r="E76" s="70" t="str">
        <f t="shared" si="2"/>
        <v>9번 중 9번 참여</v>
      </c>
      <c r="F76" s="71">
        <f t="shared" si="3"/>
        <v>1</v>
      </c>
      <c r="G76" s="126" t="s">
        <v>25</v>
      </c>
      <c r="H76" s="126" t="s">
        <v>25</v>
      </c>
      <c r="I76" s="126" t="s">
        <v>25</v>
      </c>
      <c r="J76" s="126" t="s">
        <v>25</v>
      </c>
      <c r="K76" s="126" t="s">
        <v>25</v>
      </c>
      <c r="L76" s="126" t="s">
        <v>25</v>
      </c>
      <c r="M76" s="126" t="s">
        <v>25</v>
      </c>
      <c r="N76" s="126" t="s">
        <v>25</v>
      </c>
      <c r="O76" s="126" t="s">
        <v>25</v>
      </c>
    </row>
    <row r="77" ht="15.75" customHeight="1">
      <c r="A77" s="122"/>
      <c r="B77" s="123">
        <v>73.0</v>
      </c>
      <c r="C77" s="124" t="s">
        <v>384</v>
      </c>
      <c r="D77" s="124" t="s">
        <v>385</v>
      </c>
      <c r="E77" s="70" t="str">
        <f t="shared" si="2"/>
        <v>9번 중 8번 참여</v>
      </c>
      <c r="F77" s="71">
        <f t="shared" si="3"/>
        <v>0.8888888889</v>
      </c>
      <c r="G77" s="126" t="s">
        <v>25</v>
      </c>
      <c r="H77" s="126" t="s">
        <v>25</v>
      </c>
      <c r="I77" s="126" t="s">
        <v>25</v>
      </c>
      <c r="J77" s="126" t="s">
        <v>25</v>
      </c>
      <c r="K77" s="126" t="s">
        <v>25</v>
      </c>
      <c r="L77" s="126" t="s">
        <v>25</v>
      </c>
      <c r="M77" s="126" t="s">
        <v>25</v>
      </c>
      <c r="N77" s="126" t="s">
        <v>25</v>
      </c>
      <c r="O77" s="126"/>
    </row>
    <row r="78" ht="15.75" customHeight="1">
      <c r="A78" s="122"/>
      <c r="B78" s="123">
        <v>74.0</v>
      </c>
      <c r="C78" s="129" t="s">
        <v>386</v>
      </c>
      <c r="D78" s="124" t="s">
        <v>387</v>
      </c>
      <c r="E78" s="70" t="str">
        <f t="shared" si="2"/>
        <v>9번 중 3번 참여</v>
      </c>
      <c r="F78" s="71">
        <f t="shared" si="3"/>
        <v>0.3333333333</v>
      </c>
      <c r="G78" s="126"/>
      <c r="H78" s="126" t="s">
        <v>25</v>
      </c>
      <c r="I78" s="126"/>
      <c r="J78" s="126"/>
      <c r="K78" s="126"/>
      <c r="L78" s="126"/>
      <c r="M78" s="126"/>
      <c r="N78" s="126" t="s">
        <v>25</v>
      </c>
      <c r="O78" s="126" t="s">
        <v>25</v>
      </c>
    </row>
    <row r="79" ht="15.75" customHeight="1">
      <c r="A79" s="122"/>
      <c r="B79" s="123">
        <v>75.0</v>
      </c>
      <c r="C79" s="124" t="s">
        <v>388</v>
      </c>
      <c r="D79" s="125" t="s">
        <v>389</v>
      </c>
      <c r="E79" s="70" t="str">
        <f t="shared" si="2"/>
        <v>9번 중 9번 참여</v>
      </c>
      <c r="F79" s="71">
        <f t="shared" si="3"/>
        <v>1</v>
      </c>
      <c r="G79" s="126" t="s">
        <v>25</v>
      </c>
      <c r="H79" s="126" t="s">
        <v>25</v>
      </c>
      <c r="I79" s="126" t="s">
        <v>25</v>
      </c>
      <c r="J79" s="126" t="s">
        <v>25</v>
      </c>
      <c r="K79" s="126" t="s">
        <v>25</v>
      </c>
      <c r="L79" s="126" t="s">
        <v>25</v>
      </c>
      <c r="M79" s="126" t="s">
        <v>25</v>
      </c>
      <c r="N79" s="126" t="s">
        <v>25</v>
      </c>
      <c r="O79" s="126" t="s">
        <v>25</v>
      </c>
    </row>
    <row r="80" ht="15.75" customHeight="1">
      <c r="A80" s="122"/>
      <c r="B80" s="123">
        <v>76.0</v>
      </c>
      <c r="C80" s="124" t="s">
        <v>99</v>
      </c>
      <c r="D80" s="124" t="s">
        <v>100</v>
      </c>
      <c r="E80" s="70" t="str">
        <f t="shared" si="2"/>
        <v>9번 중 8번 참여</v>
      </c>
      <c r="F80" s="71">
        <f t="shared" si="3"/>
        <v>0.8888888889</v>
      </c>
      <c r="G80" s="126"/>
      <c r="H80" s="126" t="s">
        <v>25</v>
      </c>
      <c r="I80" s="126" t="s">
        <v>25</v>
      </c>
      <c r="J80" s="126" t="s">
        <v>25</v>
      </c>
      <c r="K80" s="126" t="s">
        <v>25</v>
      </c>
      <c r="L80" s="126" t="s">
        <v>25</v>
      </c>
      <c r="M80" s="126" t="s">
        <v>25</v>
      </c>
      <c r="N80" s="126" t="s">
        <v>25</v>
      </c>
      <c r="O80" s="126" t="s">
        <v>25</v>
      </c>
    </row>
    <row r="81" ht="15.75" customHeight="1">
      <c r="A81" s="122"/>
      <c r="B81" s="123">
        <v>77.0</v>
      </c>
      <c r="C81" s="124" t="s">
        <v>390</v>
      </c>
      <c r="D81" s="124" t="s">
        <v>391</v>
      </c>
      <c r="E81" s="70" t="str">
        <f t="shared" si="2"/>
        <v>9번 중 8번 참여</v>
      </c>
      <c r="F81" s="71">
        <f t="shared" si="3"/>
        <v>0.8888888889</v>
      </c>
      <c r="G81" s="126" t="s">
        <v>25</v>
      </c>
      <c r="H81" s="126" t="s">
        <v>25</v>
      </c>
      <c r="I81" s="126" t="s">
        <v>25</v>
      </c>
      <c r="J81" s="126" t="s">
        <v>25</v>
      </c>
      <c r="K81" s="126" t="s">
        <v>25</v>
      </c>
      <c r="L81" s="126"/>
      <c r="M81" s="126" t="s">
        <v>25</v>
      </c>
      <c r="N81" s="126" t="s">
        <v>25</v>
      </c>
      <c r="O81" s="126" t="s">
        <v>25</v>
      </c>
    </row>
    <row r="82" ht="15.75" customHeight="1">
      <c r="A82" s="122"/>
      <c r="B82" s="123">
        <v>78.0</v>
      </c>
      <c r="C82" s="129" t="s">
        <v>392</v>
      </c>
      <c r="D82" s="124" t="s">
        <v>393</v>
      </c>
      <c r="E82" s="70" t="str">
        <f t="shared" si="2"/>
        <v/>
      </c>
      <c r="F82" s="71" t="str">
        <f t="shared" si="3"/>
        <v/>
      </c>
      <c r="G82" s="126"/>
      <c r="H82" s="126"/>
      <c r="I82" s="126"/>
      <c r="J82" s="126"/>
      <c r="K82" s="126"/>
      <c r="L82" s="126"/>
      <c r="M82" s="126"/>
      <c r="N82" s="126"/>
      <c r="O82" s="126"/>
    </row>
    <row r="83" ht="15.75" customHeight="1">
      <c r="A83" s="122"/>
      <c r="B83" s="123">
        <v>79.0</v>
      </c>
      <c r="C83" s="129" t="s">
        <v>394</v>
      </c>
      <c r="D83" s="124" t="s">
        <v>395</v>
      </c>
      <c r="E83" s="70" t="str">
        <f t="shared" si="2"/>
        <v>9번 중 2번 참여</v>
      </c>
      <c r="F83" s="71">
        <f t="shared" si="3"/>
        <v>0.2222222222</v>
      </c>
      <c r="G83" s="126" t="s">
        <v>25</v>
      </c>
      <c r="H83" s="126" t="s">
        <v>25</v>
      </c>
      <c r="I83" s="126"/>
      <c r="J83" s="126"/>
      <c r="K83" s="126"/>
      <c r="L83" s="126"/>
      <c r="M83" s="126"/>
      <c r="N83" s="126"/>
      <c r="O83" s="126"/>
    </row>
    <row r="84" ht="15.75" customHeight="1">
      <c r="A84" s="122"/>
      <c r="B84" s="123">
        <v>80.0</v>
      </c>
      <c r="C84" s="124" t="s">
        <v>58</v>
      </c>
      <c r="D84" s="124" t="s">
        <v>59</v>
      </c>
      <c r="E84" s="70" t="str">
        <f t="shared" si="2"/>
        <v>9번 중 8번 참여</v>
      </c>
      <c r="F84" s="71">
        <f t="shared" si="3"/>
        <v>0.8888888889</v>
      </c>
      <c r="G84" s="126" t="s">
        <v>25</v>
      </c>
      <c r="H84" s="126" t="s">
        <v>25</v>
      </c>
      <c r="I84" s="126" t="s">
        <v>25</v>
      </c>
      <c r="J84" s="126" t="s">
        <v>25</v>
      </c>
      <c r="K84" s="126" t="s">
        <v>25</v>
      </c>
      <c r="L84" s="126"/>
      <c r="M84" s="126" t="s">
        <v>25</v>
      </c>
      <c r="N84" s="126" t="s">
        <v>25</v>
      </c>
      <c r="O84" s="126" t="s">
        <v>25</v>
      </c>
    </row>
    <row r="85" ht="15.75" customHeight="1">
      <c r="A85" s="122"/>
      <c r="B85" s="123">
        <v>81.0</v>
      </c>
      <c r="C85" s="124" t="s">
        <v>62</v>
      </c>
      <c r="D85" s="124" t="s">
        <v>396</v>
      </c>
      <c r="E85" s="70" t="str">
        <f t="shared" si="2"/>
        <v>9번 중 9번 참여</v>
      </c>
      <c r="F85" s="71">
        <f t="shared" si="3"/>
        <v>1</v>
      </c>
      <c r="G85" s="126" t="s">
        <v>25</v>
      </c>
      <c r="H85" s="126" t="s">
        <v>25</v>
      </c>
      <c r="I85" s="126" t="s">
        <v>25</v>
      </c>
      <c r="J85" s="126" t="s">
        <v>25</v>
      </c>
      <c r="K85" s="126" t="s">
        <v>25</v>
      </c>
      <c r="L85" s="126" t="s">
        <v>25</v>
      </c>
      <c r="M85" s="126" t="s">
        <v>25</v>
      </c>
      <c r="N85" s="126" t="s">
        <v>25</v>
      </c>
      <c r="O85" s="126" t="s">
        <v>25</v>
      </c>
    </row>
    <row r="86" ht="15.75" customHeight="1">
      <c r="A86" s="122"/>
      <c r="B86" s="123">
        <v>82.0</v>
      </c>
      <c r="C86" s="124" t="s">
        <v>397</v>
      </c>
      <c r="D86" s="124" t="s">
        <v>398</v>
      </c>
      <c r="E86" s="70" t="str">
        <f t="shared" si="2"/>
        <v>9번 중 7번 참여</v>
      </c>
      <c r="F86" s="71">
        <f t="shared" si="3"/>
        <v>0.7777777778</v>
      </c>
      <c r="G86" s="126" t="s">
        <v>25</v>
      </c>
      <c r="H86" s="126" t="s">
        <v>25</v>
      </c>
      <c r="I86" s="126"/>
      <c r="J86" s="126" t="s">
        <v>25</v>
      </c>
      <c r="K86" s="126" t="s">
        <v>25</v>
      </c>
      <c r="L86" s="126" t="s">
        <v>80</v>
      </c>
      <c r="M86" s="126" t="s">
        <v>25</v>
      </c>
      <c r="N86" s="126" t="s">
        <v>25</v>
      </c>
      <c r="O86" s="126" t="s">
        <v>25</v>
      </c>
    </row>
    <row r="87" ht="15.75" customHeight="1">
      <c r="A87" s="122"/>
      <c r="B87" s="123">
        <v>83.0</v>
      </c>
      <c r="C87" s="124" t="s">
        <v>172</v>
      </c>
      <c r="D87" s="124" t="s">
        <v>399</v>
      </c>
      <c r="E87" s="70" t="str">
        <f t="shared" si="2"/>
        <v>9번 중 9번 참여</v>
      </c>
      <c r="F87" s="71">
        <f t="shared" si="3"/>
        <v>1</v>
      </c>
      <c r="G87" s="126" t="s">
        <v>25</v>
      </c>
      <c r="H87" s="126" t="s">
        <v>25</v>
      </c>
      <c r="I87" s="126" t="s">
        <v>25</v>
      </c>
      <c r="J87" s="126" t="s">
        <v>25</v>
      </c>
      <c r="K87" s="126" t="s">
        <v>25</v>
      </c>
      <c r="L87" s="126" t="s">
        <v>25</v>
      </c>
      <c r="M87" s="126" t="s">
        <v>25</v>
      </c>
      <c r="N87" s="126" t="s">
        <v>25</v>
      </c>
      <c r="O87" s="126" t="s">
        <v>25</v>
      </c>
    </row>
    <row r="88" ht="15.75" customHeight="1">
      <c r="A88" s="122"/>
      <c r="B88" s="123">
        <v>84.0</v>
      </c>
      <c r="C88" s="124" t="s">
        <v>66</v>
      </c>
      <c r="D88" s="124" t="s">
        <v>67</v>
      </c>
      <c r="E88" s="70" t="str">
        <f t="shared" si="2"/>
        <v>9번 중 8번 참여</v>
      </c>
      <c r="F88" s="71">
        <f t="shared" si="3"/>
        <v>0.8888888889</v>
      </c>
      <c r="G88" s="126" t="s">
        <v>25</v>
      </c>
      <c r="H88" s="126" t="s">
        <v>25</v>
      </c>
      <c r="I88" s="126" t="s">
        <v>25</v>
      </c>
      <c r="J88" s="126"/>
      <c r="K88" s="126" t="s">
        <v>25</v>
      </c>
      <c r="L88" s="126" t="s">
        <v>25</v>
      </c>
      <c r="M88" s="126" t="s">
        <v>25</v>
      </c>
      <c r="N88" s="126" t="s">
        <v>25</v>
      </c>
      <c r="O88" s="126" t="s">
        <v>25</v>
      </c>
    </row>
    <row r="89" ht="15.75" customHeight="1">
      <c r="A89" s="122"/>
      <c r="B89" s="123">
        <v>85.0</v>
      </c>
      <c r="C89" s="124" t="s">
        <v>154</v>
      </c>
      <c r="D89" s="124" t="s">
        <v>155</v>
      </c>
      <c r="E89" s="70" t="str">
        <f t="shared" si="2"/>
        <v>9번 중 9번 참여</v>
      </c>
      <c r="F89" s="71">
        <f t="shared" si="3"/>
        <v>1</v>
      </c>
      <c r="G89" s="126" t="s">
        <v>25</v>
      </c>
      <c r="H89" s="126" t="s">
        <v>25</v>
      </c>
      <c r="I89" s="126" t="s">
        <v>25</v>
      </c>
      <c r="J89" s="126" t="s">
        <v>25</v>
      </c>
      <c r="K89" s="126" t="s">
        <v>25</v>
      </c>
      <c r="L89" s="126" t="s">
        <v>25</v>
      </c>
      <c r="M89" s="126" t="s">
        <v>25</v>
      </c>
      <c r="N89" s="126" t="s">
        <v>25</v>
      </c>
      <c r="O89" s="126" t="s">
        <v>25</v>
      </c>
    </row>
    <row r="90" ht="15.75" customHeight="1">
      <c r="A90" s="122"/>
      <c r="B90" s="123">
        <v>86.0</v>
      </c>
      <c r="C90" s="124" t="s">
        <v>170</v>
      </c>
      <c r="D90" s="124" t="s">
        <v>400</v>
      </c>
      <c r="E90" s="70" t="str">
        <f t="shared" si="2"/>
        <v>9번 중 9번 참여</v>
      </c>
      <c r="F90" s="71">
        <f t="shared" si="3"/>
        <v>1</v>
      </c>
      <c r="G90" s="126" t="s">
        <v>25</v>
      </c>
      <c r="H90" s="126" t="s">
        <v>25</v>
      </c>
      <c r="I90" s="126" t="s">
        <v>25</v>
      </c>
      <c r="J90" s="126" t="s">
        <v>25</v>
      </c>
      <c r="K90" s="126" t="s">
        <v>25</v>
      </c>
      <c r="L90" s="126" t="s">
        <v>25</v>
      </c>
      <c r="M90" s="126" t="s">
        <v>25</v>
      </c>
      <c r="N90" s="126" t="s">
        <v>25</v>
      </c>
      <c r="O90" s="126" t="s">
        <v>25</v>
      </c>
    </row>
    <row r="91" ht="15.75" customHeight="1">
      <c r="A91" s="136" t="s">
        <v>401</v>
      </c>
      <c r="B91" s="123">
        <v>87.0</v>
      </c>
      <c r="C91" s="124" t="s">
        <v>28</v>
      </c>
      <c r="D91" s="124" t="s">
        <v>70</v>
      </c>
      <c r="E91" s="70" t="str">
        <f t="shared" si="2"/>
        <v>9번 중 9번 참여</v>
      </c>
      <c r="F91" s="71">
        <f t="shared" si="3"/>
        <v>1</v>
      </c>
      <c r="G91" s="126" t="s">
        <v>25</v>
      </c>
      <c r="H91" s="126" t="s">
        <v>25</v>
      </c>
      <c r="I91" s="126" t="s">
        <v>25</v>
      </c>
      <c r="J91" s="126" t="s">
        <v>25</v>
      </c>
      <c r="K91" s="126" t="s">
        <v>25</v>
      </c>
      <c r="L91" s="126" t="s">
        <v>25</v>
      </c>
      <c r="M91" s="126" t="s">
        <v>25</v>
      </c>
      <c r="N91" s="126" t="s">
        <v>25</v>
      </c>
      <c r="O91" s="126" t="s">
        <v>25</v>
      </c>
    </row>
    <row r="92" ht="15.75" customHeight="1">
      <c r="A92" s="122"/>
      <c r="B92" s="123">
        <v>88.0</v>
      </c>
      <c r="C92" s="124"/>
      <c r="D92" s="124"/>
      <c r="E92" s="70" t="str">
        <f t="shared" si="2"/>
        <v/>
      </c>
      <c r="F92" s="71" t="str">
        <f t="shared" si="3"/>
        <v/>
      </c>
      <c r="G92" s="126"/>
      <c r="H92" s="126"/>
      <c r="I92" s="126"/>
      <c r="J92" s="126"/>
      <c r="K92" s="126"/>
      <c r="L92" s="126"/>
      <c r="M92" s="126"/>
      <c r="N92" s="126"/>
      <c r="O92" s="126"/>
    </row>
    <row r="93" ht="15.75" customHeight="1">
      <c r="A93" s="122"/>
      <c r="B93" s="123">
        <v>89.0</v>
      </c>
      <c r="C93" s="137"/>
      <c r="D93" s="137"/>
      <c r="E93" s="70" t="str">
        <f t="shared" si="2"/>
        <v/>
      </c>
      <c r="F93" s="71" t="str">
        <f t="shared" si="3"/>
        <v/>
      </c>
      <c r="G93" s="126"/>
      <c r="H93" s="126"/>
      <c r="I93" s="126"/>
      <c r="J93" s="126"/>
      <c r="K93" s="126"/>
      <c r="L93" s="126"/>
      <c r="M93" s="126"/>
      <c r="N93" s="126"/>
      <c r="O93" s="126"/>
    </row>
    <row r="94" ht="15.75" customHeight="1">
      <c r="A94" s="122"/>
      <c r="B94" s="123">
        <v>90.0</v>
      </c>
      <c r="C94" s="137"/>
      <c r="D94" s="137"/>
      <c r="E94" s="70" t="str">
        <f t="shared" si="2"/>
        <v/>
      </c>
      <c r="F94" s="71" t="str">
        <f t="shared" si="3"/>
        <v/>
      </c>
      <c r="G94" s="126"/>
      <c r="H94" s="126"/>
      <c r="I94" s="126"/>
      <c r="J94" s="126"/>
      <c r="K94" s="126"/>
      <c r="L94" s="126"/>
      <c r="M94" s="126"/>
      <c r="N94" s="126"/>
      <c r="O94" s="126"/>
    </row>
    <row r="95" ht="15.75" customHeight="1">
      <c r="A95" s="122"/>
      <c r="B95" s="123">
        <v>91.0</v>
      </c>
      <c r="C95" s="137"/>
      <c r="D95" s="137"/>
      <c r="E95" s="70" t="str">
        <f t="shared" si="2"/>
        <v/>
      </c>
      <c r="F95" s="71" t="str">
        <f t="shared" si="3"/>
        <v/>
      </c>
      <c r="G95" s="126"/>
      <c r="H95" s="126"/>
      <c r="I95" s="126"/>
      <c r="J95" s="126"/>
      <c r="K95" s="126"/>
      <c r="L95" s="126"/>
      <c r="M95" s="126"/>
      <c r="N95" s="126"/>
      <c r="O95" s="126"/>
    </row>
    <row r="96" ht="15.75" customHeight="1">
      <c r="A96" s="122"/>
      <c r="B96" s="123">
        <v>92.0</v>
      </c>
      <c r="C96" s="137"/>
      <c r="D96" s="137"/>
      <c r="E96" s="70" t="str">
        <f t="shared" si="2"/>
        <v/>
      </c>
      <c r="F96" s="71" t="str">
        <f t="shared" si="3"/>
        <v/>
      </c>
      <c r="G96" s="126"/>
      <c r="H96" s="126"/>
      <c r="I96" s="126"/>
      <c r="J96" s="126"/>
      <c r="K96" s="126"/>
      <c r="L96" s="126"/>
      <c r="M96" s="126"/>
      <c r="N96" s="126"/>
      <c r="O96" s="126"/>
    </row>
    <row r="97" ht="15.75" customHeight="1">
      <c r="A97" s="122"/>
      <c r="B97" s="123">
        <v>93.0</v>
      </c>
      <c r="C97" s="137"/>
      <c r="D97" s="137"/>
      <c r="E97" s="70" t="str">
        <f t="shared" si="2"/>
        <v/>
      </c>
      <c r="F97" s="71" t="str">
        <f t="shared" si="3"/>
        <v/>
      </c>
      <c r="G97" s="126"/>
      <c r="H97" s="126"/>
      <c r="I97" s="126"/>
      <c r="J97" s="126"/>
      <c r="K97" s="126"/>
      <c r="L97" s="126"/>
      <c r="M97" s="126"/>
      <c r="N97" s="126"/>
      <c r="O97" s="126"/>
    </row>
    <row r="98" ht="15.75" customHeight="1">
      <c r="A98" s="122"/>
      <c r="B98" s="123">
        <v>94.0</v>
      </c>
      <c r="C98" s="137"/>
      <c r="D98" s="137"/>
      <c r="E98" s="70" t="str">
        <f t="shared" si="2"/>
        <v/>
      </c>
      <c r="F98" s="71" t="str">
        <f t="shared" si="3"/>
        <v/>
      </c>
      <c r="G98" s="126"/>
      <c r="H98" s="126"/>
      <c r="I98" s="126"/>
      <c r="J98" s="126"/>
      <c r="K98" s="126"/>
      <c r="L98" s="126"/>
      <c r="M98" s="126"/>
      <c r="N98" s="126"/>
      <c r="O98" s="126"/>
    </row>
    <row r="99" ht="15.75" customHeight="1">
      <c r="A99" s="122"/>
      <c r="B99" s="123">
        <v>95.0</v>
      </c>
      <c r="C99" s="137"/>
      <c r="D99" s="137"/>
      <c r="E99" s="70" t="str">
        <f t="shared" si="2"/>
        <v/>
      </c>
      <c r="F99" s="71" t="str">
        <f t="shared" si="3"/>
        <v/>
      </c>
      <c r="G99" s="126"/>
      <c r="H99" s="126"/>
      <c r="I99" s="126"/>
      <c r="J99" s="126"/>
      <c r="K99" s="126"/>
      <c r="L99" s="126"/>
      <c r="M99" s="126"/>
      <c r="N99" s="126"/>
      <c r="O99" s="126"/>
    </row>
    <row r="100" ht="15.75" customHeight="1">
      <c r="A100" s="122"/>
      <c r="B100" s="123">
        <v>96.0</v>
      </c>
      <c r="C100" s="137"/>
      <c r="D100" s="137"/>
      <c r="E100" s="70" t="str">
        <f t="shared" si="2"/>
        <v/>
      </c>
      <c r="F100" s="71" t="str">
        <f t="shared" si="3"/>
        <v/>
      </c>
      <c r="G100" s="126"/>
      <c r="H100" s="126"/>
      <c r="I100" s="126"/>
      <c r="J100" s="126"/>
      <c r="K100" s="126"/>
      <c r="L100" s="126"/>
      <c r="M100" s="126"/>
      <c r="N100" s="126"/>
      <c r="O100" s="126"/>
    </row>
    <row r="101" ht="15.75" customHeight="1">
      <c r="A101" s="122"/>
      <c r="B101" s="123">
        <v>97.0</v>
      </c>
      <c r="C101" s="137"/>
      <c r="D101" s="137"/>
      <c r="E101" s="70" t="str">
        <f t="shared" si="2"/>
        <v/>
      </c>
      <c r="F101" s="71" t="str">
        <f t="shared" si="3"/>
        <v/>
      </c>
      <c r="G101" s="126"/>
      <c r="H101" s="126"/>
      <c r="I101" s="126"/>
      <c r="J101" s="126"/>
      <c r="K101" s="126"/>
      <c r="L101" s="126"/>
      <c r="M101" s="126"/>
      <c r="N101" s="126"/>
      <c r="O101" s="126"/>
    </row>
    <row r="102" ht="15.75" customHeight="1">
      <c r="A102" s="122"/>
      <c r="B102" s="123">
        <v>98.0</v>
      </c>
      <c r="C102" s="137"/>
      <c r="D102" s="137"/>
      <c r="E102" s="70" t="str">
        <f t="shared" si="2"/>
        <v/>
      </c>
      <c r="F102" s="71" t="str">
        <f t="shared" si="3"/>
        <v/>
      </c>
      <c r="G102" s="126"/>
      <c r="H102" s="126"/>
      <c r="I102" s="126"/>
      <c r="J102" s="126"/>
      <c r="K102" s="126"/>
      <c r="L102" s="126"/>
      <c r="M102" s="126"/>
      <c r="N102" s="126"/>
      <c r="O102" s="126"/>
    </row>
    <row r="103" ht="15.75" customHeight="1">
      <c r="A103" s="122"/>
      <c r="B103" s="123">
        <v>99.0</v>
      </c>
      <c r="C103" s="137"/>
      <c r="D103" s="137"/>
      <c r="E103" s="70" t="str">
        <f t="shared" si="2"/>
        <v/>
      </c>
      <c r="F103" s="71" t="str">
        <f t="shared" si="3"/>
        <v/>
      </c>
      <c r="G103" s="126"/>
      <c r="H103" s="126"/>
      <c r="I103" s="126"/>
      <c r="J103" s="126"/>
      <c r="K103" s="126"/>
      <c r="L103" s="126"/>
      <c r="M103" s="126"/>
      <c r="N103" s="126"/>
      <c r="O103" s="126"/>
    </row>
    <row r="104" ht="15.75" customHeight="1">
      <c r="A104" s="122"/>
      <c r="B104" s="123">
        <v>100.0</v>
      </c>
      <c r="C104" s="137"/>
      <c r="D104" s="137"/>
      <c r="E104" s="70" t="str">
        <f t="shared" si="2"/>
        <v/>
      </c>
      <c r="F104" s="71" t="str">
        <f t="shared" si="3"/>
        <v/>
      </c>
      <c r="G104" s="126"/>
      <c r="H104" s="126"/>
      <c r="I104" s="126"/>
      <c r="J104" s="126"/>
      <c r="K104" s="126"/>
      <c r="L104" s="126"/>
      <c r="M104" s="126"/>
      <c r="N104" s="126"/>
      <c r="O104" s="126"/>
    </row>
    <row r="105" ht="15.75" customHeight="1">
      <c r="A105" s="122"/>
      <c r="B105" s="123">
        <v>101.0</v>
      </c>
      <c r="C105" s="137"/>
      <c r="D105" s="137"/>
      <c r="E105" s="70" t="str">
        <f t="shared" si="2"/>
        <v/>
      </c>
      <c r="F105" s="71" t="str">
        <f t="shared" si="3"/>
        <v/>
      </c>
      <c r="G105" s="126"/>
      <c r="H105" s="126"/>
      <c r="I105" s="126"/>
      <c r="J105" s="126"/>
      <c r="K105" s="126"/>
      <c r="L105" s="126"/>
      <c r="M105" s="126"/>
      <c r="N105" s="126"/>
      <c r="O105" s="126"/>
    </row>
    <row r="106" ht="15.75" customHeight="1">
      <c r="A106" s="122"/>
      <c r="B106" s="123">
        <v>102.0</v>
      </c>
      <c r="C106" s="137"/>
      <c r="D106" s="137"/>
      <c r="E106" s="70" t="str">
        <f t="shared" si="2"/>
        <v/>
      </c>
      <c r="F106" s="71" t="str">
        <f t="shared" si="3"/>
        <v/>
      </c>
      <c r="G106" s="126"/>
      <c r="H106" s="126"/>
      <c r="I106" s="126"/>
      <c r="J106" s="126"/>
      <c r="K106" s="126"/>
      <c r="L106" s="126"/>
      <c r="M106" s="126"/>
      <c r="N106" s="126"/>
      <c r="O106" s="126"/>
    </row>
    <row r="107" ht="15.75" customHeight="1">
      <c r="A107" s="122"/>
      <c r="B107" s="123">
        <v>103.0</v>
      </c>
      <c r="C107" s="137"/>
      <c r="D107" s="137"/>
      <c r="E107" s="70" t="str">
        <f t="shared" si="2"/>
        <v/>
      </c>
      <c r="F107" s="71" t="str">
        <f t="shared" si="3"/>
        <v/>
      </c>
      <c r="G107" s="126"/>
      <c r="H107" s="126"/>
      <c r="I107" s="126"/>
      <c r="J107" s="126"/>
      <c r="K107" s="126"/>
      <c r="L107" s="126"/>
      <c r="M107" s="126"/>
      <c r="N107" s="126"/>
      <c r="O107" s="126"/>
    </row>
    <row r="108" ht="15.75" customHeight="1">
      <c r="A108" s="122"/>
      <c r="B108" s="123">
        <v>104.0</v>
      </c>
      <c r="C108" s="137"/>
      <c r="D108" s="137"/>
      <c r="E108" s="70" t="str">
        <f t="shared" si="2"/>
        <v/>
      </c>
      <c r="F108" s="71" t="str">
        <f t="shared" si="3"/>
        <v/>
      </c>
      <c r="G108" s="126"/>
      <c r="H108" s="126"/>
      <c r="I108" s="126"/>
      <c r="J108" s="126"/>
      <c r="K108" s="126"/>
      <c r="L108" s="126"/>
      <c r="M108" s="126"/>
      <c r="N108" s="126"/>
      <c r="O108" s="126"/>
    </row>
    <row r="109" ht="15.75" customHeight="1">
      <c r="A109" s="122"/>
      <c r="B109" s="123">
        <v>105.0</v>
      </c>
      <c r="C109" s="137"/>
      <c r="D109" s="137"/>
      <c r="E109" s="70" t="str">
        <f t="shared" si="2"/>
        <v/>
      </c>
      <c r="F109" s="71" t="str">
        <f t="shared" si="3"/>
        <v/>
      </c>
      <c r="G109" s="126"/>
      <c r="H109" s="126"/>
      <c r="I109" s="126"/>
      <c r="J109" s="126"/>
      <c r="K109" s="126"/>
      <c r="L109" s="126"/>
      <c r="M109" s="126"/>
      <c r="N109" s="126"/>
      <c r="O109" s="126"/>
    </row>
    <row r="110" ht="15.75" customHeight="1">
      <c r="A110" s="122"/>
      <c r="B110" s="123">
        <v>106.0</v>
      </c>
      <c r="C110" s="137"/>
      <c r="D110" s="137"/>
      <c r="E110" s="70" t="str">
        <f t="shared" si="2"/>
        <v/>
      </c>
      <c r="F110" s="71" t="str">
        <f t="shared" si="3"/>
        <v/>
      </c>
      <c r="G110" s="126"/>
      <c r="H110" s="126"/>
      <c r="I110" s="126"/>
      <c r="J110" s="126"/>
      <c r="K110" s="126"/>
      <c r="L110" s="126"/>
      <c r="M110" s="126"/>
      <c r="N110" s="126"/>
      <c r="O110" s="126"/>
    </row>
    <row r="111" ht="15.75" customHeight="1">
      <c r="A111" s="122"/>
      <c r="B111" s="123">
        <v>107.0</v>
      </c>
      <c r="C111" s="137"/>
      <c r="D111" s="137"/>
      <c r="E111" s="70" t="str">
        <f t="shared" si="2"/>
        <v/>
      </c>
      <c r="F111" s="71" t="str">
        <f t="shared" si="3"/>
        <v/>
      </c>
      <c r="G111" s="126"/>
      <c r="H111" s="126"/>
      <c r="I111" s="126"/>
      <c r="J111" s="126"/>
      <c r="K111" s="126"/>
      <c r="L111" s="126"/>
      <c r="M111" s="126"/>
      <c r="N111" s="126"/>
      <c r="O111" s="126"/>
    </row>
    <row r="112" ht="15.75" customHeight="1">
      <c r="A112" s="122"/>
      <c r="B112" s="123">
        <v>108.0</v>
      </c>
      <c r="C112" s="137"/>
      <c r="D112" s="137"/>
      <c r="E112" s="70" t="str">
        <f t="shared" si="2"/>
        <v/>
      </c>
      <c r="F112" s="71" t="str">
        <f t="shared" si="3"/>
        <v/>
      </c>
      <c r="G112" s="126"/>
      <c r="H112" s="126"/>
      <c r="I112" s="126"/>
      <c r="J112" s="126"/>
      <c r="K112" s="126"/>
      <c r="L112" s="126"/>
      <c r="M112" s="126"/>
      <c r="N112" s="126"/>
      <c r="O112" s="126"/>
    </row>
    <row r="113" ht="15.75" customHeight="1">
      <c r="A113" s="122"/>
      <c r="B113" s="123">
        <v>109.0</v>
      </c>
      <c r="C113" s="137"/>
      <c r="D113" s="137"/>
      <c r="E113" s="70" t="str">
        <f t="shared" si="2"/>
        <v/>
      </c>
      <c r="F113" s="71" t="str">
        <f t="shared" si="3"/>
        <v/>
      </c>
      <c r="G113" s="126"/>
      <c r="H113" s="126"/>
      <c r="I113" s="126"/>
      <c r="J113" s="126"/>
      <c r="K113" s="126"/>
      <c r="L113" s="126"/>
      <c r="M113" s="126"/>
      <c r="N113" s="126"/>
      <c r="O113" s="126"/>
    </row>
    <row r="114" ht="15.75" customHeight="1">
      <c r="A114" s="122"/>
      <c r="B114" s="123">
        <v>110.0</v>
      </c>
      <c r="C114" s="137"/>
      <c r="D114" s="137"/>
      <c r="E114" s="70" t="str">
        <f t="shared" si="2"/>
        <v/>
      </c>
      <c r="F114" s="71" t="str">
        <f t="shared" si="3"/>
        <v/>
      </c>
      <c r="G114" s="126"/>
      <c r="H114" s="126"/>
      <c r="I114" s="126"/>
      <c r="J114" s="126"/>
      <c r="K114" s="126"/>
      <c r="L114" s="126"/>
      <c r="M114" s="126"/>
      <c r="N114" s="126"/>
      <c r="O114" s="126"/>
    </row>
    <row r="115" ht="15.75" customHeight="1">
      <c r="A115" s="122"/>
      <c r="B115" s="123">
        <v>111.0</v>
      </c>
      <c r="C115" s="137"/>
      <c r="D115" s="137"/>
      <c r="E115" s="70" t="str">
        <f t="shared" si="2"/>
        <v/>
      </c>
      <c r="F115" s="71" t="str">
        <f t="shared" si="3"/>
        <v/>
      </c>
      <c r="G115" s="126"/>
      <c r="H115" s="126"/>
      <c r="I115" s="126"/>
      <c r="J115" s="126"/>
      <c r="K115" s="126"/>
      <c r="L115" s="126"/>
      <c r="M115" s="126"/>
      <c r="N115" s="126"/>
      <c r="O115" s="126"/>
    </row>
    <row r="116" ht="15.75" customHeight="1">
      <c r="A116" s="122"/>
      <c r="B116" s="123">
        <v>112.0</v>
      </c>
      <c r="C116" s="137"/>
      <c r="D116" s="137"/>
      <c r="E116" s="70" t="str">
        <f t="shared" si="2"/>
        <v/>
      </c>
      <c r="F116" s="71" t="str">
        <f t="shared" si="3"/>
        <v/>
      </c>
      <c r="G116" s="126"/>
      <c r="H116" s="126"/>
      <c r="I116" s="126"/>
      <c r="J116" s="126"/>
      <c r="K116" s="126"/>
      <c r="L116" s="126"/>
      <c r="M116" s="126"/>
      <c r="N116" s="126"/>
      <c r="O116" s="126"/>
    </row>
    <row r="117" ht="15.75" customHeight="1">
      <c r="A117" s="122"/>
      <c r="B117" s="123">
        <v>113.0</v>
      </c>
      <c r="C117" s="137"/>
      <c r="D117" s="137"/>
      <c r="E117" s="70" t="str">
        <f t="shared" si="2"/>
        <v/>
      </c>
      <c r="F117" s="71" t="str">
        <f t="shared" si="3"/>
        <v/>
      </c>
      <c r="G117" s="126"/>
      <c r="H117" s="126"/>
      <c r="I117" s="126"/>
      <c r="J117" s="126"/>
      <c r="K117" s="126"/>
      <c r="L117" s="126"/>
      <c r="M117" s="126"/>
      <c r="N117" s="126"/>
      <c r="O117" s="126"/>
    </row>
    <row r="118" ht="15.75" customHeight="1">
      <c r="A118" s="122"/>
      <c r="B118" s="123">
        <v>114.0</v>
      </c>
      <c r="C118" s="137"/>
      <c r="D118" s="137"/>
      <c r="E118" s="70" t="str">
        <f t="shared" si="2"/>
        <v/>
      </c>
      <c r="F118" s="71" t="str">
        <f t="shared" si="3"/>
        <v/>
      </c>
      <c r="G118" s="126"/>
      <c r="H118" s="126"/>
      <c r="I118" s="126"/>
      <c r="J118" s="126"/>
      <c r="K118" s="126"/>
      <c r="L118" s="126"/>
      <c r="M118" s="126"/>
      <c r="N118" s="126"/>
      <c r="O118" s="126"/>
    </row>
    <row r="119" ht="15.75" customHeight="1">
      <c r="A119" s="122"/>
      <c r="B119" s="123">
        <v>115.0</v>
      </c>
      <c r="C119" s="137"/>
      <c r="D119" s="137"/>
      <c r="E119" s="70" t="str">
        <f t="shared" si="2"/>
        <v/>
      </c>
      <c r="F119" s="71" t="str">
        <f t="shared" si="3"/>
        <v/>
      </c>
      <c r="G119" s="126"/>
      <c r="H119" s="126"/>
      <c r="I119" s="126"/>
      <c r="J119" s="126"/>
      <c r="K119" s="126"/>
      <c r="L119" s="126"/>
      <c r="M119" s="126"/>
      <c r="N119" s="126"/>
      <c r="O119" s="126"/>
    </row>
    <row r="120" ht="15.75" customHeight="1">
      <c r="A120" s="122"/>
      <c r="B120" s="123">
        <v>116.0</v>
      </c>
      <c r="C120" s="137"/>
      <c r="D120" s="137"/>
      <c r="E120" s="70" t="str">
        <f t="shared" si="2"/>
        <v/>
      </c>
      <c r="F120" s="71" t="str">
        <f t="shared" si="3"/>
        <v/>
      </c>
      <c r="G120" s="126"/>
      <c r="H120" s="126"/>
      <c r="I120" s="126"/>
      <c r="J120" s="126"/>
      <c r="K120" s="126"/>
      <c r="L120" s="126"/>
      <c r="M120" s="126"/>
      <c r="N120" s="126"/>
      <c r="O120" s="126"/>
    </row>
    <row r="121" ht="15.75" customHeight="1">
      <c r="A121" s="122"/>
      <c r="B121" s="123">
        <v>117.0</v>
      </c>
      <c r="C121" s="137"/>
      <c r="D121" s="137"/>
      <c r="E121" s="70" t="str">
        <f t="shared" si="2"/>
        <v/>
      </c>
      <c r="F121" s="71" t="str">
        <f t="shared" si="3"/>
        <v/>
      </c>
      <c r="G121" s="126"/>
      <c r="H121" s="126"/>
      <c r="I121" s="126"/>
      <c r="J121" s="126"/>
      <c r="K121" s="126"/>
      <c r="L121" s="126"/>
      <c r="M121" s="126"/>
      <c r="N121" s="126"/>
      <c r="O121" s="126"/>
    </row>
    <row r="122" ht="15.75" customHeight="1">
      <c r="A122" s="138"/>
      <c r="B122" s="139">
        <v>118.0</v>
      </c>
      <c r="C122" s="140"/>
      <c r="D122" s="140"/>
      <c r="E122" s="92" t="str">
        <f t="shared" si="2"/>
        <v/>
      </c>
      <c r="F122" s="93" t="str">
        <f t="shared" si="3"/>
        <v/>
      </c>
      <c r="G122" s="141"/>
      <c r="H122" s="141"/>
      <c r="I122" s="141"/>
      <c r="J122" s="141"/>
      <c r="K122" s="141"/>
      <c r="L122" s="141"/>
      <c r="M122" s="141"/>
      <c r="N122" s="141"/>
      <c r="O122" s="141"/>
    </row>
    <row r="123" ht="15.75" customHeight="1">
      <c r="A123" s="138"/>
      <c r="B123" s="139">
        <v>119.0</v>
      </c>
      <c r="C123" s="140"/>
      <c r="D123" s="140"/>
      <c r="E123" s="92" t="str">
        <f t="shared" si="2"/>
        <v/>
      </c>
      <c r="F123" s="93" t="str">
        <f t="shared" si="3"/>
        <v/>
      </c>
      <c r="G123" s="141"/>
      <c r="H123" s="141"/>
      <c r="I123" s="141"/>
      <c r="J123" s="141"/>
      <c r="K123" s="141"/>
      <c r="L123" s="141"/>
      <c r="M123" s="141"/>
      <c r="N123" s="141"/>
      <c r="O123" s="141"/>
    </row>
    <row r="124" ht="15.75" customHeight="1">
      <c r="A124" s="138"/>
      <c r="B124" s="139">
        <v>120.0</v>
      </c>
      <c r="C124" s="140"/>
      <c r="D124" s="140"/>
      <c r="E124" s="92" t="str">
        <f t="shared" si="2"/>
        <v/>
      </c>
      <c r="F124" s="93" t="str">
        <f t="shared" si="3"/>
        <v/>
      </c>
      <c r="G124" s="141"/>
      <c r="H124" s="141"/>
      <c r="I124" s="141"/>
      <c r="J124" s="141"/>
      <c r="K124" s="141"/>
      <c r="L124" s="141"/>
      <c r="M124" s="141"/>
      <c r="N124" s="141"/>
      <c r="O124" s="141"/>
    </row>
    <row r="125" ht="15.75" customHeight="1">
      <c r="A125" s="142"/>
      <c r="B125" s="142"/>
      <c r="C125" s="142"/>
      <c r="D125" s="142"/>
      <c r="E125" s="143"/>
      <c r="F125" s="143"/>
      <c r="G125" s="142"/>
      <c r="H125" s="142"/>
      <c r="I125" s="142"/>
      <c r="J125" s="142"/>
      <c r="K125" s="142"/>
      <c r="L125" s="142"/>
      <c r="M125" s="142"/>
      <c r="N125" s="142"/>
      <c r="O125" s="142"/>
    </row>
    <row r="126" ht="15.75" customHeight="1">
      <c r="A126" s="142"/>
      <c r="B126" s="142"/>
      <c r="C126" s="142"/>
      <c r="D126" s="142"/>
      <c r="E126" s="143"/>
      <c r="F126" s="143"/>
      <c r="G126" s="142"/>
      <c r="H126" s="142"/>
      <c r="I126" s="142"/>
      <c r="J126" s="142"/>
      <c r="K126" s="142"/>
      <c r="L126" s="142"/>
      <c r="M126" s="142"/>
      <c r="N126" s="142"/>
      <c r="O126" s="142"/>
    </row>
    <row r="127" ht="15.75" customHeight="1">
      <c r="A127" s="142"/>
      <c r="B127" s="142"/>
      <c r="C127" s="142"/>
      <c r="D127" s="142"/>
      <c r="E127" s="143"/>
      <c r="F127" s="143"/>
      <c r="G127" s="142"/>
      <c r="H127" s="142"/>
      <c r="I127" s="142"/>
      <c r="J127" s="142"/>
      <c r="K127" s="142"/>
      <c r="L127" s="142"/>
      <c r="M127" s="142"/>
      <c r="N127" s="142"/>
      <c r="O127" s="142"/>
    </row>
    <row r="128" ht="15.75" customHeight="1">
      <c r="A128" s="142"/>
      <c r="B128" s="142"/>
      <c r="C128" s="142"/>
      <c r="D128" s="142"/>
      <c r="E128" s="143"/>
      <c r="F128" s="143"/>
      <c r="G128" s="142"/>
      <c r="H128" s="142"/>
      <c r="I128" s="142"/>
      <c r="J128" s="142"/>
      <c r="K128" s="142"/>
      <c r="L128" s="142"/>
      <c r="M128" s="142"/>
      <c r="N128" s="142"/>
      <c r="O128" s="142"/>
    </row>
    <row r="129" ht="15.75" customHeight="1">
      <c r="A129" s="142"/>
      <c r="B129" s="142"/>
      <c r="C129" s="142"/>
      <c r="D129" s="142"/>
      <c r="E129" s="143"/>
      <c r="F129" s="143"/>
      <c r="G129" s="142"/>
      <c r="H129" s="142"/>
      <c r="I129" s="142"/>
      <c r="J129" s="142"/>
      <c r="K129" s="142"/>
      <c r="L129" s="142"/>
      <c r="M129" s="142"/>
      <c r="N129" s="142"/>
      <c r="O129" s="142"/>
    </row>
    <row r="130" ht="15.75" customHeight="1">
      <c r="A130" s="142"/>
      <c r="B130" s="142"/>
      <c r="C130" s="142"/>
      <c r="D130" s="142"/>
      <c r="E130" s="143"/>
      <c r="F130" s="143"/>
      <c r="G130" s="142"/>
      <c r="H130" s="142"/>
      <c r="I130" s="142"/>
      <c r="J130" s="142"/>
      <c r="K130" s="142"/>
      <c r="L130" s="142"/>
      <c r="M130" s="142"/>
      <c r="N130" s="142"/>
      <c r="O130" s="142"/>
    </row>
    <row r="131" ht="15.75" customHeight="1">
      <c r="A131" s="142"/>
      <c r="B131" s="142"/>
      <c r="C131" s="142"/>
      <c r="D131" s="142"/>
      <c r="E131" s="143"/>
      <c r="F131" s="143"/>
      <c r="G131" s="142"/>
      <c r="H131" s="142"/>
      <c r="I131" s="142"/>
      <c r="J131" s="142"/>
      <c r="K131" s="142"/>
      <c r="L131" s="142"/>
      <c r="M131" s="142"/>
      <c r="N131" s="142"/>
      <c r="O131" s="142"/>
    </row>
    <row r="132" ht="15.75" customHeight="1">
      <c r="A132" s="142"/>
      <c r="B132" s="142"/>
      <c r="C132" s="142"/>
      <c r="D132" s="142"/>
      <c r="E132" s="143"/>
      <c r="F132" s="143"/>
      <c r="G132" s="142"/>
      <c r="H132" s="142"/>
      <c r="I132" s="142"/>
      <c r="J132" s="142"/>
      <c r="K132" s="142"/>
      <c r="L132" s="142"/>
      <c r="M132" s="142"/>
      <c r="N132" s="142"/>
      <c r="O132" s="142"/>
    </row>
    <row r="133" ht="15.75" customHeight="1">
      <c r="A133" s="142"/>
      <c r="B133" s="142"/>
      <c r="C133" s="142"/>
      <c r="D133" s="142"/>
      <c r="E133" s="143"/>
      <c r="F133" s="143"/>
      <c r="G133" s="142"/>
      <c r="H133" s="142"/>
      <c r="I133" s="142"/>
      <c r="J133" s="142"/>
      <c r="K133" s="142"/>
      <c r="L133" s="142"/>
      <c r="M133" s="142"/>
      <c r="N133" s="142"/>
      <c r="O133" s="142"/>
    </row>
    <row r="134" ht="15.75" customHeight="1">
      <c r="A134" s="142"/>
      <c r="B134" s="142"/>
      <c r="C134" s="142"/>
      <c r="D134" s="142"/>
      <c r="E134" s="143"/>
      <c r="F134" s="143"/>
      <c r="G134" s="142"/>
      <c r="H134" s="142"/>
      <c r="I134" s="142"/>
      <c r="J134" s="142"/>
      <c r="K134" s="142"/>
      <c r="L134" s="142"/>
      <c r="M134" s="142"/>
      <c r="N134" s="142"/>
      <c r="O134" s="142"/>
    </row>
    <row r="135" ht="15.75" customHeight="1">
      <c r="A135" s="142"/>
      <c r="B135" s="142"/>
      <c r="C135" s="142"/>
      <c r="D135" s="142"/>
      <c r="E135" s="143"/>
      <c r="F135" s="143"/>
      <c r="G135" s="142"/>
      <c r="H135" s="142"/>
      <c r="I135" s="142"/>
      <c r="J135" s="142"/>
      <c r="K135" s="142"/>
      <c r="L135" s="142"/>
      <c r="M135" s="142"/>
      <c r="N135" s="142"/>
      <c r="O135" s="142"/>
    </row>
    <row r="136" ht="15.75" customHeight="1">
      <c r="A136" s="142"/>
      <c r="B136" s="142"/>
      <c r="C136" s="142"/>
      <c r="D136" s="142"/>
      <c r="E136" s="143"/>
      <c r="F136" s="143"/>
      <c r="G136" s="142"/>
      <c r="H136" s="142"/>
      <c r="I136" s="142"/>
      <c r="J136" s="142"/>
      <c r="K136" s="142"/>
      <c r="L136" s="142"/>
      <c r="M136" s="142"/>
      <c r="N136" s="142"/>
      <c r="O136" s="142"/>
    </row>
    <row r="137" ht="15.75" customHeight="1">
      <c r="A137" s="142"/>
      <c r="B137" s="142"/>
      <c r="C137" s="142"/>
      <c r="D137" s="142"/>
      <c r="E137" s="143"/>
      <c r="F137" s="143"/>
      <c r="G137" s="142"/>
      <c r="H137" s="142"/>
      <c r="I137" s="142"/>
      <c r="J137" s="142"/>
      <c r="K137" s="142"/>
      <c r="L137" s="142"/>
      <c r="M137" s="142"/>
      <c r="N137" s="142"/>
      <c r="O137" s="142"/>
    </row>
    <row r="138" ht="15.75" customHeight="1">
      <c r="A138" s="142"/>
      <c r="B138" s="142"/>
      <c r="C138" s="142"/>
      <c r="D138" s="142"/>
      <c r="E138" s="143"/>
      <c r="F138" s="143"/>
      <c r="G138" s="142"/>
      <c r="H138" s="142"/>
      <c r="I138" s="142"/>
      <c r="J138" s="142"/>
      <c r="K138" s="142"/>
      <c r="L138" s="142"/>
      <c r="M138" s="142"/>
      <c r="N138" s="142"/>
      <c r="O138" s="142"/>
    </row>
    <row r="139" ht="15.75" customHeight="1">
      <c r="A139" s="142"/>
      <c r="B139" s="142"/>
      <c r="C139" s="142"/>
      <c r="D139" s="142"/>
      <c r="E139" s="143"/>
      <c r="F139" s="143"/>
      <c r="G139" s="142"/>
      <c r="H139" s="142"/>
      <c r="I139" s="142"/>
      <c r="J139" s="142"/>
      <c r="K139" s="142"/>
      <c r="L139" s="142"/>
      <c r="M139" s="142"/>
      <c r="N139" s="142"/>
      <c r="O139" s="142"/>
    </row>
    <row r="140" ht="15.75" customHeight="1">
      <c r="A140" s="142"/>
      <c r="B140" s="142"/>
      <c r="C140" s="142"/>
      <c r="D140" s="142"/>
      <c r="E140" s="143"/>
      <c r="F140" s="143"/>
      <c r="G140" s="142"/>
      <c r="H140" s="142"/>
      <c r="I140" s="142"/>
      <c r="J140" s="142"/>
      <c r="K140" s="142"/>
      <c r="L140" s="142"/>
      <c r="M140" s="142"/>
      <c r="N140" s="142"/>
      <c r="O140" s="142"/>
    </row>
    <row r="141" ht="15.75" customHeight="1">
      <c r="A141" s="142"/>
      <c r="B141" s="142"/>
      <c r="C141" s="142"/>
      <c r="D141" s="142"/>
      <c r="E141" s="143"/>
      <c r="F141" s="143"/>
      <c r="G141" s="142"/>
      <c r="H141" s="142"/>
      <c r="I141" s="142"/>
      <c r="J141" s="142"/>
      <c r="K141" s="142"/>
      <c r="L141" s="142"/>
      <c r="M141" s="142"/>
      <c r="N141" s="142"/>
      <c r="O141" s="142"/>
    </row>
    <row r="142" ht="15.75" customHeight="1">
      <c r="A142" s="142"/>
      <c r="B142" s="142"/>
      <c r="C142" s="142"/>
      <c r="D142" s="142"/>
      <c r="E142" s="143"/>
      <c r="F142" s="143"/>
      <c r="G142" s="142"/>
      <c r="H142" s="142"/>
      <c r="I142" s="142"/>
      <c r="J142" s="142"/>
      <c r="K142" s="142"/>
      <c r="L142" s="142"/>
      <c r="M142" s="142"/>
      <c r="N142" s="142"/>
      <c r="O142" s="142"/>
    </row>
    <row r="143" ht="15.75" customHeight="1">
      <c r="A143" s="142"/>
      <c r="B143" s="142"/>
      <c r="C143" s="142"/>
      <c r="D143" s="142"/>
      <c r="E143" s="143"/>
      <c r="F143" s="143"/>
      <c r="G143" s="142"/>
      <c r="H143" s="142"/>
      <c r="I143" s="142"/>
      <c r="J143" s="142"/>
      <c r="K143" s="142"/>
      <c r="L143" s="142"/>
      <c r="M143" s="142"/>
      <c r="N143" s="142"/>
      <c r="O143" s="142"/>
    </row>
    <row r="144" ht="15.75" customHeight="1">
      <c r="A144" s="142"/>
      <c r="B144" s="142"/>
      <c r="C144" s="142"/>
      <c r="D144" s="142"/>
      <c r="E144" s="143"/>
      <c r="F144" s="143"/>
      <c r="G144" s="142"/>
      <c r="H144" s="142"/>
      <c r="I144" s="142"/>
      <c r="J144" s="142"/>
      <c r="K144" s="142"/>
      <c r="L144" s="142"/>
      <c r="M144" s="142"/>
      <c r="N144" s="142"/>
      <c r="O144" s="142"/>
    </row>
    <row r="145" ht="15.75" customHeight="1">
      <c r="A145" s="142"/>
      <c r="B145" s="142"/>
      <c r="C145" s="142"/>
      <c r="D145" s="142"/>
      <c r="E145" s="143"/>
      <c r="F145" s="143"/>
      <c r="G145" s="142"/>
      <c r="H145" s="142"/>
      <c r="I145" s="142"/>
      <c r="J145" s="142"/>
      <c r="K145" s="142"/>
      <c r="L145" s="142"/>
      <c r="M145" s="142"/>
      <c r="N145" s="142"/>
      <c r="O145" s="142"/>
    </row>
    <row r="146" ht="15.75" customHeight="1">
      <c r="A146" s="142"/>
      <c r="B146" s="142"/>
      <c r="C146" s="142"/>
      <c r="D146" s="142"/>
      <c r="E146" s="143"/>
      <c r="F146" s="143"/>
      <c r="G146" s="142"/>
      <c r="H146" s="142"/>
      <c r="I146" s="142"/>
      <c r="J146" s="142"/>
      <c r="K146" s="142"/>
      <c r="L146" s="142"/>
      <c r="M146" s="142"/>
      <c r="N146" s="142"/>
      <c r="O146" s="142"/>
    </row>
    <row r="147" ht="15.75" customHeight="1">
      <c r="A147" s="142"/>
      <c r="B147" s="142"/>
      <c r="C147" s="142"/>
      <c r="D147" s="142"/>
      <c r="E147" s="143"/>
      <c r="F147" s="143"/>
      <c r="G147" s="142"/>
      <c r="H147" s="142"/>
      <c r="I147" s="142"/>
      <c r="J147" s="142"/>
      <c r="K147" s="142"/>
      <c r="L147" s="142"/>
      <c r="M147" s="142"/>
      <c r="N147" s="142"/>
      <c r="O147" s="142"/>
    </row>
    <row r="148" ht="15.75" customHeight="1">
      <c r="A148" s="142"/>
      <c r="B148" s="142"/>
      <c r="C148" s="142"/>
      <c r="D148" s="142"/>
      <c r="E148" s="143"/>
      <c r="F148" s="143"/>
      <c r="G148" s="142"/>
      <c r="H148" s="142"/>
      <c r="I148" s="142"/>
      <c r="J148" s="142"/>
      <c r="K148" s="142"/>
      <c r="L148" s="142"/>
      <c r="M148" s="142"/>
      <c r="N148" s="142"/>
      <c r="O148" s="142"/>
    </row>
    <row r="149" ht="15.75" customHeight="1">
      <c r="A149" s="142"/>
      <c r="B149" s="142"/>
      <c r="C149" s="142"/>
      <c r="D149" s="142"/>
      <c r="E149" s="143"/>
      <c r="F149" s="143"/>
      <c r="G149" s="142"/>
      <c r="H149" s="142"/>
      <c r="I149" s="142"/>
      <c r="J149" s="142"/>
      <c r="K149" s="142"/>
      <c r="L149" s="142"/>
      <c r="M149" s="142"/>
      <c r="N149" s="142"/>
      <c r="O149" s="142"/>
    </row>
    <row r="150" ht="15.75" customHeight="1">
      <c r="A150" s="142"/>
      <c r="B150" s="142"/>
      <c r="C150" s="142"/>
      <c r="D150" s="142"/>
      <c r="E150" s="143"/>
      <c r="F150" s="143"/>
      <c r="G150" s="142"/>
      <c r="H150" s="142"/>
      <c r="I150" s="142"/>
      <c r="J150" s="142"/>
      <c r="K150" s="142"/>
      <c r="L150" s="142"/>
      <c r="M150" s="142"/>
      <c r="N150" s="142"/>
      <c r="O150" s="142"/>
    </row>
    <row r="151" ht="15.75" customHeight="1">
      <c r="A151" s="142"/>
      <c r="B151" s="142"/>
      <c r="C151" s="142"/>
      <c r="D151" s="142"/>
      <c r="E151" s="143"/>
      <c r="F151" s="143"/>
      <c r="G151" s="142"/>
      <c r="H151" s="142"/>
      <c r="I151" s="142"/>
      <c r="J151" s="142"/>
      <c r="K151" s="142"/>
      <c r="L151" s="142"/>
      <c r="M151" s="142"/>
      <c r="N151" s="142"/>
      <c r="O151" s="142"/>
    </row>
    <row r="152" ht="15.75" customHeight="1">
      <c r="A152" s="142"/>
      <c r="B152" s="142"/>
      <c r="C152" s="142"/>
      <c r="D152" s="142"/>
      <c r="E152" s="143"/>
      <c r="F152" s="143"/>
      <c r="G152" s="142"/>
      <c r="H152" s="142"/>
      <c r="I152" s="142"/>
      <c r="J152" s="142"/>
      <c r="K152" s="142"/>
      <c r="L152" s="142"/>
      <c r="M152" s="142"/>
      <c r="N152" s="142"/>
      <c r="O152" s="142"/>
    </row>
    <row r="153" ht="15.75" customHeight="1">
      <c r="A153" s="142"/>
      <c r="B153" s="142"/>
      <c r="C153" s="142"/>
      <c r="D153" s="142"/>
      <c r="E153" s="143"/>
      <c r="F153" s="143"/>
      <c r="G153" s="142"/>
      <c r="H153" s="142"/>
      <c r="I153" s="142"/>
      <c r="J153" s="142"/>
      <c r="K153" s="142"/>
      <c r="L153" s="142"/>
      <c r="M153" s="142"/>
      <c r="N153" s="142"/>
      <c r="O153" s="142"/>
    </row>
    <row r="154" ht="15.75" customHeight="1">
      <c r="A154" s="142"/>
      <c r="B154" s="142"/>
      <c r="C154" s="142"/>
      <c r="D154" s="142"/>
      <c r="E154" s="143"/>
      <c r="F154" s="143"/>
      <c r="G154" s="142"/>
      <c r="H154" s="142"/>
      <c r="I154" s="142"/>
      <c r="J154" s="142"/>
      <c r="K154" s="142"/>
      <c r="L154" s="142"/>
      <c r="M154" s="142"/>
      <c r="N154" s="142"/>
      <c r="O154" s="142"/>
    </row>
    <row r="155" ht="15.75" customHeight="1">
      <c r="A155" s="142"/>
      <c r="B155" s="142"/>
      <c r="C155" s="142"/>
      <c r="D155" s="142"/>
      <c r="E155" s="143"/>
      <c r="F155" s="143"/>
      <c r="G155" s="142"/>
      <c r="H155" s="142"/>
      <c r="I155" s="142"/>
      <c r="J155" s="142"/>
      <c r="K155" s="142"/>
      <c r="L155" s="142"/>
      <c r="M155" s="142"/>
      <c r="N155" s="142"/>
      <c r="O155" s="142"/>
    </row>
    <row r="156" ht="15.75" customHeight="1">
      <c r="A156" s="142"/>
      <c r="B156" s="142"/>
      <c r="C156" s="142"/>
      <c r="D156" s="142"/>
      <c r="E156" s="143"/>
      <c r="F156" s="143"/>
      <c r="G156" s="142"/>
      <c r="H156" s="142"/>
      <c r="I156" s="142"/>
      <c r="J156" s="142"/>
      <c r="K156" s="142"/>
      <c r="L156" s="142"/>
      <c r="M156" s="142"/>
      <c r="N156" s="142"/>
      <c r="O156" s="142"/>
    </row>
    <row r="157" ht="15.75" customHeight="1">
      <c r="A157" s="142"/>
      <c r="B157" s="142"/>
      <c r="C157" s="142"/>
      <c r="D157" s="142"/>
      <c r="E157" s="143"/>
      <c r="F157" s="143"/>
      <c r="G157" s="142"/>
      <c r="H157" s="142"/>
      <c r="I157" s="142"/>
      <c r="J157" s="142"/>
      <c r="K157" s="142"/>
      <c r="L157" s="142"/>
      <c r="M157" s="142"/>
      <c r="N157" s="142"/>
      <c r="O157" s="142"/>
    </row>
    <row r="158" ht="15.75" customHeight="1">
      <c r="A158" s="142"/>
      <c r="B158" s="142"/>
      <c r="C158" s="142"/>
      <c r="D158" s="142"/>
      <c r="E158" s="143"/>
      <c r="F158" s="143"/>
      <c r="G158" s="142"/>
      <c r="H158" s="142"/>
      <c r="I158" s="142"/>
      <c r="J158" s="142"/>
      <c r="K158" s="142"/>
      <c r="L158" s="142"/>
      <c r="M158" s="142"/>
      <c r="N158" s="142"/>
      <c r="O158" s="142"/>
    </row>
    <row r="159" ht="15.75" customHeight="1">
      <c r="A159" s="142"/>
      <c r="B159" s="142"/>
      <c r="C159" s="142"/>
      <c r="D159" s="142"/>
      <c r="E159" s="143"/>
      <c r="F159" s="143"/>
      <c r="G159" s="142"/>
      <c r="H159" s="142"/>
      <c r="I159" s="142"/>
      <c r="J159" s="142"/>
      <c r="K159" s="142"/>
      <c r="L159" s="142"/>
      <c r="M159" s="142"/>
      <c r="N159" s="142"/>
      <c r="O159" s="142"/>
    </row>
    <row r="160" ht="15.75" customHeight="1">
      <c r="A160" s="142"/>
      <c r="B160" s="142"/>
      <c r="C160" s="142"/>
      <c r="D160" s="142"/>
      <c r="E160" s="143"/>
      <c r="F160" s="143"/>
      <c r="G160" s="142"/>
      <c r="H160" s="142"/>
      <c r="I160" s="142"/>
      <c r="J160" s="142"/>
      <c r="K160" s="142"/>
      <c r="L160" s="142"/>
      <c r="M160" s="142"/>
      <c r="N160" s="142"/>
      <c r="O160" s="142"/>
    </row>
    <row r="161" ht="15.75" customHeight="1">
      <c r="A161" s="142"/>
      <c r="B161" s="142"/>
      <c r="C161" s="142"/>
      <c r="D161" s="142"/>
      <c r="E161" s="143"/>
      <c r="F161" s="143"/>
      <c r="G161" s="142"/>
      <c r="H161" s="142"/>
      <c r="I161" s="142"/>
      <c r="J161" s="142"/>
      <c r="K161" s="142"/>
      <c r="L161" s="142"/>
      <c r="M161" s="142"/>
      <c r="N161" s="142"/>
      <c r="O161" s="142"/>
    </row>
    <row r="162" ht="15.75" customHeight="1">
      <c r="A162" s="142"/>
      <c r="B162" s="142"/>
      <c r="C162" s="142"/>
      <c r="D162" s="142"/>
      <c r="E162" s="143"/>
      <c r="F162" s="143"/>
      <c r="G162" s="142"/>
      <c r="H162" s="142"/>
      <c r="I162" s="142"/>
      <c r="J162" s="142"/>
      <c r="K162" s="142"/>
      <c r="L162" s="142"/>
      <c r="M162" s="142"/>
      <c r="N162" s="142"/>
      <c r="O162" s="142"/>
    </row>
    <row r="163" ht="15.75" customHeight="1">
      <c r="A163" s="142"/>
      <c r="B163" s="142"/>
      <c r="C163" s="142"/>
      <c r="D163" s="142"/>
      <c r="E163" s="143"/>
      <c r="F163" s="143"/>
      <c r="G163" s="142"/>
      <c r="H163" s="142"/>
      <c r="I163" s="142"/>
      <c r="J163" s="142"/>
      <c r="K163" s="142"/>
      <c r="L163" s="142"/>
      <c r="M163" s="142"/>
      <c r="N163" s="142"/>
      <c r="O163" s="142"/>
    </row>
    <row r="164" ht="15.75" customHeight="1">
      <c r="A164" s="142"/>
      <c r="B164" s="142"/>
      <c r="C164" s="142"/>
      <c r="D164" s="142"/>
      <c r="E164" s="143"/>
      <c r="F164" s="143"/>
      <c r="G164" s="142"/>
      <c r="H164" s="142"/>
      <c r="I164" s="142"/>
      <c r="J164" s="142"/>
      <c r="K164" s="142"/>
      <c r="L164" s="142"/>
      <c r="M164" s="142"/>
      <c r="N164" s="142"/>
      <c r="O164" s="142"/>
    </row>
    <row r="165" ht="15.75" customHeight="1">
      <c r="A165" s="142"/>
      <c r="B165" s="142"/>
      <c r="C165" s="142"/>
      <c r="D165" s="142"/>
      <c r="E165" s="143"/>
      <c r="F165" s="143"/>
      <c r="G165" s="142"/>
      <c r="H165" s="142"/>
      <c r="I165" s="142"/>
      <c r="J165" s="142"/>
      <c r="K165" s="142"/>
      <c r="L165" s="142"/>
      <c r="M165" s="142"/>
      <c r="N165" s="142"/>
      <c r="O165" s="142"/>
    </row>
    <row r="166" ht="15.75" customHeight="1">
      <c r="A166" s="142"/>
      <c r="B166" s="142"/>
      <c r="C166" s="142"/>
      <c r="D166" s="142"/>
      <c r="E166" s="143"/>
      <c r="F166" s="143"/>
      <c r="G166" s="142"/>
      <c r="H166" s="142"/>
      <c r="I166" s="142"/>
      <c r="J166" s="142"/>
      <c r="K166" s="142"/>
      <c r="L166" s="142"/>
      <c r="M166" s="142"/>
      <c r="N166" s="142"/>
      <c r="O166" s="142"/>
    </row>
    <row r="167" ht="15.75" customHeight="1">
      <c r="A167" s="142"/>
      <c r="B167" s="142"/>
      <c r="C167" s="142"/>
      <c r="D167" s="142"/>
      <c r="E167" s="143"/>
      <c r="F167" s="143"/>
      <c r="G167" s="142"/>
      <c r="H167" s="142"/>
      <c r="I167" s="142"/>
      <c r="J167" s="142"/>
      <c r="K167" s="142"/>
      <c r="L167" s="142"/>
      <c r="M167" s="142"/>
      <c r="N167" s="142"/>
      <c r="O167" s="142"/>
    </row>
    <row r="168" ht="15.75" customHeight="1">
      <c r="A168" s="142"/>
      <c r="B168" s="142"/>
      <c r="C168" s="142"/>
      <c r="D168" s="142"/>
      <c r="E168" s="143"/>
      <c r="F168" s="143"/>
      <c r="G168" s="142"/>
      <c r="H168" s="142"/>
      <c r="I168" s="142"/>
      <c r="J168" s="142"/>
      <c r="K168" s="142"/>
      <c r="L168" s="142"/>
      <c r="M168" s="142"/>
      <c r="N168" s="142"/>
      <c r="O168" s="142"/>
    </row>
    <row r="169" ht="15.75" customHeight="1">
      <c r="A169" s="142"/>
      <c r="B169" s="142"/>
      <c r="C169" s="142"/>
      <c r="D169" s="142"/>
      <c r="E169" s="143"/>
      <c r="F169" s="143"/>
      <c r="G169" s="142"/>
      <c r="H169" s="142"/>
      <c r="I169" s="142"/>
      <c r="J169" s="142"/>
      <c r="K169" s="142"/>
      <c r="L169" s="142"/>
      <c r="M169" s="142"/>
      <c r="N169" s="142"/>
      <c r="O169" s="142"/>
    </row>
    <row r="170" ht="15.75" customHeight="1">
      <c r="A170" s="142"/>
      <c r="B170" s="142"/>
      <c r="C170" s="142"/>
      <c r="D170" s="142"/>
      <c r="E170" s="143"/>
      <c r="F170" s="143"/>
      <c r="G170" s="142"/>
      <c r="H170" s="142"/>
      <c r="I170" s="142"/>
      <c r="J170" s="142"/>
      <c r="K170" s="142"/>
      <c r="L170" s="142"/>
      <c r="M170" s="142"/>
      <c r="N170" s="142"/>
      <c r="O170" s="142"/>
    </row>
    <row r="171" ht="15.75" customHeight="1">
      <c r="A171" s="142"/>
      <c r="B171" s="142"/>
      <c r="C171" s="142"/>
      <c r="D171" s="142"/>
      <c r="E171" s="143"/>
      <c r="F171" s="143"/>
      <c r="G171" s="142"/>
      <c r="H171" s="142"/>
      <c r="I171" s="142"/>
      <c r="J171" s="142"/>
      <c r="K171" s="142"/>
      <c r="L171" s="142"/>
      <c r="M171" s="142"/>
      <c r="N171" s="142"/>
      <c r="O171" s="142"/>
    </row>
    <row r="172" ht="15.75" customHeight="1">
      <c r="A172" s="142"/>
      <c r="B172" s="142"/>
      <c r="C172" s="142"/>
      <c r="D172" s="142"/>
      <c r="E172" s="143"/>
      <c r="F172" s="143"/>
      <c r="G172" s="142"/>
      <c r="H172" s="142"/>
      <c r="I172" s="142"/>
      <c r="J172" s="142"/>
      <c r="K172" s="142"/>
      <c r="L172" s="142"/>
      <c r="M172" s="142"/>
      <c r="N172" s="142"/>
      <c r="O172" s="142"/>
    </row>
    <row r="173" ht="15.75" customHeight="1">
      <c r="A173" s="142"/>
      <c r="B173" s="142"/>
      <c r="C173" s="142"/>
      <c r="D173" s="142"/>
      <c r="E173" s="143"/>
      <c r="F173" s="143"/>
      <c r="G173" s="142"/>
      <c r="H173" s="142"/>
      <c r="I173" s="142"/>
      <c r="J173" s="142"/>
      <c r="K173" s="142"/>
      <c r="L173" s="142"/>
      <c r="M173" s="142"/>
      <c r="N173" s="142"/>
      <c r="O173" s="142"/>
    </row>
    <row r="174" ht="15.75" customHeight="1">
      <c r="A174" s="142"/>
      <c r="B174" s="142"/>
      <c r="C174" s="142"/>
      <c r="D174" s="142"/>
      <c r="E174" s="143"/>
      <c r="F174" s="143"/>
      <c r="G174" s="142"/>
      <c r="H174" s="142"/>
      <c r="I174" s="142"/>
      <c r="J174" s="142"/>
      <c r="K174" s="142"/>
      <c r="L174" s="142"/>
      <c r="M174" s="142"/>
      <c r="N174" s="142"/>
      <c r="O174" s="142"/>
    </row>
    <row r="175" ht="15.75" customHeight="1">
      <c r="A175" s="142"/>
      <c r="B175" s="142"/>
      <c r="C175" s="142"/>
      <c r="D175" s="142"/>
      <c r="E175" s="143"/>
      <c r="F175" s="143"/>
      <c r="G175" s="142"/>
      <c r="H175" s="142"/>
      <c r="I175" s="142"/>
      <c r="J175" s="142"/>
      <c r="K175" s="142"/>
      <c r="L175" s="142"/>
      <c r="M175" s="142"/>
      <c r="N175" s="142"/>
      <c r="O175" s="142"/>
    </row>
    <row r="176" ht="15.75" customHeight="1">
      <c r="A176" s="142"/>
      <c r="B176" s="142"/>
      <c r="C176" s="142"/>
      <c r="D176" s="142"/>
      <c r="E176" s="143"/>
      <c r="F176" s="143"/>
      <c r="G176" s="142"/>
      <c r="H176" s="142"/>
      <c r="I176" s="142"/>
      <c r="J176" s="142"/>
      <c r="K176" s="142"/>
      <c r="L176" s="142"/>
      <c r="M176" s="142"/>
      <c r="N176" s="142"/>
      <c r="O176" s="142"/>
    </row>
    <row r="177" ht="15.75" customHeight="1">
      <c r="A177" s="142"/>
      <c r="B177" s="142"/>
      <c r="C177" s="142"/>
      <c r="D177" s="142"/>
      <c r="E177" s="143"/>
      <c r="F177" s="143"/>
      <c r="G177" s="142"/>
      <c r="H177" s="142"/>
      <c r="I177" s="142"/>
      <c r="J177" s="142"/>
      <c r="K177" s="142"/>
      <c r="L177" s="142"/>
      <c r="M177" s="142"/>
      <c r="N177" s="142"/>
      <c r="O177" s="142"/>
    </row>
    <row r="178" ht="15.75" customHeight="1">
      <c r="A178" s="142"/>
      <c r="B178" s="142"/>
      <c r="C178" s="142"/>
      <c r="D178" s="142"/>
      <c r="E178" s="143"/>
      <c r="F178" s="143"/>
      <c r="G178" s="142"/>
      <c r="H178" s="142"/>
      <c r="I178" s="142"/>
      <c r="J178" s="142"/>
      <c r="K178" s="142"/>
      <c r="L178" s="142"/>
      <c r="M178" s="142"/>
      <c r="N178" s="142"/>
      <c r="O178" s="142"/>
    </row>
    <row r="179" ht="15.75" customHeight="1">
      <c r="A179" s="142"/>
      <c r="B179" s="142"/>
      <c r="C179" s="142"/>
      <c r="D179" s="142"/>
      <c r="E179" s="143"/>
      <c r="F179" s="143"/>
      <c r="G179" s="142"/>
      <c r="H179" s="142"/>
      <c r="I179" s="142"/>
      <c r="J179" s="142"/>
      <c r="K179" s="142"/>
      <c r="L179" s="142"/>
      <c r="M179" s="142"/>
      <c r="N179" s="142"/>
      <c r="O179" s="142"/>
    </row>
    <row r="180" ht="15.75" customHeight="1">
      <c r="A180" s="142"/>
      <c r="B180" s="142"/>
      <c r="C180" s="142"/>
      <c r="D180" s="142"/>
      <c r="E180" s="143"/>
      <c r="F180" s="143"/>
      <c r="G180" s="142"/>
      <c r="H180" s="142"/>
      <c r="I180" s="142"/>
      <c r="J180" s="142"/>
      <c r="K180" s="142"/>
      <c r="L180" s="142"/>
      <c r="M180" s="142"/>
      <c r="N180" s="142"/>
      <c r="O180" s="142"/>
    </row>
    <row r="181" ht="15.75" customHeight="1">
      <c r="A181" s="142"/>
      <c r="B181" s="142"/>
      <c r="C181" s="142"/>
      <c r="D181" s="142"/>
      <c r="E181" s="143"/>
      <c r="F181" s="143"/>
      <c r="G181" s="142"/>
      <c r="H181" s="142"/>
      <c r="I181" s="142"/>
      <c r="J181" s="142"/>
      <c r="K181" s="142"/>
      <c r="L181" s="142"/>
      <c r="M181" s="142"/>
      <c r="N181" s="142"/>
      <c r="O181" s="142"/>
    </row>
    <row r="182" ht="15.75" customHeight="1">
      <c r="A182" s="142"/>
      <c r="B182" s="142"/>
      <c r="C182" s="142"/>
      <c r="D182" s="142"/>
      <c r="E182" s="143"/>
      <c r="F182" s="143"/>
      <c r="G182" s="142"/>
      <c r="H182" s="142"/>
      <c r="I182" s="142"/>
      <c r="J182" s="142"/>
      <c r="K182" s="142"/>
      <c r="L182" s="142"/>
      <c r="M182" s="142"/>
      <c r="N182" s="142"/>
      <c r="O182" s="142"/>
    </row>
    <row r="183" ht="15.75" customHeight="1">
      <c r="A183" s="142"/>
      <c r="B183" s="142"/>
      <c r="C183" s="142"/>
      <c r="D183" s="142"/>
      <c r="E183" s="143"/>
      <c r="F183" s="143"/>
      <c r="G183" s="142"/>
      <c r="H183" s="142"/>
      <c r="I183" s="142"/>
      <c r="J183" s="142"/>
      <c r="K183" s="142"/>
      <c r="L183" s="142"/>
      <c r="M183" s="142"/>
      <c r="N183" s="142"/>
      <c r="O183" s="142"/>
    </row>
    <row r="184" ht="15.75" customHeight="1">
      <c r="A184" s="142"/>
      <c r="B184" s="142"/>
      <c r="C184" s="142"/>
      <c r="D184" s="142"/>
      <c r="E184" s="143"/>
      <c r="F184" s="143"/>
      <c r="G184" s="142"/>
      <c r="H184" s="142"/>
      <c r="I184" s="142"/>
      <c r="J184" s="142"/>
      <c r="K184" s="142"/>
      <c r="L184" s="142"/>
      <c r="M184" s="142"/>
      <c r="N184" s="142"/>
      <c r="O184" s="142"/>
    </row>
    <row r="185" ht="15.75" customHeight="1">
      <c r="A185" s="142"/>
      <c r="B185" s="142"/>
      <c r="C185" s="142"/>
      <c r="D185" s="142"/>
      <c r="E185" s="143"/>
      <c r="F185" s="143"/>
      <c r="G185" s="142"/>
      <c r="H185" s="142"/>
      <c r="I185" s="142"/>
      <c r="J185" s="142"/>
      <c r="K185" s="142"/>
      <c r="L185" s="142"/>
      <c r="M185" s="142"/>
      <c r="N185" s="142"/>
      <c r="O185" s="142"/>
    </row>
    <row r="186" ht="15.75" customHeight="1">
      <c r="A186" s="142"/>
      <c r="B186" s="142"/>
      <c r="C186" s="142"/>
      <c r="D186" s="142"/>
      <c r="E186" s="143"/>
      <c r="F186" s="143"/>
      <c r="G186" s="142"/>
      <c r="H186" s="142"/>
      <c r="I186" s="142"/>
      <c r="J186" s="142"/>
      <c r="K186" s="142"/>
      <c r="L186" s="142"/>
      <c r="M186" s="142"/>
      <c r="N186" s="142"/>
      <c r="O186" s="142"/>
    </row>
    <row r="187" ht="15.75" customHeight="1">
      <c r="A187" s="142"/>
      <c r="B187" s="142"/>
      <c r="C187" s="142"/>
      <c r="D187" s="142"/>
      <c r="E187" s="143"/>
      <c r="F187" s="143"/>
      <c r="G187" s="142"/>
      <c r="H187" s="142"/>
      <c r="I187" s="142"/>
      <c r="J187" s="142"/>
      <c r="K187" s="142"/>
      <c r="L187" s="142"/>
      <c r="M187" s="142"/>
      <c r="N187" s="142"/>
      <c r="O187" s="142"/>
    </row>
    <row r="188" ht="15.75" customHeight="1">
      <c r="A188" s="142"/>
      <c r="B188" s="142"/>
      <c r="C188" s="142"/>
      <c r="D188" s="142"/>
      <c r="E188" s="143"/>
      <c r="F188" s="143"/>
      <c r="G188" s="142"/>
      <c r="H188" s="142"/>
      <c r="I188" s="142"/>
      <c r="J188" s="142"/>
      <c r="K188" s="142"/>
      <c r="L188" s="142"/>
      <c r="M188" s="142"/>
      <c r="N188" s="142"/>
      <c r="O188" s="142"/>
    </row>
    <row r="189" ht="15.75" customHeight="1">
      <c r="A189" s="142"/>
      <c r="B189" s="142"/>
      <c r="C189" s="142"/>
      <c r="D189" s="142"/>
      <c r="E189" s="143"/>
      <c r="F189" s="143"/>
      <c r="G189" s="142"/>
      <c r="H189" s="142"/>
      <c r="I189" s="142"/>
      <c r="J189" s="142"/>
      <c r="K189" s="142"/>
      <c r="L189" s="142"/>
      <c r="M189" s="142"/>
      <c r="N189" s="142"/>
      <c r="O189" s="142"/>
    </row>
    <row r="190" ht="15.75" customHeight="1">
      <c r="A190" s="142"/>
      <c r="B190" s="142"/>
      <c r="C190" s="142"/>
      <c r="D190" s="142"/>
      <c r="E190" s="143"/>
      <c r="F190" s="143"/>
      <c r="G190" s="142"/>
      <c r="H190" s="142"/>
      <c r="I190" s="142"/>
      <c r="J190" s="142"/>
      <c r="K190" s="142"/>
      <c r="L190" s="142"/>
      <c r="M190" s="142"/>
      <c r="N190" s="142"/>
      <c r="O190" s="142"/>
    </row>
    <row r="191" ht="15.75" customHeight="1">
      <c r="A191" s="142"/>
      <c r="B191" s="142"/>
      <c r="C191" s="142"/>
      <c r="D191" s="142"/>
      <c r="E191" s="143"/>
      <c r="F191" s="143"/>
      <c r="G191" s="142"/>
      <c r="H191" s="142"/>
      <c r="I191" s="142"/>
      <c r="J191" s="142"/>
      <c r="K191" s="142"/>
      <c r="L191" s="142"/>
      <c r="M191" s="142"/>
      <c r="N191" s="142"/>
      <c r="O191" s="142"/>
    </row>
    <row r="192" ht="15.75" customHeight="1">
      <c r="A192" s="142"/>
      <c r="B192" s="142"/>
      <c r="C192" s="142"/>
      <c r="D192" s="142"/>
      <c r="E192" s="143"/>
      <c r="F192" s="143"/>
      <c r="G192" s="142"/>
      <c r="H192" s="142"/>
      <c r="I192" s="142"/>
      <c r="J192" s="142"/>
      <c r="K192" s="142"/>
      <c r="L192" s="142"/>
      <c r="M192" s="142"/>
      <c r="N192" s="142"/>
      <c r="O192" s="142"/>
    </row>
    <row r="193" ht="15.75" customHeight="1">
      <c r="A193" s="142"/>
      <c r="B193" s="142"/>
      <c r="C193" s="142"/>
      <c r="D193" s="142"/>
      <c r="E193" s="143"/>
      <c r="F193" s="143"/>
      <c r="G193" s="142"/>
      <c r="H193" s="142"/>
      <c r="I193" s="142"/>
      <c r="J193" s="142"/>
      <c r="K193" s="142"/>
      <c r="L193" s="142"/>
      <c r="M193" s="142"/>
      <c r="N193" s="142"/>
      <c r="O193" s="142"/>
    </row>
    <row r="194" ht="15.75" customHeight="1">
      <c r="A194" s="142"/>
      <c r="B194" s="142"/>
      <c r="C194" s="142"/>
      <c r="D194" s="142"/>
      <c r="E194" s="143"/>
      <c r="F194" s="143"/>
      <c r="G194" s="142"/>
      <c r="H194" s="142"/>
      <c r="I194" s="142"/>
      <c r="J194" s="142"/>
      <c r="K194" s="142"/>
      <c r="L194" s="142"/>
      <c r="M194" s="142"/>
      <c r="N194" s="142"/>
      <c r="O194" s="142"/>
    </row>
    <row r="195" ht="15.75" customHeight="1">
      <c r="A195" s="142"/>
      <c r="B195" s="142"/>
      <c r="C195" s="142"/>
      <c r="D195" s="142"/>
      <c r="E195" s="143"/>
      <c r="F195" s="143"/>
      <c r="G195" s="142"/>
      <c r="H195" s="142"/>
      <c r="I195" s="142"/>
      <c r="J195" s="142"/>
      <c r="K195" s="142"/>
      <c r="L195" s="142"/>
      <c r="M195" s="142"/>
      <c r="N195" s="142"/>
      <c r="O195" s="142"/>
    </row>
    <row r="196" ht="15.75" customHeight="1">
      <c r="A196" s="142"/>
      <c r="B196" s="142"/>
      <c r="C196" s="142"/>
      <c r="D196" s="142"/>
      <c r="E196" s="143"/>
      <c r="F196" s="143"/>
      <c r="G196" s="142"/>
      <c r="H196" s="142"/>
      <c r="I196" s="142"/>
      <c r="J196" s="142"/>
      <c r="K196" s="142"/>
      <c r="L196" s="142"/>
      <c r="M196" s="142"/>
      <c r="N196" s="142"/>
      <c r="O196" s="142"/>
    </row>
    <row r="197" ht="15.75" customHeight="1">
      <c r="A197" s="142"/>
      <c r="B197" s="142"/>
      <c r="C197" s="142"/>
      <c r="D197" s="142"/>
      <c r="E197" s="143"/>
      <c r="F197" s="143"/>
      <c r="G197" s="142"/>
      <c r="H197" s="142"/>
      <c r="I197" s="142"/>
      <c r="J197" s="142"/>
      <c r="K197" s="142"/>
      <c r="L197" s="142"/>
      <c r="M197" s="142"/>
      <c r="N197" s="142"/>
      <c r="O197" s="142"/>
    </row>
    <row r="198" ht="15.75" customHeight="1">
      <c r="A198" s="142"/>
      <c r="B198" s="142"/>
      <c r="C198" s="142"/>
      <c r="D198" s="142"/>
      <c r="E198" s="143"/>
      <c r="F198" s="143"/>
      <c r="G198" s="142"/>
      <c r="H198" s="142"/>
      <c r="I198" s="142"/>
      <c r="J198" s="142"/>
      <c r="K198" s="142"/>
      <c r="L198" s="142"/>
      <c r="M198" s="142"/>
      <c r="N198" s="142"/>
      <c r="O198" s="142"/>
    </row>
    <row r="199" ht="15.75" customHeight="1">
      <c r="A199" s="142"/>
      <c r="B199" s="142"/>
      <c r="C199" s="142"/>
      <c r="D199" s="142"/>
      <c r="E199" s="143"/>
      <c r="F199" s="143"/>
      <c r="G199" s="142"/>
      <c r="H199" s="142"/>
      <c r="I199" s="142"/>
      <c r="J199" s="142"/>
      <c r="K199" s="142"/>
      <c r="L199" s="142"/>
      <c r="M199" s="142"/>
      <c r="N199" s="142"/>
      <c r="O199" s="142"/>
    </row>
    <row r="200" ht="15.75" customHeight="1">
      <c r="A200" s="142"/>
      <c r="B200" s="142"/>
      <c r="C200" s="142"/>
      <c r="D200" s="142"/>
      <c r="E200" s="143"/>
      <c r="F200" s="143"/>
      <c r="G200" s="142"/>
      <c r="H200" s="142"/>
      <c r="I200" s="142"/>
      <c r="J200" s="142"/>
      <c r="K200" s="142"/>
      <c r="L200" s="142"/>
      <c r="M200" s="142"/>
      <c r="N200" s="142"/>
      <c r="O200" s="142"/>
    </row>
    <row r="201" ht="15.75" customHeight="1">
      <c r="A201" s="142"/>
      <c r="B201" s="142"/>
      <c r="C201" s="142"/>
      <c r="D201" s="142"/>
      <c r="E201" s="143"/>
      <c r="F201" s="143"/>
      <c r="G201" s="142"/>
      <c r="H201" s="142"/>
      <c r="I201" s="142"/>
      <c r="J201" s="142"/>
      <c r="K201" s="142"/>
      <c r="L201" s="142"/>
      <c r="M201" s="142"/>
      <c r="N201" s="142"/>
      <c r="O201" s="142"/>
    </row>
    <row r="202" ht="15.75" customHeight="1">
      <c r="A202" s="142"/>
      <c r="B202" s="142"/>
      <c r="C202" s="142"/>
      <c r="D202" s="142"/>
      <c r="E202" s="143"/>
      <c r="F202" s="143"/>
      <c r="G202" s="142"/>
      <c r="H202" s="142"/>
      <c r="I202" s="142"/>
      <c r="J202" s="142"/>
      <c r="K202" s="142"/>
      <c r="L202" s="142"/>
      <c r="M202" s="142"/>
      <c r="N202" s="142"/>
      <c r="O202" s="142"/>
    </row>
    <row r="203" ht="15.75" customHeight="1">
      <c r="A203" s="142"/>
      <c r="B203" s="142"/>
      <c r="C203" s="142"/>
      <c r="D203" s="142"/>
      <c r="E203" s="143"/>
      <c r="F203" s="143"/>
      <c r="G203" s="142"/>
      <c r="H203" s="142"/>
      <c r="I203" s="142"/>
      <c r="J203" s="142"/>
      <c r="K203" s="142"/>
      <c r="L203" s="142"/>
      <c r="M203" s="142"/>
      <c r="N203" s="142"/>
      <c r="O203" s="142"/>
    </row>
    <row r="204" ht="15.75" customHeight="1">
      <c r="A204" s="142"/>
      <c r="B204" s="142"/>
      <c r="C204" s="142"/>
      <c r="D204" s="142"/>
      <c r="E204" s="143"/>
      <c r="F204" s="143"/>
      <c r="G204" s="142"/>
      <c r="H204" s="142"/>
      <c r="I204" s="142"/>
      <c r="J204" s="142"/>
      <c r="K204" s="142"/>
      <c r="L204" s="142"/>
      <c r="M204" s="142"/>
      <c r="N204" s="142"/>
      <c r="O204" s="142"/>
    </row>
    <row r="205" ht="15.75" customHeight="1">
      <c r="A205" s="142"/>
      <c r="B205" s="142"/>
      <c r="C205" s="142"/>
      <c r="D205" s="142"/>
      <c r="E205" s="143"/>
      <c r="F205" s="143"/>
      <c r="G205" s="142"/>
      <c r="H205" s="142"/>
      <c r="I205" s="142"/>
      <c r="J205" s="142"/>
      <c r="K205" s="142"/>
      <c r="L205" s="142"/>
      <c r="M205" s="142"/>
      <c r="N205" s="142"/>
      <c r="O205" s="142"/>
    </row>
    <row r="206" ht="15.75" customHeight="1">
      <c r="A206" s="142"/>
      <c r="B206" s="142"/>
      <c r="C206" s="142"/>
      <c r="D206" s="142"/>
      <c r="E206" s="143"/>
      <c r="F206" s="143"/>
      <c r="G206" s="142"/>
      <c r="H206" s="142"/>
      <c r="I206" s="142"/>
      <c r="J206" s="142"/>
      <c r="K206" s="142"/>
      <c r="L206" s="142"/>
      <c r="M206" s="142"/>
      <c r="N206" s="142"/>
      <c r="O206" s="142"/>
    </row>
    <row r="207" ht="15.75" customHeight="1">
      <c r="A207" s="142"/>
      <c r="B207" s="142"/>
      <c r="C207" s="142"/>
      <c r="D207" s="142"/>
      <c r="E207" s="143"/>
      <c r="F207" s="143"/>
      <c r="G207" s="142"/>
      <c r="H207" s="142"/>
      <c r="I207" s="142"/>
      <c r="J207" s="142"/>
      <c r="K207" s="142"/>
      <c r="L207" s="142"/>
      <c r="M207" s="142"/>
      <c r="N207" s="142"/>
      <c r="O207" s="142"/>
    </row>
    <row r="208" ht="15.75" customHeight="1">
      <c r="A208" s="142"/>
      <c r="B208" s="142"/>
      <c r="C208" s="142"/>
      <c r="D208" s="142"/>
      <c r="E208" s="143"/>
      <c r="F208" s="143"/>
      <c r="G208" s="142"/>
      <c r="H208" s="142"/>
      <c r="I208" s="142"/>
      <c r="J208" s="142"/>
      <c r="K208" s="142"/>
      <c r="L208" s="142"/>
      <c r="M208" s="142"/>
      <c r="N208" s="142"/>
      <c r="O208" s="142"/>
    </row>
    <row r="209" ht="15.75" customHeight="1">
      <c r="A209" s="142"/>
      <c r="B209" s="142"/>
      <c r="C209" s="142"/>
      <c r="D209" s="142"/>
      <c r="E209" s="143"/>
      <c r="F209" s="143"/>
      <c r="G209" s="142"/>
      <c r="H209" s="142"/>
      <c r="I209" s="142"/>
      <c r="J209" s="142"/>
      <c r="K209" s="142"/>
      <c r="L209" s="142"/>
      <c r="M209" s="142"/>
      <c r="N209" s="142"/>
      <c r="O209" s="142"/>
    </row>
    <row r="210" ht="15.75" customHeight="1">
      <c r="A210" s="142"/>
      <c r="B210" s="142"/>
      <c r="C210" s="142"/>
      <c r="D210" s="142"/>
      <c r="E210" s="143"/>
      <c r="F210" s="143"/>
      <c r="G210" s="142"/>
      <c r="H210" s="142"/>
      <c r="I210" s="142"/>
      <c r="J210" s="142"/>
      <c r="K210" s="142"/>
      <c r="L210" s="142"/>
      <c r="M210" s="142"/>
      <c r="N210" s="142"/>
      <c r="O210" s="142"/>
    </row>
    <row r="211" ht="15.75" customHeight="1">
      <c r="A211" s="142"/>
      <c r="B211" s="142"/>
      <c r="C211" s="142"/>
      <c r="D211" s="142"/>
      <c r="E211" s="143"/>
      <c r="F211" s="143"/>
      <c r="G211" s="142"/>
      <c r="H211" s="142"/>
      <c r="I211" s="142"/>
      <c r="J211" s="142"/>
      <c r="K211" s="142"/>
      <c r="L211" s="142"/>
      <c r="M211" s="142"/>
      <c r="N211" s="142"/>
      <c r="O211" s="142"/>
    </row>
    <row r="212" ht="15.75" customHeight="1">
      <c r="A212" s="142"/>
      <c r="B212" s="142"/>
      <c r="C212" s="142"/>
      <c r="D212" s="142"/>
      <c r="E212" s="143"/>
      <c r="F212" s="143"/>
      <c r="G212" s="142"/>
      <c r="H212" s="142"/>
      <c r="I212" s="142"/>
      <c r="J212" s="142"/>
      <c r="K212" s="142"/>
      <c r="L212" s="142"/>
      <c r="M212" s="142"/>
      <c r="N212" s="142"/>
      <c r="O212" s="142"/>
    </row>
    <row r="213" ht="15.75" customHeight="1">
      <c r="A213" s="142"/>
      <c r="B213" s="142"/>
      <c r="C213" s="142"/>
      <c r="D213" s="142"/>
      <c r="E213" s="143"/>
      <c r="F213" s="143"/>
      <c r="G213" s="142"/>
      <c r="H213" s="142"/>
      <c r="I213" s="142"/>
      <c r="J213" s="142"/>
      <c r="K213" s="142"/>
      <c r="L213" s="142"/>
      <c r="M213" s="142"/>
      <c r="N213" s="142"/>
      <c r="O213" s="142"/>
    </row>
    <row r="214" ht="15.75" customHeight="1">
      <c r="A214" s="142"/>
      <c r="B214" s="142"/>
      <c r="C214" s="142"/>
      <c r="D214" s="142"/>
      <c r="E214" s="143"/>
      <c r="F214" s="143"/>
      <c r="G214" s="142"/>
      <c r="H214" s="142"/>
      <c r="I214" s="142"/>
      <c r="J214" s="142"/>
      <c r="K214" s="142"/>
      <c r="L214" s="142"/>
      <c r="M214" s="142"/>
      <c r="N214" s="142"/>
      <c r="O214" s="142"/>
    </row>
    <row r="215" ht="15.75" customHeight="1">
      <c r="A215" s="142"/>
      <c r="B215" s="142"/>
      <c r="C215" s="142"/>
      <c r="D215" s="142"/>
      <c r="E215" s="143"/>
      <c r="F215" s="143"/>
      <c r="G215" s="142"/>
      <c r="H215" s="142"/>
      <c r="I215" s="142"/>
      <c r="J215" s="142"/>
      <c r="K215" s="142"/>
      <c r="L215" s="142"/>
      <c r="M215" s="142"/>
      <c r="N215" s="142"/>
      <c r="O215" s="142"/>
    </row>
    <row r="216" ht="15.75" customHeight="1">
      <c r="A216" s="142"/>
      <c r="B216" s="142"/>
      <c r="C216" s="142"/>
      <c r="D216" s="142"/>
      <c r="E216" s="143"/>
      <c r="F216" s="143"/>
      <c r="G216" s="142"/>
      <c r="H216" s="142"/>
      <c r="I216" s="142"/>
      <c r="J216" s="142"/>
      <c r="K216" s="142"/>
      <c r="L216" s="142"/>
      <c r="M216" s="142"/>
      <c r="N216" s="142"/>
      <c r="O216" s="142"/>
    </row>
    <row r="217" ht="15.75" customHeight="1">
      <c r="A217" s="142"/>
      <c r="B217" s="142"/>
      <c r="C217" s="142"/>
      <c r="D217" s="142"/>
      <c r="E217" s="143"/>
      <c r="F217" s="143"/>
      <c r="G217" s="142"/>
      <c r="H217" s="142"/>
      <c r="I217" s="142"/>
      <c r="J217" s="142"/>
      <c r="K217" s="142"/>
      <c r="L217" s="142"/>
      <c r="M217" s="142"/>
      <c r="N217" s="142"/>
      <c r="O217" s="142"/>
    </row>
    <row r="218" ht="15.75" customHeight="1">
      <c r="A218" s="142"/>
      <c r="B218" s="142"/>
      <c r="C218" s="142"/>
      <c r="D218" s="142"/>
      <c r="E218" s="143"/>
      <c r="F218" s="143"/>
      <c r="G218" s="142"/>
      <c r="H218" s="142"/>
      <c r="I218" s="142"/>
      <c r="J218" s="142"/>
      <c r="K218" s="142"/>
      <c r="L218" s="142"/>
      <c r="M218" s="142"/>
      <c r="N218" s="142"/>
      <c r="O218" s="142"/>
    </row>
    <row r="219" ht="15.75" customHeight="1">
      <c r="A219" s="142"/>
      <c r="B219" s="142"/>
      <c r="C219" s="142"/>
      <c r="D219" s="142"/>
      <c r="E219" s="143"/>
      <c r="F219" s="143"/>
      <c r="G219" s="142"/>
      <c r="H219" s="142"/>
      <c r="I219" s="142"/>
      <c r="J219" s="142"/>
      <c r="K219" s="142"/>
      <c r="L219" s="142"/>
      <c r="M219" s="142"/>
      <c r="N219" s="142"/>
      <c r="O219" s="142"/>
    </row>
    <row r="220" ht="15.75" customHeight="1">
      <c r="A220" s="142"/>
      <c r="B220" s="142"/>
      <c r="C220" s="142"/>
      <c r="D220" s="142"/>
      <c r="E220" s="143"/>
      <c r="F220" s="143"/>
      <c r="G220" s="142"/>
      <c r="H220" s="142"/>
      <c r="I220" s="142"/>
      <c r="J220" s="142"/>
      <c r="K220" s="142"/>
      <c r="L220" s="142"/>
      <c r="M220" s="142"/>
      <c r="N220" s="142"/>
      <c r="O220" s="142"/>
    </row>
    <row r="221" ht="15.75" customHeight="1">
      <c r="A221" s="142"/>
      <c r="B221" s="142"/>
      <c r="C221" s="142"/>
      <c r="D221" s="142"/>
      <c r="E221" s="143"/>
      <c r="F221" s="143"/>
      <c r="G221" s="142"/>
      <c r="H221" s="142"/>
      <c r="I221" s="142"/>
      <c r="J221" s="142"/>
      <c r="K221" s="142"/>
      <c r="L221" s="142"/>
      <c r="M221" s="142"/>
      <c r="N221" s="142"/>
      <c r="O221" s="142"/>
    </row>
    <row r="222" ht="15.75" customHeight="1">
      <c r="A222" s="142"/>
      <c r="B222" s="142"/>
      <c r="C222" s="142"/>
      <c r="D222" s="142"/>
      <c r="E222" s="143"/>
      <c r="F222" s="143"/>
      <c r="G222" s="142"/>
      <c r="H222" s="142"/>
      <c r="I222" s="142"/>
      <c r="J222" s="142"/>
      <c r="K222" s="142"/>
      <c r="L222" s="142"/>
      <c r="M222" s="142"/>
      <c r="N222" s="142"/>
      <c r="O222" s="142"/>
    </row>
    <row r="223" ht="15.75" customHeight="1">
      <c r="A223" s="142"/>
      <c r="B223" s="142"/>
      <c r="C223" s="142"/>
      <c r="D223" s="142"/>
      <c r="E223" s="143"/>
      <c r="F223" s="143"/>
      <c r="G223" s="142"/>
      <c r="H223" s="142"/>
      <c r="I223" s="142"/>
      <c r="J223" s="142"/>
      <c r="K223" s="142"/>
      <c r="L223" s="142"/>
      <c r="M223" s="142"/>
      <c r="N223" s="142"/>
      <c r="O223" s="142"/>
    </row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">
    <mergeCell ref="B1:D1"/>
    <mergeCell ref="E1:F2"/>
    <mergeCell ref="B2:D2"/>
  </mergeCells>
  <dataValidations>
    <dataValidation type="list" allowBlank="1" showErrorMessage="1" sqref="G4:O124">
      <formula1>"선택,완료"</formula1>
    </dataValidation>
  </dataValidations>
  <hyperlinks>
    <hyperlink r:id="rId1" ref="D5"/>
    <hyperlink r:id="rId2" ref="D6"/>
    <hyperlink r:id="rId3" ref="D13"/>
    <hyperlink r:id="rId4" ref="D17"/>
    <hyperlink r:id="rId5" ref="D25"/>
    <hyperlink r:id="rId6" ref="D26"/>
    <hyperlink r:id="rId7" ref="D31"/>
    <hyperlink r:id="rId8" ref="D32"/>
    <hyperlink r:id="rId9" ref="D37"/>
    <hyperlink r:id="rId10" ref="D54"/>
    <hyperlink r:id="rId11" ref="D79"/>
  </hyperlinks>
  <printOptions gridLines="1" horizontalCentered="1"/>
  <pageMargins bottom="0.75" footer="0.0" header="0.0" left="0.25" right="0.25" top="0.75"/>
  <pageSetup fitToHeight="0" paperSize="9" cellComments="atEnd" orientation="portrait" pageOrder="overThenDown"/>
  <drawing r:id="rId12"/>
  <tableParts count="1">
    <tablePart r:id="rId14"/>
  </tableParts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5.0" topLeftCell="A6" activePane="bottomLeft" state="frozen"/>
      <selection activeCell="B7" sqref="B7" pane="bottomLeft"/>
    </sheetView>
  </sheetViews>
  <sheetFormatPr customHeight="1" defaultColWidth="12.63" defaultRowHeight="15.0"/>
  <cols>
    <col customWidth="1" min="1" max="1" width="4.75"/>
    <col customWidth="1" min="2" max="2" width="6.63"/>
    <col customWidth="1" min="3" max="3" width="18.63"/>
    <col customWidth="1" min="4" max="4" width="21.13"/>
    <col customWidth="1" min="5" max="6" width="14.75"/>
    <col customWidth="1" min="7" max="15" width="12.63"/>
  </cols>
  <sheetData>
    <row r="1" ht="15.75" customHeight="1">
      <c r="A1" s="1"/>
      <c r="B1" s="60" t="s">
        <v>0</v>
      </c>
      <c r="E1" s="144" t="s">
        <v>1</v>
      </c>
      <c r="G1" s="5" t="s">
        <v>402</v>
      </c>
      <c r="H1" s="5" t="s">
        <v>403</v>
      </c>
      <c r="I1" s="5" t="s">
        <v>404</v>
      </c>
      <c r="J1" s="5" t="s">
        <v>405</v>
      </c>
      <c r="K1" s="5" t="s">
        <v>406</v>
      </c>
      <c r="L1" s="5" t="s">
        <v>407</v>
      </c>
      <c r="M1" s="5" t="s">
        <v>408</v>
      </c>
      <c r="N1" s="5" t="s">
        <v>409</v>
      </c>
      <c r="O1" s="5" t="s">
        <v>410</v>
      </c>
    </row>
    <row r="2" ht="15.75" customHeight="1">
      <c r="A2" s="1"/>
      <c r="G2" s="7" t="s">
        <v>411</v>
      </c>
      <c r="H2" s="7" t="s">
        <v>412</v>
      </c>
      <c r="I2" s="7" t="s">
        <v>413</v>
      </c>
      <c r="J2" s="7" t="s">
        <v>414</v>
      </c>
      <c r="K2" s="7" t="s">
        <v>415</v>
      </c>
      <c r="L2" s="7" t="s">
        <v>416</v>
      </c>
      <c r="M2" s="7" t="s">
        <v>417</v>
      </c>
      <c r="N2" s="7" t="s">
        <v>418</v>
      </c>
      <c r="O2" s="7" t="s">
        <v>419</v>
      </c>
    </row>
    <row r="3" ht="15.75" customHeight="1">
      <c r="A3" s="1"/>
      <c r="B3" s="1"/>
      <c r="C3" s="1"/>
      <c r="D3" s="1"/>
      <c r="E3" s="145"/>
      <c r="F3" s="145"/>
      <c r="G3" s="10" t="str">
        <f t="shared" ref="G3:O3" si="1">COUNTIF(G5:G200, "완료") &amp; "명 완료"
</f>
        <v>79명 완료</v>
      </c>
      <c r="H3" s="10" t="str">
        <f t="shared" si="1"/>
        <v>74명 완료</v>
      </c>
      <c r="I3" s="10" t="str">
        <f t="shared" si="1"/>
        <v>77명 완료</v>
      </c>
      <c r="J3" s="10" t="str">
        <f t="shared" si="1"/>
        <v>78명 완료</v>
      </c>
      <c r="K3" s="10" t="str">
        <f t="shared" si="1"/>
        <v>79명 완료</v>
      </c>
      <c r="L3" s="10" t="str">
        <f t="shared" si="1"/>
        <v>79명 완료</v>
      </c>
      <c r="M3" s="10" t="str">
        <f t="shared" si="1"/>
        <v>72명 완료</v>
      </c>
      <c r="N3" s="10" t="str">
        <f t="shared" si="1"/>
        <v>75명 완료</v>
      </c>
      <c r="O3" s="10" t="str">
        <f t="shared" si="1"/>
        <v>74명 완료</v>
      </c>
    </row>
    <row r="4" ht="15.75" customHeight="1">
      <c r="A4" s="146"/>
      <c r="B4" s="63"/>
      <c r="C4" s="64" t="s">
        <v>21</v>
      </c>
      <c r="D4" s="64" t="s">
        <v>22</v>
      </c>
      <c r="E4" s="147" t="s">
        <v>23</v>
      </c>
      <c r="F4" s="147" t="s">
        <v>24</v>
      </c>
      <c r="G4" s="148" t="s">
        <v>25</v>
      </c>
      <c r="H4" s="148" t="s">
        <v>25</v>
      </c>
      <c r="I4" s="148" t="s">
        <v>25</v>
      </c>
      <c r="J4" s="148" t="s">
        <v>25</v>
      </c>
      <c r="K4" s="148" t="s">
        <v>25</v>
      </c>
      <c r="L4" s="148" t="s">
        <v>25</v>
      </c>
      <c r="M4" s="148" t="s">
        <v>25</v>
      </c>
      <c r="N4" s="148" t="s">
        <v>25</v>
      </c>
      <c r="O4" s="148" t="s">
        <v>25</v>
      </c>
    </row>
    <row r="5" ht="15.75" customHeight="1">
      <c r="A5" s="20"/>
      <c r="B5" s="21">
        <v>1.0</v>
      </c>
      <c r="C5" s="22" t="s">
        <v>26</v>
      </c>
      <c r="D5" s="149" t="s">
        <v>27</v>
      </c>
      <c r="E5" s="70" t="str">
        <f t="shared" ref="E5:E124" si="2">IF(COUNTIF(G5:O5, "완료")=0, "", COUNTIF($G$4:$O$4, "완료") &amp; "번 중 " &amp; COUNTIF(G5:O5, "완료") &amp; "번 참여")
</f>
        <v>9번 중 9번 참여</v>
      </c>
      <c r="F5" s="71">
        <f t="shared" ref="F5:F124" si="3">IF(COUNTIF($G$4:$X$4, "완료")=0, "", IF(COUNTIF(G5:O5, "완료")=0, "", COUNTIF(G5:O5, "완료") / COUNTIF($G$4:$O$4, "완료")))
</f>
        <v>1</v>
      </c>
      <c r="G5" s="26" t="s">
        <v>25</v>
      </c>
      <c r="H5" s="26" t="s">
        <v>25</v>
      </c>
      <c r="I5" s="26" t="s">
        <v>25</v>
      </c>
      <c r="J5" s="26" t="s">
        <v>25</v>
      </c>
      <c r="K5" s="26" t="s">
        <v>25</v>
      </c>
      <c r="L5" s="26" t="s">
        <v>25</v>
      </c>
      <c r="M5" s="26" t="s">
        <v>25</v>
      </c>
      <c r="N5" s="26" t="s">
        <v>25</v>
      </c>
      <c r="O5" s="26" t="s">
        <v>25</v>
      </c>
    </row>
    <row r="6" ht="15.75" customHeight="1">
      <c r="A6" s="28"/>
      <c r="B6" s="29">
        <v>2.0</v>
      </c>
      <c r="C6" s="30" t="s">
        <v>326</v>
      </c>
      <c r="D6" s="30" t="s">
        <v>327</v>
      </c>
      <c r="E6" s="70" t="str">
        <f t="shared" si="2"/>
        <v>9번 중 9번 참여</v>
      </c>
      <c r="F6" s="71">
        <f t="shared" si="3"/>
        <v>1</v>
      </c>
      <c r="G6" s="26" t="s">
        <v>25</v>
      </c>
      <c r="H6" s="26" t="s">
        <v>25</v>
      </c>
      <c r="I6" s="26" t="s">
        <v>25</v>
      </c>
      <c r="J6" s="26" t="s">
        <v>25</v>
      </c>
      <c r="K6" s="26" t="s">
        <v>25</v>
      </c>
      <c r="L6" s="26" t="s">
        <v>25</v>
      </c>
      <c r="M6" s="26" t="s">
        <v>25</v>
      </c>
      <c r="N6" s="26" t="s">
        <v>25</v>
      </c>
      <c r="O6" s="26" t="s">
        <v>25</v>
      </c>
    </row>
    <row r="7" ht="15.75" customHeight="1">
      <c r="A7" s="20"/>
      <c r="B7" s="21">
        <v>3.0</v>
      </c>
      <c r="C7" s="22" t="s">
        <v>28</v>
      </c>
      <c r="D7" s="22" t="s">
        <v>29</v>
      </c>
      <c r="E7" s="70" t="str">
        <f t="shared" si="2"/>
        <v>9번 중 9번 참여</v>
      </c>
      <c r="F7" s="71">
        <f t="shared" si="3"/>
        <v>1</v>
      </c>
      <c r="G7" s="26" t="s">
        <v>25</v>
      </c>
      <c r="H7" s="26" t="s">
        <v>25</v>
      </c>
      <c r="I7" s="26" t="s">
        <v>25</v>
      </c>
      <c r="J7" s="26" t="s">
        <v>25</v>
      </c>
      <c r="K7" s="26" t="s">
        <v>25</v>
      </c>
      <c r="L7" s="26" t="s">
        <v>25</v>
      </c>
      <c r="M7" s="26" t="s">
        <v>25</v>
      </c>
      <c r="N7" s="26" t="s">
        <v>25</v>
      </c>
      <c r="O7" s="26" t="s">
        <v>25</v>
      </c>
    </row>
    <row r="8" ht="15.75" customHeight="1">
      <c r="A8" s="28"/>
      <c r="B8" s="29">
        <v>4.0</v>
      </c>
      <c r="C8" s="30" t="s">
        <v>30</v>
      </c>
      <c r="D8" s="30" t="s">
        <v>31</v>
      </c>
      <c r="E8" s="70" t="str">
        <f t="shared" si="2"/>
        <v>9번 중 9번 참여</v>
      </c>
      <c r="F8" s="71">
        <f t="shared" si="3"/>
        <v>1</v>
      </c>
      <c r="G8" s="26" t="s">
        <v>25</v>
      </c>
      <c r="H8" s="26" t="s">
        <v>25</v>
      </c>
      <c r="I8" s="26" t="s">
        <v>25</v>
      </c>
      <c r="J8" s="26" t="s">
        <v>25</v>
      </c>
      <c r="K8" s="26" t="s">
        <v>25</v>
      </c>
      <c r="L8" s="26" t="s">
        <v>25</v>
      </c>
      <c r="M8" s="26" t="s">
        <v>25</v>
      </c>
      <c r="N8" s="26" t="s">
        <v>25</v>
      </c>
      <c r="O8" s="26" t="s">
        <v>25</v>
      </c>
    </row>
    <row r="9" ht="15.75" customHeight="1">
      <c r="A9" s="20"/>
      <c r="B9" s="21">
        <v>5.0</v>
      </c>
      <c r="C9" s="22" t="s">
        <v>32</v>
      </c>
      <c r="D9" s="22" t="s">
        <v>33</v>
      </c>
      <c r="E9" s="70" t="str">
        <f t="shared" si="2"/>
        <v>9번 중 9번 참여</v>
      </c>
      <c r="F9" s="71">
        <f t="shared" si="3"/>
        <v>1</v>
      </c>
      <c r="G9" s="26" t="s">
        <v>25</v>
      </c>
      <c r="H9" s="26" t="s">
        <v>25</v>
      </c>
      <c r="I9" s="26" t="s">
        <v>25</v>
      </c>
      <c r="J9" s="26" t="s">
        <v>25</v>
      </c>
      <c r="K9" s="26" t="s">
        <v>25</v>
      </c>
      <c r="L9" s="26" t="s">
        <v>25</v>
      </c>
      <c r="M9" s="26" t="s">
        <v>25</v>
      </c>
      <c r="N9" s="26" t="s">
        <v>25</v>
      </c>
      <c r="O9" s="26" t="s">
        <v>25</v>
      </c>
    </row>
    <row r="10" ht="15.75" customHeight="1">
      <c r="A10" s="28"/>
      <c r="B10" s="29">
        <v>6.0</v>
      </c>
      <c r="C10" s="30" t="s">
        <v>34</v>
      </c>
      <c r="D10" s="30" t="s">
        <v>35</v>
      </c>
      <c r="E10" s="70" t="str">
        <f t="shared" si="2"/>
        <v>9번 중 8번 참여</v>
      </c>
      <c r="F10" s="71">
        <f t="shared" si="3"/>
        <v>0.8888888889</v>
      </c>
      <c r="G10" s="26" t="s">
        <v>25</v>
      </c>
      <c r="H10" s="26"/>
      <c r="I10" s="26" t="s">
        <v>25</v>
      </c>
      <c r="J10" s="26" t="s">
        <v>25</v>
      </c>
      <c r="K10" s="26" t="s">
        <v>25</v>
      </c>
      <c r="L10" s="26" t="s">
        <v>25</v>
      </c>
      <c r="M10" s="26" t="s">
        <v>25</v>
      </c>
      <c r="N10" s="26" t="s">
        <v>25</v>
      </c>
      <c r="O10" s="26" t="s">
        <v>25</v>
      </c>
    </row>
    <row r="11" ht="15.75" customHeight="1">
      <c r="A11" s="20"/>
      <c r="B11" s="21">
        <v>7.0</v>
      </c>
      <c r="C11" s="22" t="s">
        <v>36</v>
      </c>
      <c r="D11" s="22" t="s">
        <v>72</v>
      </c>
      <c r="E11" s="70" t="str">
        <f t="shared" si="2"/>
        <v>9번 중 9번 참여</v>
      </c>
      <c r="F11" s="71">
        <f t="shared" si="3"/>
        <v>1</v>
      </c>
      <c r="G11" s="26" t="s">
        <v>25</v>
      </c>
      <c r="H11" s="26" t="s">
        <v>25</v>
      </c>
      <c r="I11" s="26" t="s">
        <v>25</v>
      </c>
      <c r="J11" s="26" t="s">
        <v>25</v>
      </c>
      <c r="K11" s="26" t="s">
        <v>25</v>
      </c>
      <c r="L11" s="26" t="s">
        <v>25</v>
      </c>
      <c r="M11" s="26" t="s">
        <v>25</v>
      </c>
      <c r="N11" s="26" t="s">
        <v>25</v>
      </c>
      <c r="O11" s="26" t="s">
        <v>25</v>
      </c>
    </row>
    <row r="12" ht="15.75" customHeight="1">
      <c r="A12" s="28"/>
      <c r="B12" s="29">
        <v>8.0</v>
      </c>
      <c r="C12" s="30" t="s">
        <v>38</v>
      </c>
      <c r="D12" s="30" t="s">
        <v>39</v>
      </c>
      <c r="E12" s="70" t="str">
        <f t="shared" si="2"/>
        <v>9번 중 9번 참여</v>
      </c>
      <c r="F12" s="71">
        <f t="shared" si="3"/>
        <v>1</v>
      </c>
      <c r="G12" s="26" t="s">
        <v>25</v>
      </c>
      <c r="H12" s="26" t="s">
        <v>25</v>
      </c>
      <c r="I12" s="26" t="s">
        <v>25</v>
      </c>
      <c r="J12" s="26" t="s">
        <v>25</v>
      </c>
      <c r="K12" s="26" t="s">
        <v>25</v>
      </c>
      <c r="L12" s="26" t="s">
        <v>25</v>
      </c>
      <c r="M12" s="26" t="s">
        <v>25</v>
      </c>
      <c r="N12" s="26" t="s">
        <v>25</v>
      </c>
      <c r="O12" s="26" t="s">
        <v>25</v>
      </c>
    </row>
    <row r="13" ht="15.75" customHeight="1">
      <c r="A13" s="20"/>
      <c r="B13" s="21">
        <v>9.0</v>
      </c>
      <c r="C13" s="22" t="s">
        <v>40</v>
      </c>
      <c r="D13" s="22" t="s">
        <v>41</v>
      </c>
      <c r="E13" s="70" t="str">
        <f t="shared" si="2"/>
        <v>9번 중 9번 참여</v>
      </c>
      <c r="F13" s="71">
        <f t="shared" si="3"/>
        <v>1</v>
      </c>
      <c r="G13" s="26" t="s">
        <v>25</v>
      </c>
      <c r="H13" s="26" t="s">
        <v>25</v>
      </c>
      <c r="I13" s="26" t="s">
        <v>25</v>
      </c>
      <c r="J13" s="26" t="s">
        <v>25</v>
      </c>
      <c r="K13" s="26" t="s">
        <v>25</v>
      </c>
      <c r="L13" s="26" t="s">
        <v>25</v>
      </c>
      <c r="M13" s="26" t="s">
        <v>25</v>
      </c>
      <c r="N13" s="26" t="s">
        <v>25</v>
      </c>
      <c r="O13" s="26" t="s">
        <v>25</v>
      </c>
    </row>
    <row r="14" ht="15.75" customHeight="1">
      <c r="A14" s="28"/>
      <c r="B14" s="29">
        <v>10.0</v>
      </c>
      <c r="C14" s="30" t="s">
        <v>42</v>
      </c>
      <c r="D14" s="30" t="s">
        <v>43</v>
      </c>
      <c r="E14" s="70" t="str">
        <f t="shared" si="2"/>
        <v>9번 중 8번 참여</v>
      </c>
      <c r="F14" s="71">
        <f t="shared" si="3"/>
        <v>0.8888888889</v>
      </c>
      <c r="G14" s="26" t="s">
        <v>25</v>
      </c>
      <c r="H14" s="26" t="s">
        <v>25</v>
      </c>
      <c r="I14" s="26" t="s">
        <v>25</v>
      </c>
      <c r="J14" s="26" t="s">
        <v>25</v>
      </c>
      <c r="K14" s="26"/>
      <c r="L14" s="26" t="s">
        <v>25</v>
      </c>
      <c r="M14" s="26" t="s">
        <v>25</v>
      </c>
      <c r="N14" s="26" t="s">
        <v>25</v>
      </c>
      <c r="O14" s="26" t="s">
        <v>25</v>
      </c>
    </row>
    <row r="15" ht="15.75" customHeight="1">
      <c r="A15" s="20"/>
      <c r="B15" s="21">
        <v>11.0</v>
      </c>
      <c r="C15" s="22" t="s">
        <v>420</v>
      </c>
      <c r="D15" s="22" t="s">
        <v>329</v>
      </c>
      <c r="E15" s="70" t="str">
        <f t="shared" si="2"/>
        <v>9번 중 9번 참여</v>
      </c>
      <c r="F15" s="71">
        <f t="shared" si="3"/>
        <v>1</v>
      </c>
      <c r="G15" s="150" t="s">
        <v>25</v>
      </c>
      <c r="H15" s="26" t="s">
        <v>25</v>
      </c>
      <c r="I15" s="26" t="s">
        <v>25</v>
      </c>
      <c r="J15" s="26" t="s">
        <v>25</v>
      </c>
      <c r="K15" s="26" t="s">
        <v>25</v>
      </c>
      <c r="L15" s="26" t="s">
        <v>25</v>
      </c>
      <c r="M15" s="26" t="s">
        <v>25</v>
      </c>
      <c r="N15" s="26" t="s">
        <v>25</v>
      </c>
      <c r="O15" s="26" t="s">
        <v>25</v>
      </c>
    </row>
    <row r="16" ht="15.75" customHeight="1">
      <c r="A16" s="28"/>
      <c r="B16" s="29">
        <v>12.0</v>
      </c>
      <c r="C16" s="30" t="s">
        <v>421</v>
      </c>
      <c r="D16" s="30" t="s">
        <v>330</v>
      </c>
      <c r="E16" s="70" t="str">
        <f t="shared" si="2"/>
        <v>9번 중 9번 참여</v>
      </c>
      <c r="F16" s="71">
        <f t="shared" si="3"/>
        <v>1</v>
      </c>
      <c r="G16" s="26" t="s">
        <v>25</v>
      </c>
      <c r="H16" s="26" t="s">
        <v>25</v>
      </c>
      <c r="I16" s="26" t="s">
        <v>25</v>
      </c>
      <c r="J16" s="26" t="s">
        <v>25</v>
      </c>
      <c r="K16" s="26" t="s">
        <v>25</v>
      </c>
      <c r="L16" s="26" t="s">
        <v>25</v>
      </c>
      <c r="M16" s="26" t="s">
        <v>25</v>
      </c>
      <c r="N16" s="26" t="s">
        <v>25</v>
      </c>
      <c r="O16" s="26" t="s">
        <v>25</v>
      </c>
    </row>
    <row r="17" ht="15.75" customHeight="1">
      <c r="A17" s="20"/>
      <c r="B17" s="21">
        <v>13.0</v>
      </c>
      <c r="C17" s="22" t="s">
        <v>44</v>
      </c>
      <c r="D17" s="22" t="s">
        <v>45</v>
      </c>
      <c r="E17" s="70" t="str">
        <f t="shared" si="2"/>
        <v>9번 중 9번 참여</v>
      </c>
      <c r="F17" s="71">
        <f t="shared" si="3"/>
        <v>1</v>
      </c>
      <c r="G17" s="26" t="s">
        <v>25</v>
      </c>
      <c r="H17" s="26" t="s">
        <v>25</v>
      </c>
      <c r="I17" s="26" t="s">
        <v>25</v>
      </c>
      <c r="J17" s="26" t="s">
        <v>25</v>
      </c>
      <c r="K17" s="26" t="s">
        <v>25</v>
      </c>
      <c r="L17" s="26" t="s">
        <v>25</v>
      </c>
      <c r="M17" s="26" t="s">
        <v>25</v>
      </c>
      <c r="N17" s="26" t="s">
        <v>25</v>
      </c>
      <c r="O17" s="26" t="s">
        <v>25</v>
      </c>
    </row>
    <row r="18" ht="15.75" customHeight="1">
      <c r="A18" s="28"/>
      <c r="B18" s="29">
        <v>14.0</v>
      </c>
      <c r="C18" s="30" t="s">
        <v>46</v>
      </c>
      <c r="D18" s="30" t="s">
        <v>47</v>
      </c>
      <c r="E18" s="70" t="str">
        <f t="shared" si="2"/>
        <v>9번 중 9번 참여</v>
      </c>
      <c r="F18" s="71">
        <f t="shared" si="3"/>
        <v>1</v>
      </c>
      <c r="G18" s="26" t="s">
        <v>25</v>
      </c>
      <c r="H18" s="26" t="s">
        <v>25</v>
      </c>
      <c r="I18" s="26" t="s">
        <v>25</v>
      </c>
      <c r="J18" s="26" t="s">
        <v>25</v>
      </c>
      <c r="K18" s="26" t="s">
        <v>25</v>
      </c>
      <c r="L18" s="26" t="s">
        <v>25</v>
      </c>
      <c r="M18" s="26" t="s">
        <v>25</v>
      </c>
      <c r="N18" s="26" t="s">
        <v>25</v>
      </c>
      <c r="O18" s="26" t="s">
        <v>25</v>
      </c>
    </row>
    <row r="19" ht="15.75" customHeight="1">
      <c r="A19" s="20"/>
      <c r="B19" s="21">
        <v>15.0</v>
      </c>
      <c r="C19" s="22" t="s">
        <v>48</v>
      </c>
      <c r="D19" s="22" t="s">
        <v>49</v>
      </c>
      <c r="E19" s="70" t="str">
        <f t="shared" si="2"/>
        <v>9번 중 9번 참여</v>
      </c>
      <c r="F19" s="71">
        <f t="shared" si="3"/>
        <v>1</v>
      </c>
      <c r="G19" s="26" t="s">
        <v>25</v>
      </c>
      <c r="H19" s="26" t="s">
        <v>25</v>
      </c>
      <c r="I19" s="26" t="s">
        <v>25</v>
      </c>
      <c r="J19" s="26" t="s">
        <v>25</v>
      </c>
      <c r="K19" s="26" t="s">
        <v>25</v>
      </c>
      <c r="L19" s="26" t="s">
        <v>25</v>
      </c>
      <c r="M19" s="26" t="s">
        <v>25</v>
      </c>
      <c r="N19" s="26" t="s">
        <v>25</v>
      </c>
      <c r="O19" s="26" t="s">
        <v>25</v>
      </c>
    </row>
    <row r="20" ht="15.75" customHeight="1">
      <c r="A20" s="28"/>
      <c r="B20" s="29">
        <v>16.0</v>
      </c>
      <c r="C20" s="30" t="s">
        <v>50</v>
      </c>
      <c r="D20" s="30" t="s">
        <v>51</v>
      </c>
      <c r="E20" s="70" t="str">
        <f t="shared" si="2"/>
        <v>9번 중 9번 참여</v>
      </c>
      <c r="F20" s="71">
        <f t="shared" si="3"/>
        <v>1</v>
      </c>
      <c r="G20" s="26" t="s">
        <v>25</v>
      </c>
      <c r="H20" s="26" t="s">
        <v>25</v>
      </c>
      <c r="I20" s="26" t="s">
        <v>25</v>
      </c>
      <c r="J20" s="26" t="s">
        <v>25</v>
      </c>
      <c r="K20" s="26" t="s">
        <v>25</v>
      </c>
      <c r="L20" s="26" t="s">
        <v>25</v>
      </c>
      <c r="M20" s="26" t="s">
        <v>25</v>
      </c>
      <c r="N20" s="26" t="s">
        <v>25</v>
      </c>
      <c r="O20" s="26" t="s">
        <v>25</v>
      </c>
    </row>
    <row r="21" ht="15.75" customHeight="1">
      <c r="A21" s="20"/>
      <c r="B21" s="21">
        <v>17.0</v>
      </c>
      <c r="C21" s="22" t="s">
        <v>52</v>
      </c>
      <c r="D21" s="22" t="s">
        <v>53</v>
      </c>
      <c r="E21" s="70" t="str">
        <f t="shared" si="2"/>
        <v>9번 중 7번 참여</v>
      </c>
      <c r="F21" s="71">
        <f t="shared" si="3"/>
        <v>0.7777777778</v>
      </c>
      <c r="G21" s="26" t="s">
        <v>25</v>
      </c>
      <c r="H21" s="26" t="s">
        <v>25</v>
      </c>
      <c r="I21" s="26"/>
      <c r="J21" s="26"/>
      <c r="K21" s="26" t="s">
        <v>25</v>
      </c>
      <c r="L21" s="26" t="s">
        <v>25</v>
      </c>
      <c r="M21" s="26" t="s">
        <v>25</v>
      </c>
      <c r="N21" s="26" t="s">
        <v>25</v>
      </c>
      <c r="O21" s="26" t="s">
        <v>25</v>
      </c>
    </row>
    <row r="22" ht="15.75" customHeight="1">
      <c r="A22" s="28"/>
      <c r="B22" s="29">
        <v>18.0</v>
      </c>
      <c r="C22" s="30" t="s">
        <v>331</v>
      </c>
      <c r="D22" s="30" t="s">
        <v>332</v>
      </c>
      <c r="E22" s="70" t="str">
        <f t="shared" si="2"/>
        <v>9번 중 9번 참여</v>
      </c>
      <c r="F22" s="71">
        <f t="shared" si="3"/>
        <v>1</v>
      </c>
      <c r="G22" s="26" t="s">
        <v>25</v>
      </c>
      <c r="H22" s="26" t="s">
        <v>25</v>
      </c>
      <c r="I22" s="26" t="s">
        <v>25</v>
      </c>
      <c r="J22" s="26" t="s">
        <v>25</v>
      </c>
      <c r="K22" s="26" t="s">
        <v>25</v>
      </c>
      <c r="L22" s="26" t="s">
        <v>25</v>
      </c>
      <c r="M22" s="26" t="s">
        <v>25</v>
      </c>
      <c r="N22" s="26" t="s">
        <v>25</v>
      </c>
      <c r="O22" s="26" t="s">
        <v>25</v>
      </c>
    </row>
    <row r="23" ht="15.75" customHeight="1">
      <c r="A23" s="20"/>
      <c r="B23" s="21">
        <v>19.0</v>
      </c>
      <c r="C23" s="22" t="s">
        <v>56</v>
      </c>
      <c r="D23" s="22" t="s">
        <v>57</v>
      </c>
      <c r="E23" s="70" t="str">
        <f t="shared" si="2"/>
        <v>9번 중 9번 참여</v>
      </c>
      <c r="F23" s="71">
        <f t="shared" si="3"/>
        <v>1</v>
      </c>
      <c r="G23" s="26" t="s">
        <v>25</v>
      </c>
      <c r="H23" s="26" t="s">
        <v>25</v>
      </c>
      <c r="I23" s="26" t="s">
        <v>25</v>
      </c>
      <c r="J23" s="26" t="s">
        <v>25</v>
      </c>
      <c r="K23" s="26" t="s">
        <v>25</v>
      </c>
      <c r="L23" s="26" t="s">
        <v>25</v>
      </c>
      <c r="M23" s="26" t="s">
        <v>25</v>
      </c>
      <c r="N23" s="26" t="s">
        <v>25</v>
      </c>
      <c r="O23" s="26" t="s">
        <v>25</v>
      </c>
    </row>
    <row r="24" ht="15.75" customHeight="1">
      <c r="A24" s="28"/>
      <c r="B24" s="29">
        <v>20.0</v>
      </c>
      <c r="C24" s="30" t="s">
        <v>58</v>
      </c>
      <c r="D24" s="30" t="s">
        <v>59</v>
      </c>
      <c r="E24" s="70" t="str">
        <f t="shared" si="2"/>
        <v>9번 중 8번 참여</v>
      </c>
      <c r="F24" s="71">
        <f t="shared" si="3"/>
        <v>0.8888888889</v>
      </c>
      <c r="G24" s="26" t="s">
        <v>25</v>
      </c>
      <c r="H24" s="26" t="s">
        <v>25</v>
      </c>
      <c r="I24" s="26" t="s">
        <v>25</v>
      </c>
      <c r="J24" s="26" t="s">
        <v>25</v>
      </c>
      <c r="K24" s="26" t="s">
        <v>25</v>
      </c>
      <c r="L24" s="26" t="s">
        <v>25</v>
      </c>
      <c r="M24" s="26"/>
      <c r="N24" s="26" t="s">
        <v>25</v>
      </c>
      <c r="O24" s="26" t="s">
        <v>25</v>
      </c>
    </row>
    <row r="25" ht="15.75" customHeight="1">
      <c r="A25" s="20"/>
      <c r="B25" s="21">
        <v>21.0</v>
      </c>
      <c r="C25" s="22" t="s">
        <v>60</v>
      </c>
      <c r="D25" s="23" t="s">
        <v>61</v>
      </c>
      <c r="E25" s="70" t="str">
        <f t="shared" si="2"/>
        <v>9번 중 9번 참여</v>
      </c>
      <c r="F25" s="71">
        <f t="shared" si="3"/>
        <v>1</v>
      </c>
      <c r="G25" s="26" t="s">
        <v>25</v>
      </c>
      <c r="H25" s="26" t="s">
        <v>25</v>
      </c>
      <c r="I25" s="26" t="s">
        <v>25</v>
      </c>
      <c r="J25" s="26" t="s">
        <v>25</v>
      </c>
      <c r="K25" s="26" t="s">
        <v>25</v>
      </c>
      <c r="L25" s="26" t="s">
        <v>25</v>
      </c>
      <c r="M25" s="26" t="s">
        <v>25</v>
      </c>
      <c r="N25" s="26" t="s">
        <v>25</v>
      </c>
      <c r="O25" s="26" t="s">
        <v>25</v>
      </c>
    </row>
    <row r="26" ht="15.75" customHeight="1">
      <c r="A26" s="28"/>
      <c r="B26" s="29">
        <v>22.0</v>
      </c>
      <c r="C26" s="42" t="s">
        <v>62</v>
      </c>
      <c r="D26" s="42" t="s">
        <v>63</v>
      </c>
      <c r="E26" s="70" t="str">
        <f t="shared" si="2"/>
        <v>9번 중 9번 참여</v>
      </c>
      <c r="F26" s="71">
        <f t="shared" si="3"/>
        <v>1</v>
      </c>
      <c r="G26" s="26" t="s">
        <v>25</v>
      </c>
      <c r="H26" s="26" t="s">
        <v>25</v>
      </c>
      <c r="I26" s="26" t="s">
        <v>25</v>
      </c>
      <c r="J26" s="26" t="s">
        <v>25</v>
      </c>
      <c r="K26" s="26" t="s">
        <v>25</v>
      </c>
      <c r="L26" s="26" t="s">
        <v>25</v>
      </c>
      <c r="M26" s="26" t="s">
        <v>25</v>
      </c>
      <c r="N26" s="26" t="s">
        <v>25</v>
      </c>
      <c r="O26" s="26" t="s">
        <v>25</v>
      </c>
    </row>
    <row r="27" ht="15.75" customHeight="1">
      <c r="A27" s="20"/>
      <c r="B27" s="21">
        <v>23.0</v>
      </c>
      <c r="C27" s="22" t="s">
        <v>64</v>
      </c>
      <c r="D27" s="22" t="s">
        <v>65</v>
      </c>
      <c r="E27" s="70" t="str">
        <f t="shared" si="2"/>
        <v>9번 중 8번 참여</v>
      </c>
      <c r="F27" s="71">
        <f t="shared" si="3"/>
        <v>0.8888888889</v>
      </c>
      <c r="G27" s="26"/>
      <c r="H27" s="26" t="s">
        <v>25</v>
      </c>
      <c r="I27" s="26" t="s">
        <v>25</v>
      </c>
      <c r="J27" s="26" t="s">
        <v>25</v>
      </c>
      <c r="K27" s="26" t="s">
        <v>25</v>
      </c>
      <c r="L27" s="26" t="s">
        <v>25</v>
      </c>
      <c r="M27" s="26" t="s">
        <v>25</v>
      </c>
      <c r="N27" s="26" t="s">
        <v>25</v>
      </c>
      <c r="O27" s="26" t="s">
        <v>25</v>
      </c>
    </row>
    <row r="28" ht="15.75" customHeight="1">
      <c r="A28" s="28"/>
      <c r="B28" s="29">
        <v>24.0</v>
      </c>
      <c r="C28" s="30" t="s">
        <v>337</v>
      </c>
      <c r="D28" s="30" t="s">
        <v>338</v>
      </c>
      <c r="E28" s="70" t="str">
        <f t="shared" si="2"/>
        <v>9번 중 9번 참여</v>
      </c>
      <c r="F28" s="71">
        <f t="shared" si="3"/>
        <v>1</v>
      </c>
      <c r="G28" s="26" t="s">
        <v>25</v>
      </c>
      <c r="H28" s="26" t="s">
        <v>25</v>
      </c>
      <c r="I28" s="26" t="s">
        <v>25</v>
      </c>
      <c r="J28" s="26" t="s">
        <v>25</v>
      </c>
      <c r="K28" s="26" t="s">
        <v>25</v>
      </c>
      <c r="L28" s="26" t="s">
        <v>25</v>
      </c>
      <c r="M28" s="26" t="s">
        <v>25</v>
      </c>
      <c r="N28" s="26" t="s">
        <v>25</v>
      </c>
      <c r="O28" s="26" t="s">
        <v>25</v>
      </c>
    </row>
    <row r="29" ht="15.75" customHeight="1">
      <c r="A29" s="20"/>
      <c r="B29" s="21">
        <v>25.0</v>
      </c>
      <c r="C29" s="22" t="s">
        <v>422</v>
      </c>
      <c r="D29" s="22" t="s">
        <v>339</v>
      </c>
      <c r="E29" s="70" t="str">
        <f t="shared" si="2"/>
        <v>9번 중 9번 참여</v>
      </c>
      <c r="F29" s="71">
        <f t="shared" si="3"/>
        <v>1</v>
      </c>
      <c r="G29" s="26" t="s">
        <v>25</v>
      </c>
      <c r="H29" s="26" t="s">
        <v>25</v>
      </c>
      <c r="I29" s="26" t="s">
        <v>25</v>
      </c>
      <c r="J29" s="26" t="s">
        <v>25</v>
      </c>
      <c r="K29" s="26" t="s">
        <v>25</v>
      </c>
      <c r="L29" s="26" t="s">
        <v>25</v>
      </c>
      <c r="M29" s="26" t="s">
        <v>25</v>
      </c>
      <c r="N29" s="26" t="s">
        <v>25</v>
      </c>
      <c r="O29" s="26" t="s">
        <v>25</v>
      </c>
    </row>
    <row r="30" ht="15.75" customHeight="1">
      <c r="A30" s="28"/>
      <c r="B30" s="29">
        <v>26.0</v>
      </c>
      <c r="C30" s="30" t="s">
        <v>74</v>
      </c>
      <c r="D30" s="30" t="s">
        <v>75</v>
      </c>
      <c r="E30" s="70" t="str">
        <f t="shared" si="2"/>
        <v>9번 중 8번 참여</v>
      </c>
      <c r="F30" s="71">
        <f t="shared" si="3"/>
        <v>0.8888888889</v>
      </c>
      <c r="G30" s="26" t="s">
        <v>25</v>
      </c>
      <c r="H30" s="26" t="s">
        <v>25</v>
      </c>
      <c r="I30" s="26"/>
      <c r="J30" s="26" t="s">
        <v>25</v>
      </c>
      <c r="K30" s="26" t="s">
        <v>25</v>
      </c>
      <c r="L30" s="26" t="s">
        <v>25</v>
      </c>
      <c r="M30" s="26" t="s">
        <v>25</v>
      </c>
      <c r="N30" s="26" t="s">
        <v>25</v>
      </c>
      <c r="O30" s="26" t="s">
        <v>25</v>
      </c>
    </row>
    <row r="31" ht="15.75" customHeight="1">
      <c r="A31" s="20"/>
      <c r="B31" s="21">
        <v>27.0</v>
      </c>
      <c r="C31" s="22" t="s">
        <v>76</v>
      </c>
      <c r="D31" s="23" t="s">
        <v>77</v>
      </c>
      <c r="E31" s="70" t="str">
        <f t="shared" si="2"/>
        <v>9번 중 9번 참여</v>
      </c>
      <c r="F31" s="71">
        <f t="shared" si="3"/>
        <v>1</v>
      </c>
      <c r="G31" s="26" t="s">
        <v>25</v>
      </c>
      <c r="H31" s="26" t="s">
        <v>25</v>
      </c>
      <c r="I31" s="26" t="s">
        <v>25</v>
      </c>
      <c r="J31" s="26" t="s">
        <v>25</v>
      </c>
      <c r="K31" s="26" t="s">
        <v>25</v>
      </c>
      <c r="L31" s="26" t="s">
        <v>25</v>
      </c>
      <c r="M31" s="26" t="s">
        <v>25</v>
      </c>
      <c r="N31" s="26" t="s">
        <v>25</v>
      </c>
      <c r="O31" s="26" t="s">
        <v>25</v>
      </c>
    </row>
    <row r="32" ht="15.75" customHeight="1">
      <c r="A32" s="28"/>
      <c r="B32" s="29">
        <v>28.0</v>
      </c>
      <c r="C32" s="30" t="s">
        <v>78</v>
      </c>
      <c r="D32" s="30" t="s">
        <v>79</v>
      </c>
      <c r="E32" s="70" t="str">
        <f t="shared" si="2"/>
        <v>9번 중 9번 참여</v>
      </c>
      <c r="F32" s="71">
        <f t="shared" si="3"/>
        <v>1</v>
      </c>
      <c r="G32" s="26" t="s">
        <v>25</v>
      </c>
      <c r="H32" s="26" t="s">
        <v>25</v>
      </c>
      <c r="I32" s="26" t="s">
        <v>25</v>
      </c>
      <c r="J32" s="26" t="s">
        <v>25</v>
      </c>
      <c r="K32" s="26" t="s">
        <v>25</v>
      </c>
      <c r="L32" s="26" t="s">
        <v>25</v>
      </c>
      <c r="M32" s="26" t="s">
        <v>25</v>
      </c>
      <c r="N32" s="26" t="s">
        <v>25</v>
      </c>
      <c r="O32" s="26" t="s">
        <v>25</v>
      </c>
    </row>
    <row r="33" ht="15.75" customHeight="1">
      <c r="A33" s="20"/>
      <c r="B33" s="21">
        <v>29.0</v>
      </c>
      <c r="C33" s="22" t="s">
        <v>130</v>
      </c>
      <c r="D33" s="22" t="s">
        <v>340</v>
      </c>
      <c r="E33" s="70" t="str">
        <f t="shared" si="2"/>
        <v>9번 중 9번 참여</v>
      </c>
      <c r="F33" s="71">
        <f t="shared" si="3"/>
        <v>1</v>
      </c>
      <c r="G33" s="26" t="s">
        <v>25</v>
      </c>
      <c r="H33" s="26" t="s">
        <v>25</v>
      </c>
      <c r="I33" s="26" t="s">
        <v>25</v>
      </c>
      <c r="J33" s="26" t="s">
        <v>25</v>
      </c>
      <c r="K33" s="26" t="s">
        <v>25</v>
      </c>
      <c r="L33" s="26" t="s">
        <v>25</v>
      </c>
      <c r="M33" s="26" t="s">
        <v>25</v>
      </c>
      <c r="N33" s="26" t="s">
        <v>25</v>
      </c>
      <c r="O33" s="26" t="s">
        <v>25</v>
      </c>
    </row>
    <row r="34" ht="15.75" customHeight="1">
      <c r="A34" s="28"/>
      <c r="B34" s="29">
        <v>30.0</v>
      </c>
      <c r="C34" s="30" t="s">
        <v>81</v>
      </c>
      <c r="D34" s="30" t="s">
        <v>82</v>
      </c>
      <c r="E34" s="70" t="str">
        <f t="shared" si="2"/>
        <v>9번 중 8번 참여</v>
      </c>
      <c r="F34" s="71">
        <f t="shared" si="3"/>
        <v>0.8888888889</v>
      </c>
      <c r="G34" s="26" t="s">
        <v>25</v>
      </c>
      <c r="H34" s="26" t="s">
        <v>25</v>
      </c>
      <c r="I34" s="26" t="s">
        <v>25</v>
      </c>
      <c r="J34" s="26" t="s">
        <v>25</v>
      </c>
      <c r="K34" s="26" t="s">
        <v>25</v>
      </c>
      <c r="L34" s="26" t="s">
        <v>25</v>
      </c>
      <c r="M34" s="26" t="s">
        <v>25</v>
      </c>
      <c r="N34" s="26"/>
      <c r="O34" s="26" t="s">
        <v>25</v>
      </c>
    </row>
    <row r="35" ht="15.75" customHeight="1">
      <c r="A35" s="20"/>
      <c r="B35" s="21">
        <v>31.0</v>
      </c>
      <c r="C35" s="22" t="s">
        <v>83</v>
      </c>
      <c r="D35" s="22" t="s">
        <v>84</v>
      </c>
      <c r="E35" s="70" t="str">
        <f t="shared" si="2"/>
        <v>9번 중 8번 참여</v>
      </c>
      <c r="F35" s="71">
        <f t="shared" si="3"/>
        <v>0.8888888889</v>
      </c>
      <c r="G35" s="26" t="s">
        <v>25</v>
      </c>
      <c r="H35" s="26" t="s">
        <v>25</v>
      </c>
      <c r="I35" s="26" t="s">
        <v>25</v>
      </c>
      <c r="J35" s="26" t="s">
        <v>25</v>
      </c>
      <c r="K35" s="26" t="s">
        <v>25</v>
      </c>
      <c r="L35" s="26" t="s">
        <v>25</v>
      </c>
      <c r="M35" s="26"/>
      <c r="N35" s="26" t="s">
        <v>25</v>
      </c>
      <c r="O35" s="26" t="s">
        <v>25</v>
      </c>
    </row>
    <row r="36" ht="15.75" customHeight="1">
      <c r="A36" s="28"/>
      <c r="B36" s="29">
        <v>32.0</v>
      </c>
      <c r="C36" s="30" t="s">
        <v>85</v>
      </c>
      <c r="D36" s="30" t="s">
        <v>86</v>
      </c>
      <c r="E36" s="70" t="str">
        <f t="shared" si="2"/>
        <v>9번 중 9번 참여</v>
      </c>
      <c r="F36" s="71">
        <f t="shared" si="3"/>
        <v>1</v>
      </c>
      <c r="G36" s="26" t="s">
        <v>25</v>
      </c>
      <c r="H36" s="26" t="s">
        <v>25</v>
      </c>
      <c r="I36" s="26" t="s">
        <v>25</v>
      </c>
      <c r="J36" s="26" t="s">
        <v>25</v>
      </c>
      <c r="K36" s="26" t="s">
        <v>25</v>
      </c>
      <c r="L36" s="26" t="s">
        <v>25</v>
      </c>
      <c r="M36" s="26" t="s">
        <v>25</v>
      </c>
      <c r="N36" s="26" t="s">
        <v>25</v>
      </c>
      <c r="O36" s="26" t="s">
        <v>25</v>
      </c>
    </row>
    <row r="37" ht="15.75" customHeight="1">
      <c r="A37" s="20"/>
      <c r="B37" s="21">
        <v>33.0</v>
      </c>
      <c r="C37" s="22" t="s">
        <v>87</v>
      </c>
      <c r="D37" s="23" t="s">
        <v>88</v>
      </c>
      <c r="E37" s="70" t="str">
        <f t="shared" si="2"/>
        <v>9번 중 7번 참여</v>
      </c>
      <c r="F37" s="71">
        <f t="shared" si="3"/>
        <v>0.7777777778</v>
      </c>
      <c r="G37" s="26" t="s">
        <v>25</v>
      </c>
      <c r="H37" s="26" t="s">
        <v>25</v>
      </c>
      <c r="I37" s="26"/>
      <c r="J37" s="26" t="s">
        <v>25</v>
      </c>
      <c r="K37" s="26" t="s">
        <v>25</v>
      </c>
      <c r="L37" s="26" t="s">
        <v>25</v>
      </c>
      <c r="M37" s="26" t="s">
        <v>25</v>
      </c>
      <c r="N37" s="26"/>
      <c r="O37" s="26" t="s">
        <v>25</v>
      </c>
    </row>
    <row r="38" ht="15.75" customHeight="1">
      <c r="A38" s="28"/>
      <c r="B38" s="29">
        <v>34.0</v>
      </c>
      <c r="C38" s="30" t="s">
        <v>423</v>
      </c>
      <c r="D38" s="30" t="s">
        <v>391</v>
      </c>
      <c r="E38" s="70" t="str">
        <f t="shared" si="2"/>
        <v>9번 중 5번 참여</v>
      </c>
      <c r="F38" s="71">
        <f t="shared" si="3"/>
        <v>0.5555555556</v>
      </c>
      <c r="G38" s="26" t="s">
        <v>25</v>
      </c>
      <c r="H38" s="26" t="s">
        <v>25</v>
      </c>
      <c r="I38" s="26" t="s">
        <v>25</v>
      </c>
      <c r="J38" s="26" t="s">
        <v>25</v>
      </c>
      <c r="K38" s="26" t="s">
        <v>25</v>
      </c>
      <c r="L38" s="26"/>
      <c r="M38" s="26"/>
      <c r="N38" s="26"/>
      <c r="O38" s="26"/>
    </row>
    <row r="39" ht="15.75" customHeight="1">
      <c r="A39" s="20"/>
      <c r="B39" s="21">
        <v>35.0</v>
      </c>
      <c r="C39" s="22" t="s">
        <v>384</v>
      </c>
      <c r="D39" s="22" t="s">
        <v>385</v>
      </c>
      <c r="E39" s="70" t="str">
        <f t="shared" si="2"/>
        <v>9번 중 5번 참여</v>
      </c>
      <c r="F39" s="71">
        <f t="shared" si="3"/>
        <v>0.5555555556</v>
      </c>
      <c r="G39" s="26" t="s">
        <v>25</v>
      </c>
      <c r="H39" s="26"/>
      <c r="I39" s="26" t="s">
        <v>25</v>
      </c>
      <c r="J39" s="26" t="s">
        <v>25</v>
      </c>
      <c r="K39" s="26" t="s">
        <v>25</v>
      </c>
      <c r="L39" s="26" t="s">
        <v>25</v>
      </c>
      <c r="M39" s="26"/>
      <c r="N39" s="26"/>
      <c r="O39" s="26"/>
    </row>
    <row r="40" ht="15.75" customHeight="1">
      <c r="A40" s="28"/>
      <c r="B40" s="29">
        <v>36.0</v>
      </c>
      <c r="C40" s="151" t="s">
        <v>93</v>
      </c>
      <c r="D40" s="151" t="s">
        <v>94</v>
      </c>
      <c r="E40" s="70" t="str">
        <f t="shared" si="2"/>
        <v>9번 중 9번 참여</v>
      </c>
      <c r="F40" s="71">
        <f t="shared" si="3"/>
        <v>1</v>
      </c>
      <c r="G40" s="26" t="s">
        <v>25</v>
      </c>
      <c r="H40" s="26" t="s">
        <v>25</v>
      </c>
      <c r="I40" s="26" t="s">
        <v>25</v>
      </c>
      <c r="J40" s="26" t="s">
        <v>25</v>
      </c>
      <c r="K40" s="26" t="s">
        <v>25</v>
      </c>
      <c r="L40" s="26" t="s">
        <v>25</v>
      </c>
      <c r="M40" s="26" t="s">
        <v>25</v>
      </c>
      <c r="N40" s="26" t="s">
        <v>25</v>
      </c>
      <c r="O40" s="26" t="s">
        <v>25</v>
      </c>
    </row>
    <row r="41" ht="15.75" customHeight="1">
      <c r="A41" s="20"/>
      <c r="B41" s="21">
        <v>37.0</v>
      </c>
      <c r="C41" s="22" t="s">
        <v>124</v>
      </c>
      <c r="D41" s="22" t="s">
        <v>125</v>
      </c>
      <c r="E41" s="70" t="str">
        <f t="shared" si="2"/>
        <v>9번 중 9번 참여</v>
      </c>
      <c r="F41" s="71">
        <f t="shared" si="3"/>
        <v>1</v>
      </c>
      <c r="G41" s="26" t="s">
        <v>25</v>
      </c>
      <c r="H41" s="26" t="s">
        <v>25</v>
      </c>
      <c r="I41" s="26" t="s">
        <v>25</v>
      </c>
      <c r="J41" s="26" t="s">
        <v>25</v>
      </c>
      <c r="K41" s="26" t="s">
        <v>25</v>
      </c>
      <c r="L41" s="26" t="s">
        <v>25</v>
      </c>
      <c r="M41" s="26" t="s">
        <v>25</v>
      </c>
      <c r="N41" s="26" t="s">
        <v>25</v>
      </c>
      <c r="O41" s="26" t="s">
        <v>25</v>
      </c>
    </row>
    <row r="42" ht="15.75" customHeight="1">
      <c r="A42" s="28"/>
      <c r="B42" s="29">
        <v>38.0</v>
      </c>
      <c r="C42" s="30" t="s">
        <v>128</v>
      </c>
      <c r="D42" s="30" t="s">
        <v>129</v>
      </c>
      <c r="E42" s="70" t="str">
        <f t="shared" si="2"/>
        <v>9번 중 9번 참여</v>
      </c>
      <c r="F42" s="71">
        <f t="shared" si="3"/>
        <v>1</v>
      </c>
      <c r="G42" s="26" t="s">
        <v>25</v>
      </c>
      <c r="H42" s="26" t="s">
        <v>25</v>
      </c>
      <c r="I42" s="26" t="s">
        <v>25</v>
      </c>
      <c r="J42" s="26" t="s">
        <v>25</v>
      </c>
      <c r="K42" s="26" t="s">
        <v>25</v>
      </c>
      <c r="L42" s="26" t="s">
        <v>25</v>
      </c>
      <c r="M42" s="26" t="s">
        <v>25</v>
      </c>
      <c r="N42" s="26" t="s">
        <v>25</v>
      </c>
      <c r="O42" s="26" t="s">
        <v>25</v>
      </c>
    </row>
    <row r="43" ht="15.75" customHeight="1">
      <c r="A43" s="20"/>
      <c r="B43" s="21">
        <v>39.0</v>
      </c>
      <c r="C43" s="22" t="s">
        <v>99</v>
      </c>
      <c r="D43" s="22" t="s">
        <v>100</v>
      </c>
      <c r="E43" s="70" t="str">
        <f t="shared" si="2"/>
        <v>9번 중 9번 참여</v>
      </c>
      <c r="F43" s="71">
        <f t="shared" si="3"/>
        <v>1</v>
      </c>
      <c r="G43" s="26" t="s">
        <v>25</v>
      </c>
      <c r="H43" s="26" t="s">
        <v>25</v>
      </c>
      <c r="I43" s="26" t="s">
        <v>25</v>
      </c>
      <c r="J43" s="26" t="s">
        <v>25</v>
      </c>
      <c r="K43" s="26" t="s">
        <v>25</v>
      </c>
      <c r="L43" s="26" t="s">
        <v>25</v>
      </c>
      <c r="M43" s="26" t="s">
        <v>25</v>
      </c>
      <c r="N43" s="26" t="s">
        <v>25</v>
      </c>
      <c r="O43" s="26" t="s">
        <v>25</v>
      </c>
    </row>
    <row r="44" ht="15.75" customHeight="1">
      <c r="A44" s="28"/>
      <c r="B44" s="152">
        <v>40.0</v>
      </c>
      <c r="C44" s="105" t="s">
        <v>424</v>
      </c>
      <c r="D44" s="105" t="s">
        <v>425</v>
      </c>
      <c r="E44" s="70" t="str">
        <f t="shared" si="2"/>
        <v>9번 중 1번 참여</v>
      </c>
      <c r="F44" s="71">
        <f t="shared" si="3"/>
        <v>0.1111111111</v>
      </c>
      <c r="G44" s="26" t="s">
        <v>25</v>
      </c>
      <c r="H44" s="26"/>
      <c r="I44" s="26"/>
      <c r="J44" s="26"/>
      <c r="K44" s="26"/>
      <c r="L44" s="26"/>
      <c r="M44" s="26"/>
      <c r="N44" s="26"/>
      <c r="O44" s="26"/>
    </row>
    <row r="45" ht="15.75" customHeight="1">
      <c r="A45" s="20"/>
      <c r="B45" s="21">
        <v>41.0</v>
      </c>
      <c r="C45" s="22" t="s">
        <v>349</v>
      </c>
      <c r="D45" s="22" t="s">
        <v>350</v>
      </c>
      <c r="E45" s="70" t="str">
        <f t="shared" si="2"/>
        <v>9번 중 9번 참여</v>
      </c>
      <c r="F45" s="71">
        <f t="shared" si="3"/>
        <v>1</v>
      </c>
      <c r="G45" s="26" t="s">
        <v>25</v>
      </c>
      <c r="H45" s="26" t="s">
        <v>25</v>
      </c>
      <c r="I45" s="26" t="s">
        <v>25</v>
      </c>
      <c r="J45" s="26" t="s">
        <v>25</v>
      </c>
      <c r="K45" s="26" t="s">
        <v>25</v>
      </c>
      <c r="L45" s="26" t="s">
        <v>25</v>
      </c>
      <c r="M45" s="26" t="s">
        <v>25</v>
      </c>
      <c r="N45" s="26" t="s">
        <v>25</v>
      </c>
      <c r="O45" s="26" t="s">
        <v>25</v>
      </c>
    </row>
    <row r="46" ht="15.75" customHeight="1">
      <c r="A46" s="28"/>
      <c r="B46" s="29">
        <v>42.0</v>
      </c>
      <c r="C46" s="30" t="s">
        <v>95</v>
      </c>
      <c r="D46" s="30" t="s">
        <v>96</v>
      </c>
      <c r="E46" s="70" t="str">
        <f t="shared" si="2"/>
        <v>9번 중 9번 참여</v>
      </c>
      <c r="F46" s="71">
        <f t="shared" si="3"/>
        <v>1</v>
      </c>
      <c r="G46" s="26" t="s">
        <v>25</v>
      </c>
      <c r="H46" s="26" t="s">
        <v>25</v>
      </c>
      <c r="I46" s="26" t="s">
        <v>25</v>
      </c>
      <c r="J46" s="26" t="s">
        <v>25</v>
      </c>
      <c r="K46" s="26" t="s">
        <v>25</v>
      </c>
      <c r="L46" s="26" t="s">
        <v>25</v>
      </c>
      <c r="M46" s="26" t="s">
        <v>25</v>
      </c>
      <c r="N46" s="26" t="s">
        <v>25</v>
      </c>
      <c r="O46" s="26" t="s">
        <v>25</v>
      </c>
    </row>
    <row r="47" ht="15.75" customHeight="1">
      <c r="A47" s="20"/>
      <c r="B47" s="21">
        <v>43.0</v>
      </c>
      <c r="C47" s="22" t="s">
        <v>97</v>
      </c>
      <c r="D47" s="22" t="s">
        <v>98</v>
      </c>
      <c r="E47" s="70" t="str">
        <f t="shared" si="2"/>
        <v>9번 중 9번 참여</v>
      </c>
      <c r="F47" s="71">
        <f t="shared" si="3"/>
        <v>1</v>
      </c>
      <c r="G47" s="26" t="s">
        <v>25</v>
      </c>
      <c r="H47" s="26" t="s">
        <v>25</v>
      </c>
      <c r="I47" s="26" t="s">
        <v>25</v>
      </c>
      <c r="J47" s="26" t="s">
        <v>25</v>
      </c>
      <c r="K47" s="26" t="s">
        <v>25</v>
      </c>
      <c r="L47" s="26" t="s">
        <v>25</v>
      </c>
      <c r="M47" s="26" t="s">
        <v>25</v>
      </c>
      <c r="N47" s="26" t="s">
        <v>25</v>
      </c>
      <c r="O47" s="26" t="s">
        <v>25</v>
      </c>
    </row>
    <row r="48" ht="15.75" customHeight="1">
      <c r="A48" s="28"/>
      <c r="B48" s="29">
        <v>44.0</v>
      </c>
      <c r="C48" s="30" t="s">
        <v>351</v>
      </c>
      <c r="D48" s="30" t="s">
        <v>352</v>
      </c>
      <c r="E48" s="70" t="str">
        <f t="shared" si="2"/>
        <v>9번 중 6번 참여</v>
      </c>
      <c r="F48" s="71">
        <f t="shared" si="3"/>
        <v>0.6666666667</v>
      </c>
      <c r="G48" s="26" t="s">
        <v>25</v>
      </c>
      <c r="H48" s="26"/>
      <c r="I48" s="26" t="s">
        <v>25</v>
      </c>
      <c r="J48" s="26" t="s">
        <v>25</v>
      </c>
      <c r="K48" s="26" t="s">
        <v>25</v>
      </c>
      <c r="L48" s="26"/>
      <c r="M48" s="26"/>
      <c r="N48" s="26" t="s">
        <v>25</v>
      </c>
      <c r="O48" s="26" t="s">
        <v>25</v>
      </c>
    </row>
    <row r="49" ht="15.75" customHeight="1">
      <c r="A49" s="20"/>
      <c r="B49" s="21">
        <v>45.0</v>
      </c>
      <c r="C49" s="22" t="s">
        <v>103</v>
      </c>
      <c r="D49" s="22" t="s">
        <v>104</v>
      </c>
      <c r="E49" s="70" t="str">
        <f t="shared" si="2"/>
        <v>9번 중 8번 참여</v>
      </c>
      <c r="F49" s="71">
        <f t="shared" si="3"/>
        <v>0.8888888889</v>
      </c>
      <c r="G49" s="26"/>
      <c r="H49" s="26" t="s">
        <v>25</v>
      </c>
      <c r="I49" s="26" t="s">
        <v>25</v>
      </c>
      <c r="J49" s="26" t="s">
        <v>25</v>
      </c>
      <c r="K49" s="26" t="s">
        <v>25</v>
      </c>
      <c r="L49" s="26" t="s">
        <v>25</v>
      </c>
      <c r="M49" s="26" t="s">
        <v>25</v>
      </c>
      <c r="N49" s="26" t="s">
        <v>25</v>
      </c>
      <c r="O49" s="26" t="s">
        <v>25</v>
      </c>
    </row>
    <row r="50" ht="15.75" customHeight="1">
      <c r="A50" s="28"/>
      <c r="B50" s="29">
        <v>46.0</v>
      </c>
      <c r="C50" s="30" t="s">
        <v>353</v>
      </c>
      <c r="D50" s="30" t="s">
        <v>354</v>
      </c>
      <c r="E50" s="70" t="str">
        <f t="shared" si="2"/>
        <v>9번 중 6번 참여</v>
      </c>
      <c r="F50" s="71">
        <f t="shared" si="3"/>
        <v>0.6666666667</v>
      </c>
      <c r="G50" s="26" t="s">
        <v>25</v>
      </c>
      <c r="H50" s="26" t="s">
        <v>25</v>
      </c>
      <c r="I50" s="26"/>
      <c r="J50" s="26"/>
      <c r="K50" s="26" t="s">
        <v>25</v>
      </c>
      <c r="L50" s="26" t="s">
        <v>25</v>
      </c>
      <c r="M50" s="26"/>
      <c r="N50" s="26" t="s">
        <v>25</v>
      </c>
      <c r="O50" s="26" t="s">
        <v>25</v>
      </c>
    </row>
    <row r="51" ht="15.75" customHeight="1">
      <c r="A51" s="20"/>
      <c r="B51" s="21">
        <v>47.0</v>
      </c>
      <c r="C51" s="22" t="s">
        <v>286</v>
      </c>
      <c r="D51" s="22" t="s">
        <v>121</v>
      </c>
      <c r="E51" s="70" t="str">
        <f t="shared" si="2"/>
        <v>9번 중 9번 참여</v>
      </c>
      <c r="F51" s="71">
        <f t="shared" si="3"/>
        <v>1</v>
      </c>
      <c r="G51" s="26" t="s">
        <v>25</v>
      </c>
      <c r="H51" s="26" t="s">
        <v>25</v>
      </c>
      <c r="I51" s="26" t="s">
        <v>25</v>
      </c>
      <c r="J51" s="26" t="s">
        <v>25</v>
      </c>
      <c r="K51" s="26" t="s">
        <v>25</v>
      </c>
      <c r="L51" s="26" t="s">
        <v>25</v>
      </c>
      <c r="M51" s="26" t="s">
        <v>25</v>
      </c>
      <c r="N51" s="26" t="s">
        <v>25</v>
      </c>
      <c r="O51" s="26" t="s">
        <v>25</v>
      </c>
    </row>
    <row r="52" ht="15.75" customHeight="1">
      <c r="A52" s="28"/>
      <c r="B52" s="29">
        <v>48.0</v>
      </c>
      <c r="C52" s="30" t="s">
        <v>101</v>
      </c>
      <c r="D52" s="30" t="s">
        <v>102</v>
      </c>
      <c r="E52" s="70" t="str">
        <f t="shared" si="2"/>
        <v>9번 중 9번 참여</v>
      </c>
      <c r="F52" s="71">
        <f t="shared" si="3"/>
        <v>1</v>
      </c>
      <c r="G52" s="26" t="s">
        <v>25</v>
      </c>
      <c r="H52" s="26" t="s">
        <v>25</v>
      </c>
      <c r="I52" s="26" t="s">
        <v>25</v>
      </c>
      <c r="J52" s="26" t="s">
        <v>25</v>
      </c>
      <c r="K52" s="26" t="s">
        <v>25</v>
      </c>
      <c r="L52" s="26" t="s">
        <v>25</v>
      </c>
      <c r="M52" s="26" t="s">
        <v>25</v>
      </c>
      <c r="N52" s="26" t="s">
        <v>25</v>
      </c>
      <c r="O52" s="26" t="s">
        <v>25</v>
      </c>
    </row>
    <row r="53" ht="15.75" customHeight="1">
      <c r="A53" s="20"/>
      <c r="B53" s="21">
        <v>49.0</v>
      </c>
      <c r="C53" s="22" t="s">
        <v>382</v>
      </c>
      <c r="D53" s="22" t="s">
        <v>383</v>
      </c>
      <c r="E53" s="70" t="str">
        <f t="shared" si="2"/>
        <v>9번 중 9번 참여</v>
      </c>
      <c r="F53" s="71">
        <f t="shared" si="3"/>
        <v>1</v>
      </c>
      <c r="G53" s="26" t="s">
        <v>25</v>
      </c>
      <c r="H53" s="26" t="s">
        <v>25</v>
      </c>
      <c r="I53" s="26" t="s">
        <v>25</v>
      </c>
      <c r="J53" s="26" t="s">
        <v>25</v>
      </c>
      <c r="K53" s="26" t="s">
        <v>25</v>
      </c>
      <c r="L53" s="26" t="s">
        <v>25</v>
      </c>
      <c r="M53" s="26" t="s">
        <v>25</v>
      </c>
      <c r="N53" s="26" t="s">
        <v>25</v>
      </c>
      <c r="O53" s="26" t="s">
        <v>25</v>
      </c>
    </row>
    <row r="54" ht="15.75" customHeight="1">
      <c r="A54" s="28"/>
      <c r="B54" s="29">
        <v>50.0</v>
      </c>
      <c r="C54" s="30" t="s">
        <v>359</v>
      </c>
      <c r="D54" s="30" t="s">
        <v>360</v>
      </c>
      <c r="E54" s="70" t="str">
        <f t="shared" si="2"/>
        <v>9번 중 8번 참여</v>
      </c>
      <c r="F54" s="71">
        <f t="shared" si="3"/>
        <v>0.8888888889</v>
      </c>
      <c r="G54" s="26" t="s">
        <v>25</v>
      </c>
      <c r="H54" s="26" t="s">
        <v>25</v>
      </c>
      <c r="I54" s="26" t="s">
        <v>25</v>
      </c>
      <c r="J54" s="26" t="s">
        <v>25</v>
      </c>
      <c r="K54" s="26" t="s">
        <v>25</v>
      </c>
      <c r="L54" s="26" t="s">
        <v>25</v>
      </c>
      <c r="M54" s="26"/>
      <c r="N54" s="26" t="s">
        <v>25</v>
      </c>
      <c r="O54" s="26" t="s">
        <v>25</v>
      </c>
    </row>
    <row r="55" ht="15.75" customHeight="1">
      <c r="A55" s="20"/>
      <c r="B55" s="21">
        <v>51.0</v>
      </c>
      <c r="C55" s="22" t="s">
        <v>361</v>
      </c>
      <c r="D55" s="22" t="s">
        <v>362</v>
      </c>
      <c r="E55" s="70" t="str">
        <f t="shared" si="2"/>
        <v>9번 중 6번 참여</v>
      </c>
      <c r="F55" s="71">
        <f t="shared" si="3"/>
        <v>0.6666666667</v>
      </c>
      <c r="G55" s="26" t="s">
        <v>25</v>
      </c>
      <c r="H55" s="26"/>
      <c r="I55" s="26"/>
      <c r="J55" s="26" t="s">
        <v>25</v>
      </c>
      <c r="K55" s="26"/>
      <c r="L55" s="26" t="s">
        <v>25</v>
      </c>
      <c r="M55" s="26" t="s">
        <v>25</v>
      </c>
      <c r="N55" s="26" t="s">
        <v>25</v>
      </c>
      <c r="O55" s="26" t="s">
        <v>25</v>
      </c>
    </row>
    <row r="56" ht="15.75" customHeight="1">
      <c r="A56" s="28"/>
      <c r="B56" s="29">
        <v>52.0</v>
      </c>
      <c r="C56" s="30" t="s">
        <v>111</v>
      </c>
      <c r="D56" s="30" t="s">
        <v>112</v>
      </c>
      <c r="E56" s="70" t="str">
        <f t="shared" si="2"/>
        <v>9번 중 9번 참여</v>
      </c>
      <c r="F56" s="71">
        <f t="shared" si="3"/>
        <v>1</v>
      </c>
      <c r="G56" s="26" t="s">
        <v>25</v>
      </c>
      <c r="H56" s="26" t="s">
        <v>25</v>
      </c>
      <c r="I56" s="26" t="s">
        <v>25</v>
      </c>
      <c r="J56" s="26" t="s">
        <v>25</v>
      </c>
      <c r="K56" s="26" t="s">
        <v>25</v>
      </c>
      <c r="L56" s="26" t="s">
        <v>25</v>
      </c>
      <c r="M56" s="26" t="s">
        <v>25</v>
      </c>
      <c r="N56" s="26" t="s">
        <v>25</v>
      </c>
      <c r="O56" s="26" t="s">
        <v>25</v>
      </c>
    </row>
    <row r="57" ht="15.75" customHeight="1">
      <c r="A57" s="20"/>
      <c r="B57" s="21">
        <v>53.0</v>
      </c>
      <c r="C57" s="22" t="s">
        <v>113</v>
      </c>
      <c r="D57" s="22" t="s">
        <v>114</v>
      </c>
      <c r="E57" s="70" t="str">
        <f t="shared" si="2"/>
        <v>9번 중 9번 참여</v>
      </c>
      <c r="F57" s="71">
        <f t="shared" si="3"/>
        <v>1</v>
      </c>
      <c r="G57" s="26" t="s">
        <v>25</v>
      </c>
      <c r="H57" s="26" t="s">
        <v>25</v>
      </c>
      <c r="I57" s="26" t="s">
        <v>25</v>
      </c>
      <c r="J57" s="26" t="s">
        <v>25</v>
      </c>
      <c r="K57" s="26" t="s">
        <v>25</v>
      </c>
      <c r="L57" s="26" t="s">
        <v>25</v>
      </c>
      <c r="M57" s="26" t="s">
        <v>25</v>
      </c>
      <c r="N57" s="26" t="s">
        <v>25</v>
      </c>
      <c r="O57" s="26" t="s">
        <v>25</v>
      </c>
    </row>
    <row r="58" ht="15.75" customHeight="1">
      <c r="A58" s="28"/>
      <c r="B58" s="29">
        <v>54.0</v>
      </c>
      <c r="C58" s="30" t="s">
        <v>363</v>
      </c>
      <c r="D58" s="30" t="s">
        <v>364</v>
      </c>
      <c r="E58" s="70" t="str">
        <f t="shared" si="2"/>
        <v>9번 중 6번 참여</v>
      </c>
      <c r="F58" s="71">
        <f t="shared" si="3"/>
        <v>0.6666666667</v>
      </c>
      <c r="G58" s="26"/>
      <c r="H58" s="26"/>
      <c r="I58" s="26" t="s">
        <v>25</v>
      </c>
      <c r="J58" s="26" t="s">
        <v>25</v>
      </c>
      <c r="K58" s="26" t="s">
        <v>25</v>
      </c>
      <c r="L58" s="26"/>
      <c r="M58" s="26" t="s">
        <v>25</v>
      </c>
      <c r="N58" s="26" t="s">
        <v>25</v>
      </c>
      <c r="O58" s="26" t="s">
        <v>25</v>
      </c>
    </row>
    <row r="59" ht="15.75" customHeight="1">
      <c r="A59" s="20"/>
      <c r="B59" s="21">
        <v>55.0</v>
      </c>
      <c r="C59" s="22" t="s">
        <v>132</v>
      </c>
      <c r="D59" s="22" t="s">
        <v>133</v>
      </c>
      <c r="E59" s="70" t="str">
        <f t="shared" si="2"/>
        <v>9번 중 9번 참여</v>
      </c>
      <c r="F59" s="71">
        <f t="shared" si="3"/>
        <v>1</v>
      </c>
      <c r="G59" s="26" t="s">
        <v>25</v>
      </c>
      <c r="H59" s="26" t="s">
        <v>25</v>
      </c>
      <c r="I59" s="26" t="s">
        <v>25</v>
      </c>
      <c r="J59" s="26" t="s">
        <v>25</v>
      </c>
      <c r="K59" s="26" t="s">
        <v>25</v>
      </c>
      <c r="L59" s="26" t="s">
        <v>25</v>
      </c>
      <c r="M59" s="26" t="s">
        <v>25</v>
      </c>
      <c r="N59" s="26" t="s">
        <v>25</v>
      </c>
      <c r="O59" s="26" t="s">
        <v>25</v>
      </c>
    </row>
    <row r="60" ht="15.75" customHeight="1">
      <c r="A60" s="28" t="s">
        <v>426</v>
      </c>
      <c r="B60" s="29">
        <v>56.0</v>
      </c>
      <c r="C60" s="30" t="s">
        <v>285</v>
      </c>
      <c r="D60" s="30" t="s">
        <v>119</v>
      </c>
      <c r="E60" s="70" t="str">
        <f t="shared" si="2"/>
        <v>9번 중 9번 참여</v>
      </c>
      <c r="F60" s="71">
        <f t="shared" si="3"/>
        <v>1</v>
      </c>
      <c r="G60" s="26" t="s">
        <v>25</v>
      </c>
      <c r="H60" s="26" t="s">
        <v>25</v>
      </c>
      <c r="I60" s="26" t="s">
        <v>25</v>
      </c>
      <c r="J60" s="26" t="s">
        <v>25</v>
      </c>
      <c r="K60" s="26" t="s">
        <v>25</v>
      </c>
      <c r="L60" s="26" t="s">
        <v>25</v>
      </c>
      <c r="M60" s="26" t="s">
        <v>25</v>
      </c>
      <c r="N60" s="26" t="s">
        <v>25</v>
      </c>
      <c r="O60" s="26" t="s">
        <v>25</v>
      </c>
    </row>
    <row r="61" ht="15.75" customHeight="1">
      <c r="A61" s="20"/>
      <c r="B61" s="21">
        <v>57.0</v>
      </c>
      <c r="C61" s="22" t="s">
        <v>365</v>
      </c>
      <c r="D61" s="22" t="s">
        <v>366</v>
      </c>
      <c r="E61" s="70" t="str">
        <f t="shared" si="2"/>
        <v>9번 중 8번 참여</v>
      </c>
      <c r="F61" s="71">
        <f t="shared" si="3"/>
        <v>0.8888888889</v>
      </c>
      <c r="G61" s="26" t="s">
        <v>25</v>
      </c>
      <c r="H61" s="26"/>
      <c r="I61" s="26" t="s">
        <v>25</v>
      </c>
      <c r="J61" s="26" t="s">
        <v>25</v>
      </c>
      <c r="K61" s="26" t="s">
        <v>25</v>
      </c>
      <c r="L61" s="26" t="s">
        <v>25</v>
      </c>
      <c r="M61" s="26" t="s">
        <v>25</v>
      </c>
      <c r="N61" s="26" t="s">
        <v>25</v>
      </c>
      <c r="O61" s="26" t="s">
        <v>25</v>
      </c>
    </row>
    <row r="62" ht="15.75" customHeight="1">
      <c r="A62" s="28"/>
      <c r="B62" s="21">
        <v>58.0</v>
      </c>
      <c r="C62" s="42" t="s">
        <v>28</v>
      </c>
      <c r="D62" s="42" t="s">
        <v>70</v>
      </c>
      <c r="E62" s="70" t="str">
        <f t="shared" si="2"/>
        <v>9번 중 9번 참여</v>
      </c>
      <c r="F62" s="71">
        <f t="shared" si="3"/>
        <v>1</v>
      </c>
      <c r="G62" s="26" t="s">
        <v>25</v>
      </c>
      <c r="H62" s="26" t="s">
        <v>25</v>
      </c>
      <c r="I62" s="26" t="s">
        <v>25</v>
      </c>
      <c r="J62" s="26" t="s">
        <v>25</v>
      </c>
      <c r="K62" s="26" t="s">
        <v>25</v>
      </c>
      <c r="L62" s="26" t="s">
        <v>25</v>
      </c>
      <c r="M62" s="26" t="s">
        <v>25</v>
      </c>
      <c r="N62" s="26" t="s">
        <v>25</v>
      </c>
      <c r="O62" s="26" t="s">
        <v>25</v>
      </c>
    </row>
    <row r="63" ht="15.75" customHeight="1">
      <c r="A63" s="20"/>
      <c r="B63" s="152">
        <v>59.0</v>
      </c>
      <c r="C63" s="105" t="s">
        <v>369</v>
      </c>
      <c r="D63" s="105" t="s">
        <v>370</v>
      </c>
      <c r="E63" s="70" t="str">
        <f t="shared" si="2"/>
        <v>9번 중 2번 참여</v>
      </c>
      <c r="F63" s="71">
        <f t="shared" si="3"/>
        <v>0.2222222222</v>
      </c>
      <c r="G63" s="26"/>
      <c r="H63" s="26"/>
      <c r="I63" s="26"/>
      <c r="J63" s="26"/>
      <c r="K63" s="26" t="s">
        <v>25</v>
      </c>
      <c r="L63" s="26" t="s">
        <v>25</v>
      </c>
      <c r="M63" s="26"/>
      <c r="N63" s="26"/>
      <c r="O63" s="26"/>
    </row>
    <row r="64" ht="15.75" customHeight="1">
      <c r="A64" s="28"/>
      <c r="B64" s="29">
        <v>60.0</v>
      </c>
      <c r="C64" s="30" t="s">
        <v>371</v>
      </c>
      <c r="D64" s="30" t="s">
        <v>108</v>
      </c>
      <c r="E64" s="70" t="str">
        <f t="shared" si="2"/>
        <v>9번 중 8번 참여</v>
      </c>
      <c r="F64" s="71">
        <f t="shared" si="3"/>
        <v>0.8888888889</v>
      </c>
      <c r="G64" s="26" t="s">
        <v>25</v>
      </c>
      <c r="H64" s="26" t="s">
        <v>25</v>
      </c>
      <c r="I64" s="26" t="s">
        <v>25</v>
      </c>
      <c r="J64" s="26" t="s">
        <v>25</v>
      </c>
      <c r="K64" s="26" t="s">
        <v>25</v>
      </c>
      <c r="L64" s="26" t="s">
        <v>25</v>
      </c>
      <c r="M64" s="26" t="s">
        <v>25</v>
      </c>
      <c r="N64" s="26" t="s">
        <v>25</v>
      </c>
      <c r="O64" s="26"/>
    </row>
    <row r="65" ht="15.75" customHeight="1">
      <c r="A65" s="20"/>
      <c r="B65" s="21">
        <v>61.0</v>
      </c>
      <c r="C65" s="22" t="s">
        <v>372</v>
      </c>
      <c r="D65" s="22" t="s">
        <v>139</v>
      </c>
      <c r="E65" s="70" t="str">
        <f t="shared" si="2"/>
        <v>9번 중 9번 참여</v>
      </c>
      <c r="F65" s="71">
        <f t="shared" si="3"/>
        <v>1</v>
      </c>
      <c r="G65" s="26" t="s">
        <v>25</v>
      </c>
      <c r="H65" s="26" t="s">
        <v>25</v>
      </c>
      <c r="I65" s="26" t="s">
        <v>25</v>
      </c>
      <c r="J65" s="26" t="s">
        <v>25</v>
      </c>
      <c r="K65" s="26" t="s">
        <v>25</v>
      </c>
      <c r="L65" s="26" t="s">
        <v>25</v>
      </c>
      <c r="M65" s="26" t="s">
        <v>25</v>
      </c>
      <c r="N65" s="26" t="s">
        <v>25</v>
      </c>
      <c r="O65" s="26" t="s">
        <v>25</v>
      </c>
    </row>
    <row r="66" ht="15.75" customHeight="1">
      <c r="A66" s="28"/>
      <c r="B66" s="29">
        <v>62.0</v>
      </c>
      <c r="C66" s="30" t="s">
        <v>373</v>
      </c>
      <c r="D66" s="30" t="s">
        <v>137</v>
      </c>
      <c r="E66" s="70" t="str">
        <f t="shared" si="2"/>
        <v>9번 중 9번 참여</v>
      </c>
      <c r="F66" s="71">
        <f t="shared" si="3"/>
        <v>1</v>
      </c>
      <c r="G66" s="26" t="s">
        <v>25</v>
      </c>
      <c r="H66" s="26" t="s">
        <v>25</v>
      </c>
      <c r="I66" s="26" t="s">
        <v>25</v>
      </c>
      <c r="J66" s="26" t="s">
        <v>25</v>
      </c>
      <c r="K66" s="26" t="s">
        <v>25</v>
      </c>
      <c r="L66" s="26" t="s">
        <v>25</v>
      </c>
      <c r="M66" s="26" t="s">
        <v>25</v>
      </c>
      <c r="N66" s="26" t="s">
        <v>25</v>
      </c>
      <c r="O66" s="26" t="s">
        <v>25</v>
      </c>
    </row>
    <row r="67" ht="15.75" customHeight="1">
      <c r="A67" s="20"/>
      <c r="B67" s="21">
        <v>63.0</v>
      </c>
      <c r="C67" s="22" t="s">
        <v>142</v>
      </c>
      <c r="D67" s="22" t="s">
        <v>143</v>
      </c>
      <c r="E67" s="70" t="str">
        <f t="shared" si="2"/>
        <v>9번 중 6번 참여</v>
      </c>
      <c r="F67" s="71">
        <f t="shared" si="3"/>
        <v>0.6666666667</v>
      </c>
      <c r="G67" s="26" t="s">
        <v>25</v>
      </c>
      <c r="H67" s="26" t="s">
        <v>25</v>
      </c>
      <c r="I67" s="26" t="s">
        <v>25</v>
      </c>
      <c r="J67" s="26"/>
      <c r="K67" s="26" t="s">
        <v>25</v>
      </c>
      <c r="L67" s="26" t="s">
        <v>25</v>
      </c>
      <c r="M67" s="26"/>
      <c r="N67" s="26" t="s">
        <v>25</v>
      </c>
      <c r="O67" s="26"/>
    </row>
    <row r="68" ht="15.75" customHeight="1">
      <c r="A68" s="28"/>
      <c r="B68" s="29">
        <v>64.0</v>
      </c>
      <c r="C68" s="30" t="s">
        <v>144</v>
      </c>
      <c r="D68" s="30" t="s">
        <v>145</v>
      </c>
      <c r="E68" s="70" t="str">
        <f t="shared" si="2"/>
        <v>9번 중 6번 참여</v>
      </c>
      <c r="F68" s="71">
        <f t="shared" si="3"/>
        <v>0.6666666667</v>
      </c>
      <c r="G68" s="26" t="s">
        <v>25</v>
      </c>
      <c r="H68" s="26" t="s">
        <v>25</v>
      </c>
      <c r="I68" s="26" t="s">
        <v>25</v>
      </c>
      <c r="J68" s="26"/>
      <c r="K68" s="26" t="s">
        <v>25</v>
      </c>
      <c r="L68" s="26" t="s">
        <v>25</v>
      </c>
      <c r="M68" s="26"/>
      <c r="N68" s="26" t="s">
        <v>25</v>
      </c>
      <c r="O68" s="26"/>
    </row>
    <row r="69" ht="15.75" customHeight="1">
      <c r="A69" s="20"/>
      <c r="B69" s="21">
        <v>65.0</v>
      </c>
      <c r="C69" s="22" t="s">
        <v>146</v>
      </c>
      <c r="D69" s="22" t="s">
        <v>147</v>
      </c>
      <c r="E69" s="70" t="str">
        <f t="shared" si="2"/>
        <v>9번 중 9번 참여</v>
      </c>
      <c r="F69" s="71">
        <f t="shared" si="3"/>
        <v>1</v>
      </c>
      <c r="G69" s="26" t="s">
        <v>25</v>
      </c>
      <c r="H69" s="26" t="s">
        <v>25</v>
      </c>
      <c r="I69" s="26" t="s">
        <v>25</v>
      </c>
      <c r="J69" s="26" t="s">
        <v>25</v>
      </c>
      <c r="K69" s="26" t="s">
        <v>25</v>
      </c>
      <c r="L69" s="26" t="s">
        <v>25</v>
      </c>
      <c r="M69" s="26" t="s">
        <v>25</v>
      </c>
      <c r="N69" s="26" t="s">
        <v>25</v>
      </c>
      <c r="O69" s="26" t="s">
        <v>25</v>
      </c>
    </row>
    <row r="70" ht="15.75" customHeight="1">
      <c r="A70" s="28"/>
      <c r="B70" s="29">
        <v>66.0</v>
      </c>
      <c r="C70" s="30" t="s">
        <v>148</v>
      </c>
      <c r="D70" s="30" t="s">
        <v>149</v>
      </c>
      <c r="E70" s="70" t="str">
        <f t="shared" si="2"/>
        <v>9번 중 9번 참여</v>
      </c>
      <c r="F70" s="71">
        <f t="shared" si="3"/>
        <v>1</v>
      </c>
      <c r="G70" s="26" t="s">
        <v>25</v>
      </c>
      <c r="H70" s="26" t="s">
        <v>25</v>
      </c>
      <c r="I70" s="26" t="s">
        <v>25</v>
      </c>
      <c r="J70" s="26" t="s">
        <v>25</v>
      </c>
      <c r="K70" s="26" t="s">
        <v>25</v>
      </c>
      <c r="L70" s="26" t="s">
        <v>25</v>
      </c>
      <c r="M70" s="26" t="s">
        <v>25</v>
      </c>
      <c r="N70" s="26" t="s">
        <v>25</v>
      </c>
      <c r="O70" s="26" t="s">
        <v>25</v>
      </c>
    </row>
    <row r="71" ht="15.75" customHeight="1">
      <c r="A71" s="20"/>
      <c r="B71" s="21">
        <v>67.0</v>
      </c>
      <c r="C71" s="22" t="s">
        <v>380</v>
      </c>
      <c r="D71" s="22" t="s">
        <v>381</v>
      </c>
      <c r="E71" s="70" t="str">
        <f t="shared" si="2"/>
        <v>9번 중 8번 참여</v>
      </c>
      <c r="F71" s="71">
        <f t="shared" si="3"/>
        <v>0.8888888889</v>
      </c>
      <c r="G71" s="26" t="s">
        <v>25</v>
      </c>
      <c r="H71" s="26" t="s">
        <v>25</v>
      </c>
      <c r="I71" s="26" t="s">
        <v>25</v>
      </c>
      <c r="J71" s="26" t="s">
        <v>25</v>
      </c>
      <c r="K71" s="26" t="s">
        <v>25</v>
      </c>
      <c r="L71" s="26" t="s">
        <v>25</v>
      </c>
      <c r="M71" s="26" t="s">
        <v>25</v>
      </c>
      <c r="N71" s="26"/>
      <c r="O71" s="26" t="s">
        <v>25</v>
      </c>
    </row>
    <row r="72" ht="15.75" customHeight="1">
      <c r="A72" s="28"/>
      <c r="B72" s="21">
        <v>68.0</v>
      </c>
      <c r="C72" s="30" t="s">
        <v>140</v>
      </c>
      <c r="D72" s="30" t="s">
        <v>141</v>
      </c>
      <c r="E72" s="70" t="str">
        <f t="shared" si="2"/>
        <v>9번 중 9번 참여</v>
      </c>
      <c r="F72" s="71">
        <f t="shared" si="3"/>
        <v>1</v>
      </c>
      <c r="G72" s="26" t="s">
        <v>25</v>
      </c>
      <c r="H72" s="26" t="s">
        <v>25</v>
      </c>
      <c r="I72" s="26" t="s">
        <v>25</v>
      </c>
      <c r="J72" s="26" t="s">
        <v>25</v>
      </c>
      <c r="K72" s="26" t="s">
        <v>25</v>
      </c>
      <c r="L72" s="26" t="s">
        <v>25</v>
      </c>
      <c r="M72" s="26" t="s">
        <v>25</v>
      </c>
      <c r="N72" s="26" t="s">
        <v>25</v>
      </c>
      <c r="O72" s="26" t="s">
        <v>25</v>
      </c>
    </row>
    <row r="73" ht="15.75" customHeight="1">
      <c r="A73" s="20"/>
      <c r="B73" s="21">
        <v>69.0</v>
      </c>
      <c r="C73" s="22" t="s">
        <v>150</v>
      </c>
      <c r="D73" s="149" t="s">
        <v>151</v>
      </c>
      <c r="E73" s="70" t="str">
        <f t="shared" si="2"/>
        <v>9번 중 9번 참여</v>
      </c>
      <c r="F73" s="71">
        <f t="shared" si="3"/>
        <v>1</v>
      </c>
      <c r="G73" s="26" t="s">
        <v>25</v>
      </c>
      <c r="H73" s="26" t="s">
        <v>25</v>
      </c>
      <c r="I73" s="26" t="s">
        <v>25</v>
      </c>
      <c r="J73" s="26" t="s">
        <v>25</v>
      </c>
      <c r="K73" s="26" t="s">
        <v>25</v>
      </c>
      <c r="L73" s="26" t="s">
        <v>25</v>
      </c>
      <c r="M73" s="26" t="s">
        <v>25</v>
      </c>
      <c r="N73" s="26" t="s">
        <v>25</v>
      </c>
      <c r="O73" s="26" t="s">
        <v>25</v>
      </c>
    </row>
    <row r="74" ht="15.75" customHeight="1">
      <c r="A74" s="28"/>
      <c r="B74" s="21">
        <v>70.0</v>
      </c>
      <c r="C74" s="30" t="s">
        <v>152</v>
      </c>
      <c r="D74" s="30" t="s">
        <v>153</v>
      </c>
      <c r="E74" s="70" t="str">
        <f t="shared" si="2"/>
        <v>9번 중 9번 참여</v>
      </c>
      <c r="F74" s="71">
        <f t="shared" si="3"/>
        <v>1</v>
      </c>
      <c r="G74" s="26" t="s">
        <v>25</v>
      </c>
      <c r="H74" s="26" t="s">
        <v>25</v>
      </c>
      <c r="I74" s="26" t="s">
        <v>25</v>
      </c>
      <c r="J74" s="26" t="s">
        <v>25</v>
      </c>
      <c r="K74" s="26" t="s">
        <v>25</v>
      </c>
      <c r="L74" s="26" t="s">
        <v>25</v>
      </c>
      <c r="M74" s="26" t="s">
        <v>25</v>
      </c>
      <c r="N74" s="26" t="s">
        <v>25</v>
      </c>
      <c r="O74" s="26" t="s">
        <v>25</v>
      </c>
    </row>
    <row r="75" ht="15.75" customHeight="1">
      <c r="A75" s="20"/>
      <c r="B75" s="21">
        <v>71.0</v>
      </c>
      <c r="C75" s="22" t="s">
        <v>388</v>
      </c>
      <c r="D75" s="30" t="s">
        <v>389</v>
      </c>
      <c r="E75" s="70" t="str">
        <f t="shared" si="2"/>
        <v>9번 중 8번 참여</v>
      </c>
      <c r="F75" s="71">
        <f t="shared" si="3"/>
        <v>0.8888888889</v>
      </c>
      <c r="G75" s="26"/>
      <c r="H75" s="26" t="s">
        <v>25</v>
      </c>
      <c r="I75" s="26" t="s">
        <v>25</v>
      </c>
      <c r="J75" s="26" t="s">
        <v>25</v>
      </c>
      <c r="K75" s="26" t="s">
        <v>25</v>
      </c>
      <c r="L75" s="26" t="s">
        <v>25</v>
      </c>
      <c r="M75" s="26" t="s">
        <v>25</v>
      </c>
      <c r="N75" s="26" t="s">
        <v>25</v>
      </c>
      <c r="O75" s="26" t="s">
        <v>25</v>
      </c>
    </row>
    <row r="76" ht="15.75" customHeight="1">
      <c r="A76" s="28"/>
      <c r="B76" s="21">
        <v>72.0</v>
      </c>
      <c r="C76" s="30" t="s">
        <v>156</v>
      </c>
      <c r="D76" s="30" t="s">
        <v>157</v>
      </c>
      <c r="E76" s="70" t="str">
        <f t="shared" si="2"/>
        <v>9번 중 9번 참여</v>
      </c>
      <c r="F76" s="71">
        <f t="shared" si="3"/>
        <v>1</v>
      </c>
      <c r="G76" s="26" t="s">
        <v>25</v>
      </c>
      <c r="H76" s="26" t="s">
        <v>25</v>
      </c>
      <c r="I76" s="26" t="s">
        <v>25</v>
      </c>
      <c r="J76" s="26" t="s">
        <v>25</v>
      </c>
      <c r="K76" s="26" t="s">
        <v>25</v>
      </c>
      <c r="L76" s="26" t="s">
        <v>25</v>
      </c>
      <c r="M76" s="26" t="s">
        <v>25</v>
      </c>
      <c r="N76" s="26" t="s">
        <v>25</v>
      </c>
      <c r="O76" s="26" t="s">
        <v>25</v>
      </c>
    </row>
    <row r="77" ht="15.75" customHeight="1">
      <c r="A77" s="20"/>
      <c r="B77" s="21">
        <v>73.0</v>
      </c>
      <c r="C77" s="39" t="s">
        <v>427</v>
      </c>
      <c r="D77" s="39" t="s">
        <v>428</v>
      </c>
      <c r="E77" s="70" t="str">
        <f t="shared" si="2"/>
        <v>9번 중 9번 참여</v>
      </c>
      <c r="F77" s="71">
        <f t="shared" si="3"/>
        <v>1</v>
      </c>
      <c r="G77" s="26" t="s">
        <v>25</v>
      </c>
      <c r="H77" s="26" t="s">
        <v>25</v>
      </c>
      <c r="I77" s="26" t="s">
        <v>25</v>
      </c>
      <c r="J77" s="26" t="s">
        <v>25</v>
      </c>
      <c r="K77" s="26" t="s">
        <v>25</v>
      </c>
      <c r="L77" s="26" t="s">
        <v>25</v>
      </c>
      <c r="M77" s="26" t="s">
        <v>25</v>
      </c>
      <c r="N77" s="26" t="s">
        <v>25</v>
      </c>
      <c r="O77" s="26" t="s">
        <v>25</v>
      </c>
    </row>
    <row r="78" ht="15.75" customHeight="1">
      <c r="A78" s="28"/>
      <c r="B78" s="21">
        <v>74.0</v>
      </c>
      <c r="C78" s="30" t="s">
        <v>429</v>
      </c>
      <c r="D78" s="30" t="s">
        <v>430</v>
      </c>
      <c r="E78" s="70" t="str">
        <f t="shared" si="2"/>
        <v>9번 중 7번 참여</v>
      </c>
      <c r="F78" s="71">
        <f t="shared" si="3"/>
        <v>0.7777777778</v>
      </c>
      <c r="G78" s="26"/>
      <c r="H78" s="26" t="s">
        <v>25</v>
      </c>
      <c r="I78" s="26" t="s">
        <v>25</v>
      </c>
      <c r="J78" s="26" t="s">
        <v>25</v>
      </c>
      <c r="K78" s="26" t="s">
        <v>25</v>
      </c>
      <c r="L78" s="26" t="s">
        <v>25</v>
      </c>
      <c r="M78" s="26" t="s">
        <v>25</v>
      </c>
      <c r="N78" s="26"/>
      <c r="O78" s="26" t="s">
        <v>25</v>
      </c>
    </row>
    <row r="79" ht="15.75" customHeight="1">
      <c r="A79" s="20"/>
      <c r="B79" s="21">
        <v>75.0</v>
      </c>
      <c r="C79" s="22" t="s">
        <v>162</v>
      </c>
      <c r="D79" s="22" t="s">
        <v>163</v>
      </c>
      <c r="E79" s="70" t="str">
        <f t="shared" si="2"/>
        <v>9번 중 9번 참여</v>
      </c>
      <c r="F79" s="71">
        <f t="shared" si="3"/>
        <v>1</v>
      </c>
      <c r="G79" s="26" t="s">
        <v>25</v>
      </c>
      <c r="H79" s="26" t="s">
        <v>25</v>
      </c>
      <c r="I79" s="26" t="s">
        <v>25</v>
      </c>
      <c r="J79" s="26" t="s">
        <v>25</v>
      </c>
      <c r="K79" s="26" t="s">
        <v>25</v>
      </c>
      <c r="L79" s="26" t="s">
        <v>25</v>
      </c>
      <c r="M79" s="26" t="s">
        <v>25</v>
      </c>
      <c r="N79" s="26" t="s">
        <v>25</v>
      </c>
      <c r="O79" s="26" t="s">
        <v>25</v>
      </c>
    </row>
    <row r="80" ht="15.75" customHeight="1">
      <c r="A80" s="28"/>
      <c r="B80" s="21">
        <v>76.0</v>
      </c>
      <c r="C80" s="22" t="s">
        <v>164</v>
      </c>
      <c r="D80" s="22" t="s">
        <v>165</v>
      </c>
      <c r="E80" s="70" t="str">
        <f t="shared" si="2"/>
        <v>9번 중 8번 참여</v>
      </c>
      <c r="F80" s="71">
        <f t="shared" si="3"/>
        <v>0.8888888889</v>
      </c>
      <c r="G80" s="26" t="s">
        <v>25</v>
      </c>
      <c r="H80" s="26" t="s">
        <v>25</v>
      </c>
      <c r="I80" s="26" t="s">
        <v>25</v>
      </c>
      <c r="J80" s="26" t="s">
        <v>25</v>
      </c>
      <c r="K80" s="26" t="s">
        <v>25</v>
      </c>
      <c r="L80" s="26" t="s">
        <v>25</v>
      </c>
      <c r="M80" s="26" t="s">
        <v>25</v>
      </c>
      <c r="N80" s="26" t="s">
        <v>25</v>
      </c>
      <c r="O80" s="26"/>
    </row>
    <row r="81" ht="15.75" customHeight="1">
      <c r="A81" s="20"/>
      <c r="B81" s="21">
        <v>77.0</v>
      </c>
      <c r="C81" s="22" t="s">
        <v>66</v>
      </c>
      <c r="D81" s="30" t="s">
        <v>67</v>
      </c>
      <c r="E81" s="70" t="str">
        <f t="shared" si="2"/>
        <v>9번 중 8번 참여</v>
      </c>
      <c r="F81" s="71">
        <f t="shared" si="3"/>
        <v>0.8888888889</v>
      </c>
      <c r="G81" s="26"/>
      <c r="H81" s="26" t="s">
        <v>25</v>
      </c>
      <c r="I81" s="26" t="s">
        <v>25</v>
      </c>
      <c r="J81" s="26" t="s">
        <v>25</v>
      </c>
      <c r="K81" s="26" t="s">
        <v>25</v>
      </c>
      <c r="L81" s="26" t="s">
        <v>25</v>
      </c>
      <c r="M81" s="26" t="s">
        <v>25</v>
      </c>
      <c r="N81" s="26" t="s">
        <v>25</v>
      </c>
      <c r="O81" s="26" t="s">
        <v>25</v>
      </c>
    </row>
    <row r="82" ht="15.75" customHeight="1">
      <c r="A82" s="28"/>
      <c r="B82" s="21">
        <v>78.0</v>
      </c>
      <c r="C82" s="30" t="s">
        <v>134</v>
      </c>
      <c r="D82" s="153" t="s">
        <v>431</v>
      </c>
      <c r="E82" s="70" t="str">
        <f t="shared" si="2"/>
        <v>9번 중 7번 참여</v>
      </c>
      <c r="F82" s="71">
        <f t="shared" si="3"/>
        <v>0.7777777778</v>
      </c>
      <c r="G82" s="26" t="s">
        <v>25</v>
      </c>
      <c r="H82" s="26"/>
      <c r="I82" s="26"/>
      <c r="J82" s="26" t="s">
        <v>25</v>
      </c>
      <c r="K82" s="26" t="s">
        <v>25</v>
      </c>
      <c r="L82" s="26" t="s">
        <v>25</v>
      </c>
      <c r="M82" s="26" t="s">
        <v>25</v>
      </c>
      <c r="N82" s="26" t="s">
        <v>25</v>
      </c>
      <c r="O82" s="26" t="s">
        <v>25</v>
      </c>
    </row>
    <row r="83" ht="15.75" customHeight="1">
      <c r="A83" s="20"/>
      <c r="B83" s="21">
        <v>79.0</v>
      </c>
      <c r="C83" s="22" t="s">
        <v>154</v>
      </c>
      <c r="D83" s="22" t="s">
        <v>155</v>
      </c>
      <c r="E83" s="70" t="str">
        <f t="shared" si="2"/>
        <v>9번 중 9번 참여</v>
      </c>
      <c r="F83" s="71">
        <f t="shared" si="3"/>
        <v>1</v>
      </c>
      <c r="G83" s="26" t="s">
        <v>25</v>
      </c>
      <c r="H83" s="26" t="s">
        <v>25</v>
      </c>
      <c r="I83" s="26" t="s">
        <v>25</v>
      </c>
      <c r="J83" s="26" t="s">
        <v>25</v>
      </c>
      <c r="K83" s="26" t="s">
        <v>25</v>
      </c>
      <c r="L83" s="26" t="s">
        <v>25</v>
      </c>
      <c r="M83" s="26" t="s">
        <v>25</v>
      </c>
      <c r="N83" s="26" t="s">
        <v>25</v>
      </c>
      <c r="O83" s="26" t="s">
        <v>25</v>
      </c>
    </row>
    <row r="84" ht="15.75" customHeight="1">
      <c r="A84" s="28"/>
      <c r="B84" s="29">
        <v>80.0</v>
      </c>
      <c r="C84" s="30" t="s">
        <v>432</v>
      </c>
      <c r="D84" s="30" t="s">
        <v>433</v>
      </c>
      <c r="E84" s="70" t="str">
        <f t="shared" si="2"/>
        <v>9번 중 4번 참여</v>
      </c>
      <c r="F84" s="71">
        <f t="shared" si="3"/>
        <v>0.4444444444</v>
      </c>
      <c r="G84" s="26" t="s">
        <v>25</v>
      </c>
      <c r="H84" s="26" t="s">
        <v>25</v>
      </c>
      <c r="I84" s="26" t="s">
        <v>25</v>
      </c>
      <c r="J84" s="26" t="s">
        <v>25</v>
      </c>
      <c r="K84" s="26"/>
      <c r="L84" s="26"/>
      <c r="M84" s="26"/>
      <c r="N84" s="26"/>
      <c r="O84" s="26"/>
    </row>
    <row r="85" ht="15.75" customHeight="1">
      <c r="A85" s="20"/>
      <c r="B85" s="154">
        <v>81.0</v>
      </c>
      <c r="C85" s="30" t="s">
        <v>170</v>
      </c>
      <c r="D85" s="30" t="s">
        <v>171</v>
      </c>
      <c r="E85" s="70" t="str">
        <f t="shared" si="2"/>
        <v>9번 중 9번 참여</v>
      </c>
      <c r="F85" s="71">
        <f t="shared" si="3"/>
        <v>1</v>
      </c>
      <c r="G85" s="26" t="s">
        <v>25</v>
      </c>
      <c r="H85" s="26" t="s">
        <v>25</v>
      </c>
      <c r="I85" s="26" t="s">
        <v>25</v>
      </c>
      <c r="J85" s="26" t="s">
        <v>25</v>
      </c>
      <c r="K85" s="26" t="s">
        <v>25</v>
      </c>
      <c r="L85" s="26" t="s">
        <v>25</v>
      </c>
      <c r="M85" s="26" t="s">
        <v>25</v>
      </c>
      <c r="N85" s="26" t="s">
        <v>25</v>
      </c>
      <c r="O85" s="26" t="s">
        <v>25</v>
      </c>
    </row>
    <row r="86" ht="15.75" customHeight="1">
      <c r="A86" s="28"/>
      <c r="B86" s="21">
        <v>82.0</v>
      </c>
      <c r="C86" s="30" t="s">
        <v>172</v>
      </c>
      <c r="D86" s="30" t="s">
        <v>173</v>
      </c>
      <c r="E86" s="70" t="str">
        <f t="shared" si="2"/>
        <v>9번 중 8번 참여</v>
      </c>
      <c r="F86" s="71">
        <f t="shared" si="3"/>
        <v>0.8888888889</v>
      </c>
      <c r="G86" s="26" t="s">
        <v>25</v>
      </c>
      <c r="H86" s="26" t="s">
        <v>25</v>
      </c>
      <c r="I86" s="26" t="s">
        <v>25</v>
      </c>
      <c r="J86" s="26" t="s">
        <v>25</v>
      </c>
      <c r="K86" s="26" t="s">
        <v>25</v>
      </c>
      <c r="L86" s="26" t="s">
        <v>25</v>
      </c>
      <c r="M86" s="26" t="s">
        <v>25</v>
      </c>
      <c r="N86" s="26" t="s">
        <v>25</v>
      </c>
      <c r="O86" s="26" t="s">
        <v>80</v>
      </c>
    </row>
    <row r="87" ht="15.75" customHeight="1">
      <c r="A87" s="20"/>
      <c r="B87" s="21">
        <v>83.0</v>
      </c>
      <c r="C87" s="155" t="s">
        <v>424</v>
      </c>
      <c r="D87" s="22" t="s">
        <v>425</v>
      </c>
      <c r="E87" s="70" t="str">
        <f t="shared" si="2"/>
        <v>9번 중 9번 참여</v>
      </c>
      <c r="F87" s="71">
        <f t="shared" si="3"/>
        <v>1</v>
      </c>
      <c r="G87" s="26" t="s">
        <v>25</v>
      </c>
      <c r="H87" s="26" t="s">
        <v>25</v>
      </c>
      <c r="I87" s="26" t="s">
        <v>25</v>
      </c>
      <c r="J87" s="26" t="s">
        <v>25</v>
      </c>
      <c r="K87" s="26" t="s">
        <v>25</v>
      </c>
      <c r="L87" s="26" t="s">
        <v>25</v>
      </c>
      <c r="M87" s="26" t="s">
        <v>25</v>
      </c>
      <c r="N87" s="26" t="s">
        <v>25</v>
      </c>
      <c r="O87" s="26" t="s">
        <v>25</v>
      </c>
    </row>
    <row r="88" ht="15.75" customHeight="1">
      <c r="A88" s="28"/>
      <c r="B88" s="152">
        <v>84.0</v>
      </c>
      <c r="C88" s="105" t="s">
        <v>386</v>
      </c>
      <c r="D88" s="105" t="s">
        <v>387</v>
      </c>
      <c r="E88" s="70" t="str">
        <f t="shared" si="2"/>
        <v>9번 중 2번 참여</v>
      </c>
      <c r="F88" s="71">
        <f t="shared" si="3"/>
        <v>0.2222222222</v>
      </c>
      <c r="G88" s="26" t="s">
        <v>25</v>
      </c>
      <c r="H88" s="26"/>
      <c r="I88" s="26" t="s">
        <v>25</v>
      </c>
      <c r="J88" s="26"/>
      <c r="K88" s="26"/>
      <c r="L88" s="26"/>
      <c r="M88" s="26" t="s">
        <v>80</v>
      </c>
      <c r="N88" s="26"/>
      <c r="O88" s="26"/>
    </row>
    <row r="89" ht="15.75" customHeight="1">
      <c r="A89" s="20"/>
      <c r="B89" s="152">
        <v>85.0</v>
      </c>
      <c r="C89" s="105" t="s">
        <v>333</v>
      </c>
      <c r="D89" s="105" t="s">
        <v>334</v>
      </c>
      <c r="E89" s="70" t="str">
        <f t="shared" si="2"/>
        <v/>
      </c>
      <c r="F89" s="71" t="str">
        <f t="shared" si="3"/>
        <v/>
      </c>
      <c r="G89" s="26"/>
      <c r="H89" s="26"/>
      <c r="I89" s="26"/>
      <c r="J89" s="26"/>
      <c r="K89" s="26"/>
      <c r="L89" s="26"/>
      <c r="M89" s="26"/>
      <c r="N89" s="26"/>
      <c r="O89" s="26"/>
    </row>
    <row r="90" ht="15.75" customHeight="1">
      <c r="A90" s="28"/>
      <c r="B90" s="156">
        <v>86.0</v>
      </c>
      <c r="C90" s="155" t="s">
        <v>341</v>
      </c>
      <c r="D90" s="155" t="s">
        <v>342</v>
      </c>
      <c r="E90" s="70" t="str">
        <f t="shared" si="2"/>
        <v>9번 중 5번 참여</v>
      </c>
      <c r="F90" s="71">
        <f t="shared" si="3"/>
        <v>0.5555555556</v>
      </c>
      <c r="G90" s="26" t="s">
        <v>25</v>
      </c>
      <c r="H90" s="26"/>
      <c r="I90" s="26" t="s">
        <v>25</v>
      </c>
      <c r="J90" s="26" t="s">
        <v>25</v>
      </c>
      <c r="K90" s="26"/>
      <c r="L90" s="26" t="s">
        <v>25</v>
      </c>
      <c r="M90" s="26" t="s">
        <v>25</v>
      </c>
      <c r="N90" s="26"/>
      <c r="O90" s="26"/>
    </row>
    <row r="91" ht="15.75" customHeight="1">
      <c r="A91" s="20"/>
      <c r="B91" s="152">
        <v>87.0</v>
      </c>
      <c r="C91" s="105" t="s">
        <v>343</v>
      </c>
      <c r="D91" s="105" t="s">
        <v>344</v>
      </c>
      <c r="E91" s="70" t="str">
        <f t="shared" si="2"/>
        <v/>
      </c>
      <c r="F91" s="71" t="str">
        <f t="shared" si="3"/>
        <v/>
      </c>
      <c r="G91" s="26"/>
      <c r="H91" s="26"/>
      <c r="I91" s="26"/>
      <c r="J91" s="26"/>
      <c r="K91" s="26"/>
      <c r="L91" s="26"/>
      <c r="M91" s="26"/>
      <c r="N91" s="26"/>
      <c r="O91" s="26"/>
    </row>
    <row r="92" ht="15.75" customHeight="1">
      <c r="A92" s="28"/>
      <c r="B92" s="152">
        <v>88.0</v>
      </c>
      <c r="C92" s="105" t="s">
        <v>378</v>
      </c>
      <c r="D92" s="105" t="s">
        <v>379</v>
      </c>
      <c r="E92" s="70" t="str">
        <f t="shared" si="2"/>
        <v/>
      </c>
      <c r="F92" s="71" t="str">
        <f t="shared" si="3"/>
        <v/>
      </c>
      <c r="G92" s="26"/>
      <c r="H92" s="26"/>
      <c r="I92" s="26"/>
      <c r="J92" s="26"/>
      <c r="K92" s="26"/>
      <c r="L92" s="26"/>
      <c r="M92" s="26"/>
      <c r="N92" s="26"/>
      <c r="O92" s="26"/>
    </row>
    <row r="93" ht="15.75" customHeight="1">
      <c r="A93" s="157"/>
      <c r="B93" s="152">
        <v>89.0</v>
      </c>
      <c r="C93" s="105" t="s">
        <v>357</v>
      </c>
      <c r="D93" s="105" t="s">
        <v>358</v>
      </c>
      <c r="E93" s="70" t="str">
        <f t="shared" si="2"/>
        <v/>
      </c>
      <c r="F93" s="71" t="str">
        <f t="shared" si="3"/>
        <v/>
      </c>
      <c r="G93" s="26"/>
      <c r="H93" s="26"/>
      <c r="I93" s="26"/>
      <c r="J93" s="26"/>
      <c r="K93" s="26"/>
      <c r="L93" s="26"/>
      <c r="M93" s="26"/>
      <c r="N93" s="26"/>
      <c r="O93" s="26"/>
    </row>
    <row r="94" ht="15.75" customHeight="1">
      <c r="A94" s="28"/>
      <c r="B94" s="152">
        <v>90.0</v>
      </c>
      <c r="C94" s="105" t="s">
        <v>367</v>
      </c>
      <c r="D94" s="105" t="s">
        <v>368</v>
      </c>
      <c r="E94" s="70" t="str">
        <f t="shared" si="2"/>
        <v/>
      </c>
      <c r="F94" s="71" t="str">
        <f t="shared" si="3"/>
        <v/>
      </c>
      <c r="G94" s="26"/>
      <c r="H94" s="26"/>
      <c r="I94" s="26"/>
      <c r="J94" s="26"/>
      <c r="K94" s="26"/>
      <c r="L94" s="26"/>
      <c r="M94" s="26"/>
      <c r="N94" s="26"/>
      <c r="O94" s="26"/>
    </row>
    <row r="95" ht="15.75" customHeight="1">
      <c r="A95" s="20"/>
      <c r="B95" s="152">
        <v>91.0</v>
      </c>
      <c r="C95" s="105" t="s">
        <v>394</v>
      </c>
      <c r="D95" s="105" t="s">
        <v>395</v>
      </c>
      <c r="E95" s="70" t="str">
        <f t="shared" si="2"/>
        <v>9번 중 1번 참여</v>
      </c>
      <c r="F95" s="71">
        <f t="shared" si="3"/>
        <v>0.1111111111</v>
      </c>
      <c r="G95" s="26" t="s">
        <v>25</v>
      </c>
      <c r="H95" s="26"/>
      <c r="I95" s="26"/>
      <c r="J95" s="26"/>
      <c r="K95" s="26"/>
      <c r="L95" s="26"/>
      <c r="M95" s="26"/>
      <c r="N95" s="26"/>
      <c r="O95" s="26"/>
    </row>
    <row r="96" ht="15.75" customHeight="1">
      <c r="A96" s="28"/>
      <c r="B96" s="152">
        <v>92.0</v>
      </c>
      <c r="C96" s="105" t="s">
        <v>434</v>
      </c>
      <c r="D96" s="158" t="s">
        <v>435</v>
      </c>
      <c r="E96" s="70" t="str">
        <f t="shared" si="2"/>
        <v/>
      </c>
      <c r="F96" s="71" t="str">
        <f t="shared" si="3"/>
        <v/>
      </c>
      <c r="G96" s="26" t="s">
        <v>80</v>
      </c>
      <c r="H96" s="26"/>
      <c r="I96" s="26"/>
      <c r="J96" s="26"/>
      <c r="K96" s="26"/>
      <c r="L96" s="26"/>
      <c r="M96" s="26"/>
      <c r="N96" s="26"/>
      <c r="O96" s="26"/>
    </row>
    <row r="97" ht="15.75" customHeight="1">
      <c r="A97" s="20"/>
      <c r="B97" s="21">
        <v>93.0</v>
      </c>
      <c r="C97" s="30" t="s">
        <v>436</v>
      </c>
      <c r="D97" s="30" t="s">
        <v>181</v>
      </c>
      <c r="E97" s="70" t="str">
        <f t="shared" si="2"/>
        <v>9번 중 2번 참여</v>
      </c>
      <c r="F97" s="71">
        <f t="shared" si="3"/>
        <v>0.2222222222</v>
      </c>
      <c r="G97" s="26" t="s">
        <v>80</v>
      </c>
      <c r="H97" s="26" t="s">
        <v>80</v>
      </c>
      <c r="I97" s="26" t="s">
        <v>80</v>
      </c>
      <c r="J97" s="26" t="s">
        <v>80</v>
      </c>
      <c r="K97" s="26"/>
      <c r="L97" s="26"/>
      <c r="M97" s="26"/>
      <c r="N97" s="26" t="s">
        <v>25</v>
      </c>
      <c r="O97" s="26" t="s">
        <v>25</v>
      </c>
    </row>
    <row r="98" ht="15.75" customHeight="1">
      <c r="A98" s="28"/>
      <c r="B98" s="21">
        <v>94.0</v>
      </c>
      <c r="C98" s="22"/>
      <c r="D98" s="22"/>
      <c r="E98" s="70" t="str">
        <f t="shared" si="2"/>
        <v/>
      </c>
      <c r="F98" s="71" t="str">
        <f t="shared" si="3"/>
        <v/>
      </c>
      <c r="G98" s="26" t="s">
        <v>80</v>
      </c>
      <c r="H98" s="26"/>
      <c r="I98" s="26"/>
      <c r="J98" s="26"/>
      <c r="K98" s="26"/>
      <c r="L98" s="26"/>
      <c r="M98" s="26"/>
      <c r="N98" s="26"/>
      <c r="O98" s="26"/>
    </row>
    <row r="99" ht="15.75" customHeight="1">
      <c r="A99" s="20"/>
      <c r="B99" s="21">
        <v>95.0</v>
      </c>
      <c r="C99" s="39"/>
      <c r="D99" s="39"/>
      <c r="E99" s="70" t="str">
        <f t="shared" si="2"/>
        <v/>
      </c>
      <c r="F99" s="71" t="str">
        <f t="shared" si="3"/>
        <v/>
      </c>
      <c r="G99" s="26" t="s">
        <v>80</v>
      </c>
      <c r="H99" s="26"/>
      <c r="I99" s="26"/>
      <c r="J99" s="26"/>
      <c r="K99" s="26"/>
      <c r="L99" s="26"/>
      <c r="M99" s="26"/>
      <c r="N99" s="26"/>
      <c r="O99" s="26"/>
    </row>
    <row r="100" ht="15.75" customHeight="1">
      <c r="A100" s="28"/>
      <c r="B100" s="21">
        <v>96.0</v>
      </c>
      <c r="C100" s="35"/>
      <c r="D100" s="35"/>
      <c r="E100" s="70" t="str">
        <f t="shared" si="2"/>
        <v/>
      </c>
      <c r="F100" s="71" t="str">
        <f t="shared" si="3"/>
        <v/>
      </c>
      <c r="G100" s="26" t="s">
        <v>80</v>
      </c>
      <c r="H100" s="26"/>
      <c r="I100" s="26"/>
      <c r="J100" s="26"/>
      <c r="K100" s="26"/>
      <c r="L100" s="26"/>
      <c r="M100" s="26"/>
      <c r="N100" s="26"/>
      <c r="O100" s="26"/>
    </row>
    <row r="101" ht="15.75" customHeight="1">
      <c r="A101" s="20"/>
      <c r="B101" s="21">
        <v>97.0</v>
      </c>
      <c r="C101" s="33"/>
      <c r="D101" s="33"/>
      <c r="E101" s="70" t="str">
        <f t="shared" si="2"/>
        <v/>
      </c>
      <c r="F101" s="71" t="str">
        <f t="shared" si="3"/>
        <v/>
      </c>
      <c r="G101" s="26" t="s">
        <v>80</v>
      </c>
      <c r="H101" s="26"/>
      <c r="I101" s="26"/>
      <c r="J101" s="26"/>
      <c r="K101" s="26"/>
      <c r="L101" s="26"/>
      <c r="M101" s="26"/>
      <c r="N101" s="26"/>
      <c r="O101" s="26"/>
    </row>
    <row r="102" ht="15.75" customHeight="1">
      <c r="A102" s="28"/>
      <c r="B102" s="21">
        <v>98.0</v>
      </c>
      <c r="C102" s="35"/>
      <c r="D102" s="35"/>
      <c r="E102" s="70" t="str">
        <f t="shared" si="2"/>
        <v/>
      </c>
      <c r="F102" s="71" t="str">
        <f t="shared" si="3"/>
        <v/>
      </c>
      <c r="G102" s="26"/>
      <c r="H102" s="26"/>
      <c r="I102" s="26"/>
      <c r="J102" s="26"/>
      <c r="K102" s="26"/>
      <c r="L102" s="26"/>
      <c r="M102" s="26"/>
      <c r="N102" s="26"/>
      <c r="O102" s="26"/>
    </row>
    <row r="103" ht="15.75" customHeight="1">
      <c r="A103" s="20"/>
      <c r="B103" s="21">
        <v>99.0</v>
      </c>
      <c r="C103" s="33"/>
      <c r="D103" s="33"/>
      <c r="E103" s="70" t="str">
        <f t="shared" si="2"/>
        <v/>
      </c>
      <c r="F103" s="71" t="str">
        <f t="shared" si="3"/>
        <v/>
      </c>
      <c r="G103" s="26"/>
      <c r="H103" s="26"/>
      <c r="I103" s="26"/>
      <c r="J103" s="26"/>
      <c r="K103" s="26"/>
      <c r="L103" s="26"/>
      <c r="M103" s="26"/>
      <c r="N103" s="26"/>
      <c r="O103" s="26"/>
    </row>
    <row r="104" ht="15.75" customHeight="1">
      <c r="A104" s="28"/>
      <c r="B104" s="21">
        <v>100.0</v>
      </c>
      <c r="C104" s="35"/>
      <c r="D104" s="35"/>
      <c r="E104" s="70" t="str">
        <f t="shared" si="2"/>
        <v/>
      </c>
      <c r="F104" s="71" t="str">
        <f t="shared" si="3"/>
        <v/>
      </c>
      <c r="G104" s="26"/>
      <c r="H104" s="26"/>
      <c r="I104" s="26"/>
      <c r="J104" s="26"/>
      <c r="K104" s="26"/>
      <c r="L104" s="26"/>
      <c r="M104" s="26"/>
      <c r="N104" s="26"/>
      <c r="O104" s="26"/>
    </row>
    <row r="105" ht="15.75" customHeight="1">
      <c r="A105" s="20"/>
      <c r="B105" s="21">
        <v>101.0</v>
      </c>
      <c r="C105" s="33"/>
      <c r="D105" s="33"/>
      <c r="E105" s="70" t="str">
        <f t="shared" si="2"/>
        <v/>
      </c>
      <c r="F105" s="71" t="str">
        <f t="shared" si="3"/>
        <v/>
      </c>
      <c r="G105" s="26"/>
      <c r="H105" s="26"/>
      <c r="I105" s="26"/>
      <c r="J105" s="26"/>
      <c r="K105" s="26"/>
      <c r="L105" s="26"/>
      <c r="M105" s="26"/>
      <c r="N105" s="26"/>
      <c r="O105" s="26"/>
    </row>
    <row r="106" ht="15.75" customHeight="1">
      <c r="A106" s="28"/>
      <c r="B106" s="21">
        <v>102.0</v>
      </c>
      <c r="C106" s="35"/>
      <c r="D106" s="35"/>
      <c r="E106" s="70" t="str">
        <f t="shared" si="2"/>
        <v/>
      </c>
      <c r="F106" s="71" t="str">
        <f t="shared" si="3"/>
        <v/>
      </c>
      <c r="G106" s="26"/>
      <c r="H106" s="26"/>
      <c r="I106" s="26"/>
      <c r="J106" s="26"/>
      <c r="K106" s="26"/>
      <c r="L106" s="26"/>
      <c r="M106" s="26"/>
      <c r="N106" s="26"/>
      <c r="O106" s="26"/>
    </row>
    <row r="107" ht="15.75" customHeight="1">
      <c r="A107" s="20"/>
      <c r="B107" s="21">
        <v>103.0</v>
      </c>
      <c r="C107" s="33"/>
      <c r="D107" s="33"/>
      <c r="E107" s="70" t="str">
        <f t="shared" si="2"/>
        <v/>
      </c>
      <c r="F107" s="71" t="str">
        <f t="shared" si="3"/>
        <v/>
      </c>
      <c r="G107" s="26"/>
      <c r="H107" s="26"/>
      <c r="I107" s="26"/>
      <c r="J107" s="26"/>
      <c r="K107" s="26"/>
      <c r="L107" s="26"/>
      <c r="M107" s="26"/>
      <c r="N107" s="26"/>
      <c r="O107" s="26"/>
    </row>
    <row r="108" ht="15.75" customHeight="1">
      <c r="A108" s="28"/>
      <c r="B108" s="21">
        <v>104.0</v>
      </c>
      <c r="C108" s="35"/>
      <c r="D108" s="35"/>
      <c r="E108" s="70" t="str">
        <f t="shared" si="2"/>
        <v/>
      </c>
      <c r="F108" s="71" t="str">
        <f t="shared" si="3"/>
        <v/>
      </c>
      <c r="G108" s="26"/>
      <c r="H108" s="26"/>
      <c r="I108" s="26"/>
      <c r="J108" s="26"/>
      <c r="K108" s="26"/>
      <c r="L108" s="26"/>
      <c r="M108" s="26"/>
      <c r="N108" s="26"/>
      <c r="O108" s="26"/>
    </row>
    <row r="109" ht="15.75" customHeight="1">
      <c r="A109" s="20"/>
      <c r="B109" s="21">
        <v>105.0</v>
      </c>
      <c r="C109" s="33"/>
      <c r="D109" s="33"/>
      <c r="E109" s="70" t="str">
        <f t="shared" si="2"/>
        <v/>
      </c>
      <c r="F109" s="71" t="str">
        <f t="shared" si="3"/>
        <v/>
      </c>
      <c r="G109" s="26"/>
      <c r="H109" s="26"/>
      <c r="I109" s="26"/>
      <c r="J109" s="26"/>
      <c r="K109" s="26"/>
      <c r="L109" s="26"/>
      <c r="M109" s="26"/>
      <c r="N109" s="26"/>
      <c r="O109" s="26"/>
    </row>
    <row r="110" ht="15.75" customHeight="1">
      <c r="A110" s="28"/>
      <c r="B110" s="21">
        <v>106.0</v>
      </c>
      <c r="C110" s="35"/>
      <c r="D110" s="35"/>
      <c r="E110" s="70" t="str">
        <f t="shared" si="2"/>
        <v/>
      </c>
      <c r="F110" s="71" t="str">
        <f t="shared" si="3"/>
        <v/>
      </c>
      <c r="G110" s="26"/>
      <c r="H110" s="26"/>
      <c r="I110" s="26"/>
      <c r="J110" s="26"/>
      <c r="K110" s="26"/>
      <c r="L110" s="26"/>
      <c r="M110" s="26"/>
      <c r="N110" s="26"/>
      <c r="O110" s="26"/>
    </row>
    <row r="111" ht="15.75" customHeight="1">
      <c r="A111" s="20"/>
      <c r="B111" s="21">
        <v>107.0</v>
      </c>
      <c r="C111" s="33"/>
      <c r="D111" s="33"/>
      <c r="E111" s="70" t="str">
        <f t="shared" si="2"/>
        <v/>
      </c>
      <c r="F111" s="71" t="str">
        <f t="shared" si="3"/>
        <v/>
      </c>
      <c r="G111" s="26"/>
      <c r="H111" s="26"/>
      <c r="I111" s="26"/>
      <c r="J111" s="26"/>
      <c r="K111" s="26"/>
      <c r="L111" s="26"/>
      <c r="M111" s="26"/>
      <c r="N111" s="26"/>
      <c r="O111" s="26"/>
    </row>
    <row r="112" ht="15.75" customHeight="1">
      <c r="A112" s="28"/>
      <c r="B112" s="21">
        <v>108.0</v>
      </c>
      <c r="C112" s="35"/>
      <c r="D112" s="35"/>
      <c r="E112" s="70" t="str">
        <f t="shared" si="2"/>
        <v/>
      </c>
      <c r="F112" s="71" t="str">
        <f t="shared" si="3"/>
        <v/>
      </c>
      <c r="G112" s="26"/>
      <c r="H112" s="26"/>
      <c r="I112" s="26"/>
      <c r="J112" s="26"/>
      <c r="K112" s="26"/>
      <c r="L112" s="26"/>
      <c r="M112" s="26"/>
      <c r="N112" s="26"/>
      <c r="O112" s="26"/>
    </row>
    <row r="113" ht="15.75" customHeight="1">
      <c r="A113" s="20"/>
      <c r="B113" s="21">
        <v>109.0</v>
      </c>
      <c r="C113" s="33"/>
      <c r="D113" s="33"/>
      <c r="E113" s="70" t="str">
        <f t="shared" si="2"/>
        <v/>
      </c>
      <c r="F113" s="71" t="str">
        <f t="shared" si="3"/>
        <v/>
      </c>
      <c r="G113" s="26"/>
      <c r="H113" s="26"/>
      <c r="I113" s="26"/>
      <c r="J113" s="26"/>
      <c r="K113" s="26"/>
      <c r="L113" s="26"/>
      <c r="M113" s="26"/>
      <c r="N113" s="26"/>
      <c r="O113" s="26"/>
    </row>
    <row r="114" ht="15.75" customHeight="1">
      <c r="A114" s="28"/>
      <c r="B114" s="21">
        <v>110.0</v>
      </c>
      <c r="C114" s="35"/>
      <c r="D114" s="35"/>
      <c r="E114" s="70" t="str">
        <f t="shared" si="2"/>
        <v/>
      </c>
      <c r="F114" s="71" t="str">
        <f t="shared" si="3"/>
        <v/>
      </c>
      <c r="G114" s="26"/>
      <c r="H114" s="26"/>
      <c r="I114" s="26"/>
      <c r="J114" s="26"/>
      <c r="K114" s="26"/>
      <c r="L114" s="26"/>
      <c r="M114" s="26"/>
      <c r="N114" s="26"/>
      <c r="O114" s="26"/>
    </row>
    <row r="115" ht="15.75" customHeight="1">
      <c r="A115" s="20"/>
      <c r="B115" s="21">
        <v>111.0</v>
      </c>
      <c r="C115" s="33"/>
      <c r="D115" s="33"/>
      <c r="E115" s="70" t="str">
        <f t="shared" si="2"/>
        <v/>
      </c>
      <c r="F115" s="71" t="str">
        <f t="shared" si="3"/>
        <v/>
      </c>
      <c r="G115" s="26"/>
      <c r="H115" s="26"/>
      <c r="I115" s="26"/>
      <c r="J115" s="26"/>
      <c r="K115" s="26"/>
      <c r="L115" s="26"/>
      <c r="M115" s="26"/>
      <c r="N115" s="26"/>
      <c r="O115" s="26"/>
    </row>
    <row r="116" ht="15.75" customHeight="1">
      <c r="A116" s="28"/>
      <c r="B116" s="21">
        <v>112.0</v>
      </c>
      <c r="C116" s="35"/>
      <c r="D116" s="35"/>
      <c r="E116" s="70" t="str">
        <f t="shared" si="2"/>
        <v/>
      </c>
      <c r="F116" s="71" t="str">
        <f t="shared" si="3"/>
        <v/>
      </c>
      <c r="G116" s="26"/>
      <c r="H116" s="26"/>
      <c r="I116" s="26"/>
      <c r="J116" s="26"/>
      <c r="K116" s="26"/>
      <c r="L116" s="26"/>
      <c r="M116" s="26"/>
      <c r="N116" s="26"/>
      <c r="O116" s="26"/>
    </row>
    <row r="117" ht="15.75" customHeight="1">
      <c r="A117" s="20"/>
      <c r="B117" s="21">
        <v>113.0</v>
      </c>
      <c r="C117" s="33"/>
      <c r="D117" s="33"/>
      <c r="E117" s="70" t="str">
        <f t="shared" si="2"/>
        <v/>
      </c>
      <c r="F117" s="71" t="str">
        <f t="shared" si="3"/>
        <v/>
      </c>
      <c r="G117" s="26"/>
      <c r="H117" s="26"/>
      <c r="I117" s="26"/>
      <c r="J117" s="26"/>
      <c r="K117" s="26"/>
      <c r="L117" s="26"/>
      <c r="M117" s="26"/>
      <c r="N117" s="26"/>
      <c r="O117" s="26"/>
    </row>
    <row r="118" ht="15.75" customHeight="1">
      <c r="A118" s="28"/>
      <c r="B118" s="21">
        <v>114.0</v>
      </c>
      <c r="C118" s="35"/>
      <c r="D118" s="35"/>
      <c r="E118" s="70" t="str">
        <f t="shared" si="2"/>
        <v/>
      </c>
      <c r="F118" s="71" t="str">
        <f t="shared" si="3"/>
        <v/>
      </c>
      <c r="G118" s="26"/>
      <c r="H118" s="26"/>
      <c r="I118" s="26"/>
      <c r="J118" s="26"/>
      <c r="K118" s="26"/>
      <c r="L118" s="26"/>
      <c r="M118" s="26"/>
      <c r="N118" s="26"/>
      <c r="O118" s="26"/>
    </row>
    <row r="119" ht="15.75" customHeight="1">
      <c r="A119" s="20"/>
      <c r="B119" s="21">
        <v>115.0</v>
      </c>
      <c r="C119" s="33"/>
      <c r="D119" s="33"/>
      <c r="E119" s="70" t="str">
        <f t="shared" si="2"/>
        <v/>
      </c>
      <c r="F119" s="71" t="str">
        <f t="shared" si="3"/>
        <v/>
      </c>
      <c r="G119" s="26"/>
      <c r="H119" s="26"/>
      <c r="I119" s="26"/>
      <c r="J119" s="26"/>
      <c r="K119" s="26"/>
      <c r="L119" s="26"/>
      <c r="M119" s="26"/>
      <c r="N119" s="26"/>
      <c r="O119" s="26"/>
    </row>
    <row r="120" ht="15.75" customHeight="1">
      <c r="A120" s="28"/>
      <c r="B120" s="21">
        <v>116.0</v>
      </c>
      <c r="C120" s="35"/>
      <c r="D120" s="35"/>
      <c r="E120" s="70" t="str">
        <f t="shared" si="2"/>
        <v/>
      </c>
      <c r="F120" s="71" t="str">
        <f t="shared" si="3"/>
        <v/>
      </c>
      <c r="G120" s="26"/>
      <c r="H120" s="26"/>
      <c r="I120" s="26"/>
      <c r="J120" s="26"/>
      <c r="K120" s="26"/>
      <c r="L120" s="26"/>
      <c r="M120" s="26"/>
      <c r="N120" s="26"/>
      <c r="O120" s="26"/>
    </row>
    <row r="121" ht="15.75" customHeight="1">
      <c r="A121" s="20"/>
      <c r="B121" s="21">
        <v>117.0</v>
      </c>
      <c r="C121" s="33"/>
      <c r="D121" s="33"/>
      <c r="E121" s="70" t="str">
        <f t="shared" si="2"/>
        <v/>
      </c>
      <c r="F121" s="71" t="str">
        <f t="shared" si="3"/>
        <v/>
      </c>
      <c r="G121" s="26"/>
      <c r="H121" s="26"/>
      <c r="I121" s="26"/>
      <c r="J121" s="26"/>
      <c r="K121" s="26"/>
      <c r="L121" s="26"/>
      <c r="M121" s="26"/>
      <c r="N121" s="26"/>
      <c r="O121" s="26"/>
    </row>
    <row r="122" ht="15.75" customHeight="1">
      <c r="A122" s="13"/>
      <c r="B122" s="55">
        <v>118.0</v>
      </c>
      <c r="C122" s="56"/>
      <c r="D122" s="56"/>
      <c r="E122" s="92" t="str">
        <f t="shared" si="2"/>
        <v/>
      </c>
      <c r="F122" s="93" t="str">
        <f t="shared" si="3"/>
        <v/>
      </c>
      <c r="G122" s="17"/>
      <c r="H122" s="17"/>
      <c r="I122" s="17"/>
      <c r="J122" s="17"/>
      <c r="K122" s="17"/>
      <c r="L122" s="17"/>
      <c r="M122" s="17"/>
      <c r="N122" s="17"/>
      <c r="O122" s="17"/>
    </row>
    <row r="123" ht="15.75" customHeight="1">
      <c r="A123" s="13"/>
      <c r="B123" s="55">
        <v>119.0</v>
      </c>
      <c r="C123" s="56"/>
      <c r="D123" s="56"/>
      <c r="E123" s="92" t="str">
        <f t="shared" si="2"/>
        <v/>
      </c>
      <c r="F123" s="93" t="str">
        <f t="shared" si="3"/>
        <v/>
      </c>
      <c r="G123" s="17"/>
      <c r="H123" s="17"/>
      <c r="I123" s="17"/>
      <c r="J123" s="17"/>
      <c r="K123" s="17"/>
      <c r="L123" s="17"/>
      <c r="M123" s="17"/>
      <c r="N123" s="17"/>
      <c r="O123" s="17"/>
    </row>
    <row r="124" ht="15.75" customHeight="1">
      <c r="A124" s="13"/>
      <c r="B124" s="55">
        <v>120.0</v>
      </c>
      <c r="C124" s="56"/>
      <c r="D124" s="56"/>
      <c r="E124" s="92" t="str">
        <f t="shared" si="2"/>
        <v/>
      </c>
      <c r="F124" s="93" t="str">
        <f t="shared" si="3"/>
        <v/>
      </c>
      <c r="G124" s="17"/>
      <c r="H124" s="17"/>
      <c r="I124" s="17"/>
      <c r="J124" s="17"/>
      <c r="K124" s="17"/>
      <c r="L124" s="17"/>
      <c r="M124" s="17"/>
      <c r="N124" s="17"/>
      <c r="O124" s="17"/>
    </row>
    <row r="125" ht="15.75" customHeight="1">
      <c r="A125" s="13"/>
      <c r="B125" s="13"/>
      <c r="C125" s="13"/>
      <c r="D125" s="13"/>
      <c r="E125" s="159"/>
      <c r="F125" s="159"/>
      <c r="G125" s="13"/>
      <c r="H125" s="13"/>
      <c r="I125" s="13"/>
      <c r="J125" s="13"/>
      <c r="K125" s="13"/>
      <c r="L125" s="13"/>
      <c r="M125" s="13"/>
      <c r="N125" s="13"/>
      <c r="O125" s="13"/>
    </row>
    <row r="126" ht="15.75" customHeight="1">
      <c r="A126" s="13"/>
      <c r="B126" s="13"/>
      <c r="C126" s="13"/>
      <c r="D126" s="13"/>
      <c r="E126" s="159"/>
      <c r="F126" s="159"/>
      <c r="G126" s="13"/>
      <c r="H126" s="13"/>
      <c r="I126" s="13"/>
      <c r="J126" s="13"/>
      <c r="K126" s="13"/>
      <c r="L126" s="13"/>
      <c r="M126" s="13"/>
      <c r="N126" s="13"/>
      <c r="O126" s="13"/>
    </row>
    <row r="127" ht="15.75" customHeight="1">
      <c r="A127" s="13"/>
      <c r="B127" s="13"/>
      <c r="C127" s="13"/>
      <c r="D127" s="13"/>
      <c r="E127" s="159"/>
      <c r="F127" s="159"/>
      <c r="G127" s="13"/>
      <c r="H127" s="13"/>
      <c r="I127" s="13"/>
      <c r="J127" s="13"/>
      <c r="K127" s="13"/>
      <c r="L127" s="13"/>
      <c r="M127" s="13"/>
      <c r="N127" s="13"/>
      <c r="O127" s="13"/>
    </row>
    <row r="128" ht="15.75" customHeight="1">
      <c r="A128" s="13"/>
      <c r="B128" s="13"/>
      <c r="C128" s="13"/>
      <c r="D128" s="13"/>
      <c r="E128" s="159"/>
      <c r="F128" s="159"/>
      <c r="G128" s="13"/>
      <c r="H128" s="13"/>
      <c r="I128" s="13"/>
      <c r="J128" s="13"/>
      <c r="K128" s="13"/>
      <c r="L128" s="13"/>
      <c r="M128" s="13"/>
      <c r="N128" s="13"/>
      <c r="O128" s="13"/>
    </row>
    <row r="129" ht="15.75" customHeight="1">
      <c r="A129" s="13"/>
      <c r="B129" s="13"/>
      <c r="C129" s="13"/>
      <c r="D129" s="13"/>
      <c r="E129" s="159"/>
      <c r="F129" s="159"/>
      <c r="G129" s="13"/>
      <c r="H129" s="13"/>
      <c r="I129" s="13"/>
      <c r="J129" s="13"/>
      <c r="K129" s="13"/>
      <c r="L129" s="13"/>
      <c r="M129" s="13"/>
      <c r="N129" s="13"/>
      <c r="O129" s="13"/>
    </row>
    <row r="130" ht="15.75" customHeight="1">
      <c r="A130" s="13"/>
      <c r="B130" s="13"/>
      <c r="C130" s="13"/>
      <c r="D130" s="13"/>
      <c r="E130" s="159"/>
      <c r="F130" s="159"/>
      <c r="G130" s="13"/>
      <c r="H130" s="13"/>
      <c r="I130" s="13"/>
      <c r="J130" s="13"/>
      <c r="K130" s="13"/>
      <c r="L130" s="13"/>
      <c r="M130" s="13"/>
      <c r="N130" s="13"/>
      <c r="O130" s="13"/>
    </row>
    <row r="131" ht="15.75" customHeight="1">
      <c r="A131" s="13"/>
      <c r="B131" s="13"/>
      <c r="C131" s="13"/>
      <c r="D131" s="13"/>
      <c r="E131" s="159"/>
      <c r="F131" s="159"/>
      <c r="G131" s="13"/>
      <c r="H131" s="13"/>
      <c r="I131" s="13"/>
      <c r="J131" s="13"/>
      <c r="K131" s="13"/>
      <c r="L131" s="13"/>
      <c r="M131" s="13"/>
      <c r="N131" s="13"/>
      <c r="O131" s="13"/>
    </row>
    <row r="132" ht="15.75" customHeight="1">
      <c r="A132" s="13"/>
      <c r="B132" s="13"/>
      <c r="C132" s="13"/>
      <c r="D132" s="13"/>
      <c r="E132" s="159"/>
      <c r="F132" s="159"/>
      <c r="G132" s="13"/>
      <c r="H132" s="13"/>
      <c r="I132" s="13"/>
      <c r="J132" s="13"/>
      <c r="K132" s="13"/>
      <c r="L132" s="13"/>
      <c r="M132" s="13"/>
      <c r="N132" s="13"/>
      <c r="O132" s="13"/>
    </row>
    <row r="133" ht="15.75" customHeight="1">
      <c r="A133" s="13"/>
      <c r="B133" s="13"/>
      <c r="C133" s="13"/>
      <c r="D133" s="13"/>
      <c r="E133" s="159"/>
      <c r="F133" s="159"/>
      <c r="G133" s="13"/>
      <c r="H133" s="13"/>
      <c r="I133" s="13"/>
      <c r="J133" s="13"/>
      <c r="K133" s="13"/>
      <c r="L133" s="13"/>
      <c r="M133" s="13"/>
      <c r="N133" s="13"/>
      <c r="O133" s="13"/>
    </row>
    <row r="134" ht="15.75" customHeight="1">
      <c r="A134" s="13"/>
      <c r="B134" s="13"/>
      <c r="C134" s="13"/>
      <c r="D134" s="13"/>
      <c r="E134" s="159"/>
      <c r="F134" s="159"/>
      <c r="G134" s="13"/>
      <c r="H134" s="13"/>
      <c r="I134" s="13"/>
      <c r="J134" s="13"/>
      <c r="K134" s="13"/>
      <c r="L134" s="13"/>
      <c r="M134" s="13"/>
      <c r="N134" s="13"/>
      <c r="O134" s="13"/>
    </row>
    <row r="135" ht="15.75" customHeight="1">
      <c r="A135" s="13"/>
      <c r="B135" s="13"/>
      <c r="C135" s="13"/>
      <c r="D135" s="13"/>
      <c r="E135" s="159"/>
      <c r="F135" s="159"/>
      <c r="G135" s="13"/>
      <c r="H135" s="13"/>
      <c r="I135" s="13"/>
      <c r="J135" s="13"/>
      <c r="K135" s="13"/>
      <c r="L135" s="13"/>
      <c r="M135" s="13"/>
      <c r="N135" s="13"/>
      <c r="O135" s="13"/>
    </row>
    <row r="136" ht="15.75" customHeight="1">
      <c r="A136" s="13"/>
      <c r="B136" s="13"/>
      <c r="C136" s="13"/>
      <c r="D136" s="13"/>
      <c r="E136" s="159"/>
      <c r="F136" s="159"/>
      <c r="G136" s="13"/>
      <c r="H136" s="13"/>
      <c r="I136" s="13"/>
      <c r="J136" s="13"/>
      <c r="K136" s="13"/>
      <c r="L136" s="13"/>
      <c r="M136" s="13"/>
      <c r="N136" s="13"/>
      <c r="O136" s="13"/>
    </row>
    <row r="137" ht="15.75" customHeight="1">
      <c r="A137" s="13"/>
      <c r="B137" s="13"/>
      <c r="C137" s="13"/>
      <c r="D137" s="13"/>
      <c r="E137" s="159"/>
      <c r="F137" s="159"/>
      <c r="G137" s="13"/>
      <c r="H137" s="13"/>
      <c r="I137" s="13"/>
      <c r="J137" s="13"/>
      <c r="K137" s="13"/>
      <c r="L137" s="13"/>
      <c r="M137" s="13"/>
      <c r="N137" s="13"/>
      <c r="O137" s="13"/>
    </row>
    <row r="138" ht="15.75" customHeight="1">
      <c r="A138" s="13"/>
      <c r="B138" s="13"/>
      <c r="C138" s="13"/>
      <c r="D138" s="13"/>
      <c r="E138" s="159"/>
      <c r="F138" s="159"/>
      <c r="G138" s="13"/>
      <c r="H138" s="13"/>
      <c r="I138" s="13"/>
      <c r="J138" s="13"/>
      <c r="K138" s="13"/>
      <c r="L138" s="13"/>
      <c r="M138" s="13"/>
      <c r="N138" s="13"/>
      <c r="O138" s="13"/>
    </row>
    <row r="139" ht="15.75" customHeight="1">
      <c r="A139" s="13"/>
      <c r="B139" s="13"/>
      <c r="C139" s="13"/>
      <c r="D139" s="13"/>
      <c r="E139" s="159"/>
      <c r="F139" s="159"/>
      <c r="G139" s="13"/>
      <c r="H139" s="13"/>
      <c r="I139" s="13"/>
      <c r="J139" s="13"/>
      <c r="K139" s="13"/>
      <c r="L139" s="13"/>
      <c r="M139" s="13"/>
      <c r="N139" s="13"/>
      <c r="O139" s="13"/>
    </row>
    <row r="140" ht="15.75" customHeight="1">
      <c r="A140" s="13"/>
      <c r="B140" s="13"/>
      <c r="C140" s="13"/>
      <c r="D140" s="13"/>
      <c r="E140" s="159"/>
      <c r="F140" s="159"/>
      <c r="G140" s="13"/>
      <c r="H140" s="13"/>
      <c r="I140" s="13"/>
      <c r="J140" s="13"/>
      <c r="K140" s="13"/>
      <c r="L140" s="13"/>
      <c r="M140" s="13"/>
      <c r="N140" s="13"/>
      <c r="O140" s="13"/>
    </row>
    <row r="141" ht="15.75" customHeight="1">
      <c r="A141" s="13"/>
      <c r="B141" s="13"/>
      <c r="C141" s="13"/>
      <c r="D141" s="13"/>
      <c r="E141" s="159"/>
      <c r="F141" s="159"/>
      <c r="G141" s="13"/>
      <c r="H141" s="13"/>
      <c r="I141" s="13"/>
      <c r="J141" s="13"/>
      <c r="K141" s="13"/>
      <c r="L141" s="13"/>
      <c r="M141" s="13"/>
      <c r="N141" s="13"/>
      <c r="O141" s="13"/>
    </row>
    <row r="142" ht="15.75" customHeight="1">
      <c r="A142" s="13"/>
      <c r="B142" s="13"/>
      <c r="C142" s="13"/>
      <c r="D142" s="13"/>
      <c r="E142" s="159"/>
      <c r="F142" s="159"/>
      <c r="G142" s="13"/>
      <c r="H142" s="13"/>
      <c r="I142" s="13"/>
      <c r="J142" s="13"/>
      <c r="K142" s="13"/>
      <c r="L142" s="13"/>
      <c r="M142" s="13"/>
      <c r="N142" s="13"/>
      <c r="O142" s="13"/>
    </row>
    <row r="143" ht="15.75" customHeight="1">
      <c r="A143" s="13"/>
      <c r="B143" s="13"/>
      <c r="C143" s="13"/>
      <c r="D143" s="13"/>
      <c r="E143" s="159"/>
      <c r="F143" s="159"/>
      <c r="G143" s="13"/>
      <c r="H143" s="13"/>
      <c r="I143" s="13"/>
      <c r="J143" s="13"/>
      <c r="K143" s="13"/>
      <c r="L143" s="13"/>
      <c r="M143" s="13"/>
      <c r="N143" s="13"/>
      <c r="O143" s="13"/>
    </row>
    <row r="144" ht="15.75" customHeight="1">
      <c r="A144" s="13"/>
      <c r="B144" s="13"/>
      <c r="C144" s="13"/>
      <c r="D144" s="13"/>
      <c r="E144" s="159"/>
      <c r="F144" s="159"/>
      <c r="G144" s="13"/>
      <c r="H144" s="13"/>
      <c r="I144" s="13"/>
      <c r="J144" s="13"/>
      <c r="K144" s="13"/>
      <c r="L144" s="13"/>
      <c r="M144" s="13"/>
      <c r="N144" s="13"/>
      <c r="O144" s="13"/>
    </row>
    <row r="145" ht="15.75" customHeight="1">
      <c r="A145" s="13"/>
      <c r="B145" s="13"/>
      <c r="C145" s="13"/>
      <c r="D145" s="13"/>
      <c r="E145" s="159"/>
      <c r="F145" s="159"/>
      <c r="G145" s="13"/>
      <c r="H145" s="13"/>
      <c r="I145" s="13"/>
      <c r="J145" s="13"/>
      <c r="K145" s="13"/>
      <c r="L145" s="13"/>
      <c r="M145" s="13"/>
      <c r="N145" s="13"/>
      <c r="O145" s="13"/>
    </row>
    <row r="146" ht="15.75" customHeight="1">
      <c r="A146" s="13"/>
      <c r="B146" s="13"/>
      <c r="C146" s="13"/>
      <c r="D146" s="13"/>
      <c r="E146" s="159"/>
      <c r="F146" s="159"/>
      <c r="G146" s="13"/>
      <c r="H146" s="13"/>
      <c r="I146" s="13"/>
      <c r="J146" s="13"/>
      <c r="K146" s="13"/>
      <c r="L146" s="13"/>
      <c r="M146" s="13"/>
      <c r="N146" s="13"/>
      <c r="O146" s="13"/>
    </row>
    <row r="147" ht="15.75" customHeight="1">
      <c r="A147" s="13"/>
      <c r="B147" s="13"/>
      <c r="C147" s="13"/>
      <c r="D147" s="13"/>
      <c r="E147" s="159"/>
      <c r="F147" s="159"/>
      <c r="G147" s="13"/>
      <c r="H147" s="13"/>
      <c r="I147" s="13"/>
      <c r="J147" s="13"/>
      <c r="K147" s="13"/>
      <c r="L147" s="13"/>
      <c r="M147" s="13"/>
      <c r="N147" s="13"/>
      <c r="O147" s="13"/>
    </row>
    <row r="148" ht="15.75" customHeight="1">
      <c r="A148" s="13"/>
      <c r="B148" s="13"/>
      <c r="C148" s="13"/>
      <c r="D148" s="13"/>
      <c r="E148" s="159"/>
      <c r="F148" s="159"/>
      <c r="G148" s="13"/>
      <c r="H148" s="13"/>
      <c r="I148" s="13"/>
      <c r="J148" s="13"/>
      <c r="K148" s="13"/>
      <c r="L148" s="13"/>
      <c r="M148" s="13"/>
      <c r="N148" s="13"/>
      <c r="O148" s="13"/>
    </row>
    <row r="149" ht="15.75" customHeight="1">
      <c r="A149" s="13"/>
      <c r="B149" s="13"/>
      <c r="C149" s="13"/>
      <c r="D149" s="13"/>
      <c r="E149" s="159"/>
      <c r="F149" s="159"/>
      <c r="G149" s="13"/>
      <c r="H149" s="13"/>
      <c r="I149" s="13"/>
      <c r="J149" s="13"/>
      <c r="K149" s="13"/>
      <c r="L149" s="13"/>
      <c r="M149" s="13"/>
      <c r="N149" s="13"/>
      <c r="O149" s="13"/>
    </row>
    <row r="150" ht="15.75" customHeight="1">
      <c r="A150" s="13"/>
      <c r="B150" s="13"/>
      <c r="C150" s="13"/>
      <c r="D150" s="13"/>
      <c r="E150" s="159"/>
      <c r="F150" s="159"/>
      <c r="G150" s="13"/>
      <c r="H150" s="13"/>
      <c r="I150" s="13"/>
      <c r="J150" s="13"/>
      <c r="K150" s="13"/>
      <c r="L150" s="13"/>
      <c r="M150" s="13"/>
      <c r="N150" s="13"/>
      <c r="O150" s="13"/>
    </row>
    <row r="151" ht="15.75" customHeight="1">
      <c r="A151" s="13"/>
      <c r="B151" s="13"/>
      <c r="C151" s="13"/>
      <c r="D151" s="13"/>
      <c r="E151" s="159"/>
      <c r="F151" s="159"/>
      <c r="G151" s="13"/>
      <c r="H151" s="13"/>
      <c r="I151" s="13"/>
      <c r="J151" s="13"/>
      <c r="K151" s="13"/>
      <c r="L151" s="13"/>
      <c r="M151" s="13"/>
      <c r="N151" s="13"/>
      <c r="O151" s="13"/>
    </row>
    <row r="152" ht="15.75" customHeight="1">
      <c r="A152" s="13"/>
      <c r="B152" s="13"/>
      <c r="C152" s="13"/>
      <c r="D152" s="13"/>
      <c r="E152" s="159"/>
      <c r="F152" s="159"/>
      <c r="G152" s="13"/>
      <c r="H152" s="13"/>
      <c r="I152" s="13"/>
      <c r="J152" s="13"/>
      <c r="K152" s="13"/>
      <c r="L152" s="13"/>
      <c r="M152" s="13"/>
      <c r="N152" s="13"/>
      <c r="O152" s="13"/>
    </row>
    <row r="153" ht="15.75" customHeight="1">
      <c r="A153" s="13"/>
      <c r="B153" s="13"/>
      <c r="C153" s="13"/>
      <c r="D153" s="13"/>
      <c r="E153" s="159"/>
      <c r="F153" s="159"/>
      <c r="G153" s="13"/>
      <c r="H153" s="13"/>
      <c r="I153" s="13"/>
      <c r="J153" s="13"/>
      <c r="K153" s="13"/>
      <c r="L153" s="13"/>
      <c r="M153" s="13"/>
      <c r="N153" s="13"/>
      <c r="O153" s="13"/>
    </row>
    <row r="154" ht="15.75" customHeight="1">
      <c r="A154" s="13"/>
      <c r="B154" s="13"/>
      <c r="C154" s="13"/>
      <c r="D154" s="13"/>
      <c r="E154" s="159"/>
      <c r="F154" s="159"/>
      <c r="G154" s="13"/>
      <c r="H154" s="13"/>
      <c r="I154" s="13"/>
      <c r="J154" s="13"/>
      <c r="K154" s="13"/>
      <c r="L154" s="13"/>
      <c r="M154" s="13"/>
      <c r="N154" s="13"/>
      <c r="O154" s="13"/>
    </row>
    <row r="155" ht="15.75" customHeight="1">
      <c r="A155" s="13"/>
      <c r="B155" s="13"/>
      <c r="C155" s="13"/>
      <c r="D155" s="13"/>
      <c r="E155" s="159"/>
      <c r="F155" s="159"/>
      <c r="G155" s="13"/>
      <c r="H155" s="13"/>
      <c r="I155" s="13"/>
      <c r="J155" s="13"/>
      <c r="K155" s="13"/>
      <c r="L155" s="13"/>
      <c r="M155" s="13"/>
      <c r="N155" s="13"/>
      <c r="O155" s="13"/>
    </row>
    <row r="156" ht="15.75" customHeight="1">
      <c r="A156" s="13"/>
      <c r="B156" s="13"/>
      <c r="C156" s="13"/>
      <c r="D156" s="13"/>
      <c r="E156" s="159"/>
      <c r="F156" s="159"/>
      <c r="G156" s="13"/>
      <c r="H156" s="13"/>
      <c r="I156" s="13"/>
      <c r="J156" s="13"/>
      <c r="K156" s="13"/>
      <c r="L156" s="13"/>
      <c r="M156" s="13"/>
      <c r="N156" s="13"/>
      <c r="O156" s="13"/>
    </row>
    <row r="157" ht="15.75" customHeight="1">
      <c r="A157" s="13"/>
      <c r="B157" s="13"/>
      <c r="C157" s="13"/>
      <c r="D157" s="13"/>
      <c r="E157" s="159"/>
      <c r="F157" s="159"/>
      <c r="G157" s="13"/>
      <c r="H157" s="13"/>
      <c r="I157" s="13"/>
      <c r="J157" s="13"/>
      <c r="K157" s="13"/>
      <c r="L157" s="13"/>
      <c r="M157" s="13"/>
      <c r="N157" s="13"/>
      <c r="O157" s="13"/>
    </row>
    <row r="158" ht="15.75" customHeight="1">
      <c r="A158" s="13"/>
      <c r="B158" s="13"/>
      <c r="C158" s="13"/>
      <c r="D158" s="13"/>
      <c r="E158" s="159"/>
      <c r="F158" s="159"/>
      <c r="G158" s="13"/>
      <c r="H158" s="13"/>
      <c r="I158" s="13"/>
      <c r="J158" s="13"/>
      <c r="K158" s="13"/>
      <c r="L158" s="13"/>
      <c r="M158" s="13"/>
      <c r="N158" s="13"/>
      <c r="O158" s="13"/>
    </row>
    <row r="159" ht="15.75" customHeight="1">
      <c r="A159" s="13"/>
      <c r="B159" s="13"/>
      <c r="C159" s="13"/>
      <c r="D159" s="13"/>
      <c r="E159" s="159"/>
      <c r="F159" s="159"/>
      <c r="G159" s="13"/>
      <c r="H159" s="13"/>
      <c r="I159" s="13"/>
      <c r="J159" s="13"/>
      <c r="K159" s="13"/>
      <c r="L159" s="13"/>
      <c r="M159" s="13"/>
      <c r="N159" s="13"/>
      <c r="O159" s="13"/>
    </row>
    <row r="160" ht="15.75" customHeight="1">
      <c r="A160" s="13"/>
      <c r="B160" s="13"/>
      <c r="C160" s="13"/>
      <c r="D160" s="13"/>
      <c r="E160" s="159"/>
      <c r="F160" s="159"/>
      <c r="G160" s="13"/>
      <c r="H160" s="13"/>
      <c r="I160" s="13"/>
      <c r="J160" s="13"/>
      <c r="K160" s="13"/>
      <c r="L160" s="13"/>
      <c r="M160" s="13"/>
      <c r="N160" s="13"/>
      <c r="O160" s="13"/>
    </row>
    <row r="161" ht="15.75" customHeight="1">
      <c r="A161" s="13"/>
      <c r="B161" s="13"/>
      <c r="C161" s="13"/>
      <c r="D161" s="13"/>
      <c r="E161" s="159"/>
      <c r="F161" s="159"/>
      <c r="G161" s="13"/>
      <c r="H161" s="13"/>
      <c r="I161" s="13"/>
      <c r="J161" s="13"/>
      <c r="K161" s="13"/>
      <c r="L161" s="13"/>
      <c r="M161" s="13"/>
      <c r="N161" s="13"/>
      <c r="O161" s="13"/>
    </row>
    <row r="162" ht="15.75" customHeight="1">
      <c r="A162" s="13"/>
      <c r="B162" s="13"/>
      <c r="C162" s="13"/>
      <c r="D162" s="13"/>
      <c r="E162" s="159"/>
      <c r="F162" s="159"/>
      <c r="G162" s="13"/>
      <c r="H162" s="13"/>
      <c r="I162" s="13"/>
      <c r="J162" s="13"/>
      <c r="K162" s="13"/>
      <c r="L162" s="13"/>
      <c r="M162" s="13"/>
      <c r="N162" s="13"/>
      <c r="O162" s="13"/>
    </row>
    <row r="163" ht="15.75" customHeight="1">
      <c r="A163" s="13"/>
      <c r="B163" s="13"/>
      <c r="C163" s="13"/>
      <c r="D163" s="13"/>
      <c r="E163" s="159"/>
      <c r="F163" s="159"/>
      <c r="G163" s="13"/>
      <c r="H163" s="13"/>
      <c r="I163" s="13"/>
      <c r="J163" s="13"/>
      <c r="K163" s="13"/>
      <c r="L163" s="13"/>
      <c r="M163" s="13"/>
      <c r="N163" s="13"/>
      <c r="O163" s="13"/>
    </row>
    <row r="164" ht="15.75" customHeight="1">
      <c r="A164" s="13"/>
      <c r="B164" s="13"/>
      <c r="C164" s="13"/>
      <c r="D164" s="13"/>
      <c r="E164" s="159"/>
      <c r="F164" s="159"/>
      <c r="G164" s="13"/>
      <c r="H164" s="13"/>
      <c r="I164" s="13"/>
      <c r="J164" s="13"/>
      <c r="K164" s="13"/>
      <c r="L164" s="13"/>
      <c r="M164" s="13"/>
      <c r="N164" s="13"/>
      <c r="O164" s="13"/>
    </row>
    <row r="165" ht="15.75" customHeight="1">
      <c r="A165" s="13"/>
      <c r="B165" s="13"/>
      <c r="C165" s="13"/>
      <c r="D165" s="13"/>
      <c r="E165" s="159"/>
      <c r="F165" s="159"/>
      <c r="G165" s="13"/>
      <c r="H165" s="13"/>
      <c r="I165" s="13"/>
      <c r="J165" s="13"/>
      <c r="K165" s="13"/>
      <c r="L165" s="13"/>
      <c r="M165" s="13"/>
      <c r="N165" s="13"/>
      <c r="O165" s="13"/>
    </row>
    <row r="166" ht="15.75" customHeight="1">
      <c r="A166" s="13"/>
      <c r="B166" s="13"/>
      <c r="C166" s="13"/>
      <c r="D166" s="13"/>
      <c r="E166" s="159"/>
      <c r="F166" s="159"/>
      <c r="G166" s="13"/>
      <c r="H166" s="13"/>
      <c r="I166" s="13"/>
      <c r="J166" s="13"/>
      <c r="K166" s="13"/>
      <c r="L166" s="13"/>
      <c r="M166" s="13"/>
      <c r="N166" s="13"/>
      <c r="O166" s="13"/>
    </row>
    <row r="167" ht="15.75" customHeight="1">
      <c r="A167" s="13"/>
      <c r="B167" s="13"/>
      <c r="C167" s="13"/>
      <c r="D167" s="13"/>
      <c r="E167" s="159"/>
      <c r="F167" s="159"/>
      <c r="G167" s="13"/>
      <c r="H167" s="13"/>
      <c r="I167" s="13"/>
      <c r="J167" s="13"/>
      <c r="K167" s="13"/>
      <c r="L167" s="13"/>
      <c r="M167" s="13"/>
      <c r="N167" s="13"/>
      <c r="O167" s="13"/>
    </row>
    <row r="168" ht="15.75" customHeight="1">
      <c r="A168" s="13"/>
      <c r="B168" s="13"/>
      <c r="C168" s="13"/>
      <c r="D168" s="13"/>
      <c r="E168" s="159"/>
      <c r="F168" s="159"/>
      <c r="G168" s="13"/>
      <c r="H168" s="13"/>
      <c r="I168" s="13"/>
      <c r="J168" s="13"/>
      <c r="K168" s="13"/>
      <c r="L168" s="13"/>
      <c r="M168" s="13"/>
      <c r="N168" s="13"/>
      <c r="O168" s="13"/>
    </row>
    <row r="169" ht="15.75" customHeight="1">
      <c r="A169" s="13"/>
      <c r="B169" s="13"/>
      <c r="C169" s="13"/>
      <c r="D169" s="13"/>
      <c r="E169" s="159"/>
      <c r="F169" s="159"/>
      <c r="G169" s="13"/>
      <c r="H169" s="13"/>
      <c r="I169" s="13"/>
      <c r="J169" s="13"/>
      <c r="K169" s="13"/>
      <c r="L169" s="13"/>
      <c r="M169" s="13"/>
      <c r="N169" s="13"/>
      <c r="O169" s="13"/>
    </row>
    <row r="170" ht="15.75" customHeight="1">
      <c r="A170" s="13"/>
      <c r="B170" s="13"/>
      <c r="C170" s="13"/>
      <c r="D170" s="13"/>
      <c r="E170" s="159"/>
      <c r="F170" s="159"/>
      <c r="G170" s="13"/>
      <c r="H170" s="13"/>
      <c r="I170" s="13"/>
      <c r="J170" s="13"/>
      <c r="K170" s="13"/>
      <c r="L170" s="13"/>
      <c r="M170" s="13"/>
      <c r="N170" s="13"/>
      <c r="O170" s="13"/>
    </row>
    <row r="171" ht="15.75" customHeight="1">
      <c r="A171" s="13"/>
      <c r="B171" s="13"/>
      <c r="C171" s="13"/>
      <c r="D171" s="13"/>
      <c r="E171" s="159"/>
      <c r="F171" s="159"/>
      <c r="G171" s="13"/>
      <c r="H171" s="13"/>
      <c r="I171" s="13"/>
      <c r="J171" s="13"/>
      <c r="K171" s="13"/>
      <c r="L171" s="13"/>
      <c r="M171" s="13"/>
      <c r="N171" s="13"/>
      <c r="O171" s="13"/>
    </row>
    <row r="172" ht="15.75" customHeight="1">
      <c r="A172" s="13"/>
      <c r="B172" s="13"/>
      <c r="C172" s="13"/>
      <c r="D172" s="13"/>
      <c r="E172" s="159"/>
      <c r="F172" s="159"/>
      <c r="G172" s="13"/>
      <c r="H172" s="13"/>
      <c r="I172" s="13"/>
      <c r="J172" s="13"/>
      <c r="K172" s="13"/>
      <c r="L172" s="13"/>
      <c r="M172" s="13"/>
      <c r="N172" s="13"/>
      <c r="O172" s="13"/>
    </row>
    <row r="173" ht="15.75" customHeight="1">
      <c r="A173" s="13"/>
      <c r="B173" s="13"/>
      <c r="C173" s="13"/>
      <c r="D173" s="13"/>
      <c r="E173" s="159"/>
      <c r="F173" s="159"/>
      <c r="G173" s="13"/>
      <c r="H173" s="13"/>
      <c r="I173" s="13"/>
      <c r="J173" s="13"/>
      <c r="K173" s="13"/>
      <c r="L173" s="13"/>
      <c r="M173" s="13"/>
      <c r="N173" s="13"/>
      <c r="O173" s="13"/>
    </row>
    <row r="174" ht="15.75" customHeight="1">
      <c r="A174" s="13"/>
      <c r="B174" s="13"/>
      <c r="C174" s="13"/>
      <c r="D174" s="13"/>
      <c r="E174" s="159"/>
      <c r="F174" s="159"/>
      <c r="G174" s="13"/>
      <c r="H174" s="13"/>
      <c r="I174" s="13"/>
      <c r="J174" s="13"/>
      <c r="K174" s="13"/>
      <c r="L174" s="13"/>
      <c r="M174" s="13"/>
      <c r="N174" s="13"/>
      <c r="O174" s="13"/>
    </row>
    <row r="175" ht="15.75" customHeight="1">
      <c r="A175" s="13"/>
      <c r="B175" s="13"/>
      <c r="C175" s="13"/>
      <c r="D175" s="13"/>
      <c r="E175" s="159"/>
      <c r="F175" s="159"/>
      <c r="G175" s="13"/>
      <c r="H175" s="13"/>
      <c r="I175" s="13"/>
      <c r="J175" s="13"/>
      <c r="K175" s="13"/>
      <c r="L175" s="13"/>
      <c r="M175" s="13"/>
      <c r="N175" s="13"/>
      <c r="O175" s="13"/>
    </row>
    <row r="176" ht="15.75" customHeight="1">
      <c r="A176" s="13"/>
      <c r="B176" s="13"/>
      <c r="C176" s="13"/>
      <c r="D176" s="13"/>
      <c r="E176" s="159"/>
      <c r="F176" s="159"/>
      <c r="G176" s="13"/>
      <c r="H176" s="13"/>
      <c r="I176" s="13"/>
      <c r="J176" s="13"/>
      <c r="K176" s="13"/>
      <c r="L176" s="13"/>
      <c r="M176" s="13"/>
      <c r="N176" s="13"/>
      <c r="O176" s="13"/>
    </row>
    <row r="177" ht="15.75" customHeight="1">
      <c r="A177" s="13"/>
      <c r="B177" s="13"/>
      <c r="C177" s="13"/>
      <c r="D177" s="13"/>
      <c r="E177" s="159"/>
      <c r="F177" s="159"/>
      <c r="G177" s="13"/>
      <c r="H177" s="13"/>
      <c r="I177" s="13"/>
      <c r="J177" s="13"/>
      <c r="K177" s="13"/>
      <c r="L177" s="13"/>
      <c r="M177" s="13"/>
      <c r="N177" s="13"/>
      <c r="O177" s="13"/>
    </row>
    <row r="178" ht="15.75" customHeight="1">
      <c r="A178" s="13"/>
      <c r="B178" s="13"/>
      <c r="C178" s="13"/>
      <c r="D178" s="13"/>
      <c r="E178" s="159"/>
      <c r="F178" s="159"/>
      <c r="G178" s="13"/>
      <c r="H178" s="13"/>
      <c r="I178" s="13"/>
      <c r="J178" s="13"/>
      <c r="K178" s="13"/>
      <c r="L178" s="13"/>
      <c r="M178" s="13"/>
      <c r="N178" s="13"/>
      <c r="O178" s="13"/>
    </row>
    <row r="179" ht="15.75" customHeight="1">
      <c r="A179" s="13"/>
      <c r="B179" s="13"/>
      <c r="C179" s="13"/>
      <c r="D179" s="13"/>
      <c r="E179" s="159"/>
      <c r="F179" s="159"/>
      <c r="G179" s="13"/>
      <c r="H179" s="13"/>
      <c r="I179" s="13"/>
      <c r="J179" s="13"/>
      <c r="K179" s="13"/>
      <c r="L179" s="13"/>
      <c r="M179" s="13"/>
      <c r="N179" s="13"/>
      <c r="O179" s="13"/>
    </row>
    <row r="180" ht="15.75" customHeight="1">
      <c r="A180" s="13"/>
      <c r="B180" s="13"/>
      <c r="C180" s="13"/>
      <c r="D180" s="13"/>
      <c r="E180" s="159"/>
      <c r="F180" s="159"/>
      <c r="G180" s="13"/>
      <c r="H180" s="13"/>
      <c r="I180" s="13"/>
      <c r="J180" s="13"/>
      <c r="K180" s="13"/>
      <c r="L180" s="13"/>
      <c r="M180" s="13"/>
      <c r="N180" s="13"/>
      <c r="O180" s="13"/>
    </row>
    <row r="181" ht="15.75" customHeight="1">
      <c r="A181" s="13"/>
      <c r="B181" s="13"/>
      <c r="C181" s="13"/>
      <c r="D181" s="13"/>
      <c r="E181" s="159"/>
      <c r="F181" s="159"/>
      <c r="G181" s="13"/>
      <c r="H181" s="13"/>
      <c r="I181" s="13"/>
      <c r="J181" s="13"/>
      <c r="K181" s="13"/>
      <c r="L181" s="13"/>
      <c r="M181" s="13"/>
      <c r="N181" s="13"/>
      <c r="O181" s="13"/>
    </row>
    <row r="182" ht="15.75" customHeight="1">
      <c r="A182" s="13"/>
      <c r="B182" s="13"/>
      <c r="C182" s="13"/>
      <c r="D182" s="13"/>
      <c r="E182" s="159"/>
      <c r="F182" s="159"/>
      <c r="G182" s="13"/>
      <c r="H182" s="13"/>
      <c r="I182" s="13"/>
      <c r="J182" s="13"/>
      <c r="K182" s="13"/>
      <c r="L182" s="13"/>
      <c r="M182" s="13"/>
      <c r="N182" s="13"/>
      <c r="O182" s="13"/>
    </row>
    <row r="183" ht="15.75" customHeight="1">
      <c r="A183" s="13"/>
      <c r="B183" s="13"/>
      <c r="C183" s="13"/>
      <c r="D183" s="13"/>
      <c r="E183" s="159"/>
      <c r="F183" s="159"/>
      <c r="G183" s="13"/>
      <c r="H183" s="13"/>
      <c r="I183" s="13"/>
      <c r="J183" s="13"/>
      <c r="K183" s="13"/>
      <c r="L183" s="13"/>
      <c r="M183" s="13"/>
      <c r="N183" s="13"/>
      <c r="O183" s="13"/>
    </row>
    <row r="184" ht="15.75" customHeight="1">
      <c r="A184" s="13"/>
      <c r="B184" s="13"/>
      <c r="C184" s="13"/>
      <c r="D184" s="13"/>
      <c r="E184" s="159"/>
      <c r="F184" s="159"/>
      <c r="G184" s="13"/>
      <c r="H184" s="13"/>
      <c r="I184" s="13"/>
      <c r="J184" s="13"/>
      <c r="K184" s="13"/>
      <c r="L184" s="13"/>
      <c r="M184" s="13"/>
      <c r="N184" s="13"/>
      <c r="O184" s="13"/>
    </row>
    <row r="185" ht="15.75" customHeight="1">
      <c r="A185" s="13"/>
      <c r="B185" s="13"/>
      <c r="C185" s="13"/>
      <c r="D185" s="13"/>
      <c r="E185" s="159"/>
      <c r="F185" s="159"/>
      <c r="G185" s="13"/>
      <c r="H185" s="13"/>
      <c r="I185" s="13"/>
      <c r="J185" s="13"/>
      <c r="K185" s="13"/>
      <c r="L185" s="13"/>
      <c r="M185" s="13"/>
      <c r="N185" s="13"/>
      <c r="O185" s="13"/>
    </row>
    <row r="186" ht="15.75" customHeight="1">
      <c r="A186" s="13"/>
      <c r="B186" s="13"/>
      <c r="C186" s="13"/>
      <c r="D186" s="13"/>
      <c r="E186" s="159"/>
      <c r="F186" s="159"/>
      <c r="G186" s="13"/>
      <c r="H186" s="13"/>
      <c r="I186" s="13"/>
      <c r="J186" s="13"/>
      <c r="K186" s="13"/>
      <c r="L186" s="13"/>
      <c r="M186" s="13"/>
      <c r="N186" s="13"/>
      <c r="O186" s="13"/>
    </row>
    <row r="187" ht="15.75" customHeight="1">
      <c r="A187" s="13"/>
      <c r="B187" s="13"/>
      <c r="C187" s="13"/>
      <c r="D187" s="13"/>
      <c r="E187" s="159"/>
      <c r="F187" s="159"/>
      <c r="G187" s="13"/>
      <c r="H187" s="13"/>
      <c r="I187" s="13"/>
      <c r="J187" s="13"/>
      <c r="K187" s="13"/>
      <c r="L187" s="13"/>
      <c r="M187" s="13"/>
      <c r="N187" s="13"/>
      <c r="O187" s="13"/>
    </row>
    <row r="188" ht="15.75" customHeight="1">
      <c r="A188" s="13"/>
      <c r="B188" s="13"/>
      <c r="C188" s="13"/>
      <c r="D188" s="13"/>
      <c r="E188" s="159"/>
      <c r="F188" s="159"/>
      <c r="G188" s="13"/>
      <c r="H188" s="13"/>
      <c r="I188" s="13"/>
      <c r="J188" s="13"/>
      <c r="K188" s="13"/>
      <c r="L188" s="13"/>
      <c r="M188" s="13"/>
      <c r="N188" s="13"/>
      <c r="O188" s="13"/>
    </row>
    <row r="189" ht="15.75" customHeight="1">
      <c r="A189" s="13"/>
      <c r="B189" s="13"/>
      <c r="C189" s="13"/>
      <c r="D189" s="13"/>
      <c r="E189" s="159"/>
      <c r="F189" s="159"/>
      <c r="G189" s="13"/>
      <c r="H189" s="13"/>
      <c r="I189" s="13"/>
      <c r="J189" s="13"/>
      <c r="K189" s="13"/>
      <c r="L189" s="13"/>
      <c r="M189" s="13"/>
      <c r="N189" s="13"/>
      <c r="O189" s="13"/>
    </row>
    <row r="190" ht="15.75" customHeight="1">
      <c r="A190" s="13"/>
      <c r="B190" s="13"/>
      <c r="C190" s="13"/>
      <c r="D190" s="13"/>
      <c r="E190" s="159"/>
      <c r="F190" s="159"/>
      <c r="G190" s="13"/>
      <c r="H190" s="13"/>
      <c r="I190" s="13"/>
      <c r="J190" s="13"/>
      <c r="K190" s="13"/>
      <c r="L190" s="13"/>
      <c r="M190" s="13"/>
      <c r="N190" s="13"/>
      <c r="O190" s="13"/>
    </row>
    <row r="191" ht="15.75" customHeight="1">
      <c r="A191" s="13"/>
      <c r="B191" s="13"/>
      <c r="C191" s="13"/>
      <c r="D191" s="13"/>
      <c r="E191" s="159"/>
      <c r="F191" s="159"/>
      <c r="G191" s="13"/>
      <c r="H191" s="13"/>
      <c r="I191" s="13"/>
      <c r="J191" s="13"/>
      <c r="K191" s="13"/>
      <c r="L191" s="13"/>
      <c r="M191" s="13"/>
      <c r="N191" s="13"/>
      <c r="O191" s="13"/>
    </row>
    <row r="192" ht="15.75" customHeight="1">
      <c r="A192" s="13"/>
      <c r="B192" s="13"/>
      <c r="C192" s="13"/>
      <c r="D192" s="13"/>
      <c r="E192" s="159"/>
      <c r="F192" s="159"/>
      <c r="G192" s="13"/>
      <c r="H192" s="13"/>
      <c r="I192" s="13"/>
      <c r="J192" s="13"/>
      <c r="K192" s="13"/>
      <c r="L192" s="13"/>
      <c r="M192" s="13"/>
      <c r="N192" s="13"/>
      <c r="O192" s="13"/>
    </row>
    <row r="193" ht="15.75" customHeight="1">
      <c r="A193" s="13"/>
      <c r="B193" s="13"/>
      <c r="C193" s="13"/>
      <c r="D193" s="13"/>
      <c r="E193" s="159"/>
      <c r="F193" s="159"/>
      <c r="G193" s="13"/>
      <c r="H193" s="13"/>
      <c r="I193" s="13"/>
      <c r="J193" s="13"/>
      <c r="K193" s="13"/>
      <c r="L193" s="13"/>
      <c r="M193" s="13"/>
      <c r="N193" s="13"/>
      <c r="O193" s="13"/>
    </row>
    <row r="194" ht="15.75" customHeight="1">
      <c r="A194" s="13"/>
      <c r="B194" s="13"/>
      <c r="C194" s="13"/>
      <c r="D194" s="13"/>
      <c r="E194" s="159"/>
      <c r="F194" s="159"/>
      <c r="G194" s="13"/>
      <c r="H194" s="13"/>
      <c r="I194" s="13"/>
      <c r="J194" s="13"/>
      <c r="K194" s="13"/>
      <c r="L194" s="13"/>
      <c r="M194" s="13"/>
      <c r="N194" s="13"/>
      <c r="O194" s="13"/>
    </row>
    <row r="195" ht="15.75" customHeight="1">
      <c r="A195" s="13"/>
      <c r="B195" s="13"/>
      <c r="C195" s="13"/>
      <c r="D195" s="13"/>
      <c r="E195" s="159"/>
      <c r="F195" s="159"/>
      <c r="G195" s="13"/>
      <c r="H195" s="13"/>
      <c r="I195" s="13"/>
      <c r="J195" s="13"/>
      <c r="K195" s="13"/>
      <c r="L195" s="13"/>
      <c r="M195" s="13"/>
      <c r="N195" s="13"/>
      <c r="O195" s="13"/>
    </row>
    <row r="196" ht="15.75" customHeight="1">
      <c r="A196" s="13"/>
      <c r="B196" s="13"/>
      <c r="C196" s="13"/>
      <c r="D196" s="13"/>
      <c r="E196" s="159"/>
      <c r="F196" s="159"/>
      <c r="G196" s="13"/>
      <c r="H196" s="13"/>
      <c r="I196" s="13"/>
      <c r="J196" s="13"/>
      <c r="K196" s="13"/>
      <c r="L196" s="13"/>
      <c r="M196" s="13"/>
      <c r="N196" s="13"/>
      <c r="O196" s="13"/>
    </row>
    <row r="197" ht="15.75" customHeight="1">
      <c r="A197" s="13"/>
      <c r="B197" s="13"/>
      <c r="C197" s="13"/>
      <c r="D197" s="13"/>
      <c r="E197" s="159"/>
      <c r="F197" s="159"/>
      <c r="G197" s="13"/>
      <c r="H197" s="13"/>
      <c r="I197" s="13"/>
      <c r="J197" s="13"/>
      <c r="K197" s="13"/>
      <c r="L197" s="13"/>
      <c r="M197" s="13"/>
      <c r="N197" s="13"/>
      <c r="O197" s="13"/>
    </row>
    <row r="198" ht="15.75" customHeight="1">
      <c r="A198" s="13"/>
      <c r="B198" s="13"/>
      <c r="C198" s="13"/>
      <c r="D198" s="13"/>
      <c r="E198" s="159"/>
      <c r="F198" s="159"/>
      <c r="G198" s="13"/>
      <c r="H198" s="13"/>
      <c r="I198" s="13"/>
      <c r="J198" s="13"/>
      <c r="K198" s="13"/>
      <c r="L198" s="13"/>
      <c r="M198" s="13"/>
      <c r="N198" s="13"/>
      <c r="O198" s="13"/>
    </row>
    <row r="199" ht="15.75" customHeight="1">
      <c r="A199" s="13"/>
      <c r="B199" s="13"/>
      <c r="C199" s="13"/>
      <c r="D199" s="13"/>
      <c r="E199" s="159"/>
      <c r="F199" s="159"/>
      <c r="G199" s="13"/>
      <c r="H199" s="13"/>
      <c r="I199" s="13"/>
      <c r="J199" s="13"/>
      <c r="K199" s="13"/>
      <c r="L199" s="13"/>
      <c r="M199" s="13"/>
      <c r="N199" s="13"/>
      <c r="O199" s="13"/>
    </row>
    <row r="200" ht="15.75" customHeight="1">
      <c r="A200" s="13"/>
      <c r="B200" s="13"/>
      <c r="C200" s="13"/>
      <c r="D200" s="13"/>
      <c r="E200" s="159"/>
      <c r="F200" s="159"/>
      <c r="G200" s="13"/>
      <c r="H200" s="13"/>
      <c r="I200" s="13"/>
      <c r="J200" s="13"/>
      <c r="K200" s="13"/>
      <c r="L200" s="13"/>
      <c r="M200" s="13"/>
      <c r="N200" s="13"/>
      <c r="O200" s="13"/>
    </row>
    <row r="201" ht="15.75" customHeight="1">
      <c r="A201" s="13"/>
      <c r="B201" s="13"/>
      <c r="C201" s="13"/>
      <c r="D201" s="13"/>
      <c r="E201" s="159"/>
      <c r="F201" s="159"/>
      <c r="G201" s="13"/>
      <c r="H201" s="13"/>
      <c r="I201" s="13"/>
      <c r="J201" s="13"/>
      <c r="K201" s="13"/>
      <c r="L201" s="13"/>
      <c r="M201" s="13"/>
      <c r="N201" s="13"/>
      <c r="O201" s="13"/>
    </row>
    <row r="202" ht="15.75" customHeight="1">
      <c r="A202" s="13"/>
      <c r="B202" s="13"/>
      <c r="C202" s="13"/>
      <c r="D202" s="13"/>
      <c r="E202" s="159"/>
      <c r="F202" s="159"/>
      <c r="G202" s="13"/>
      <c r="H202" s="13"/>
      <c r="I202" s="13"/>
      <c r="J202" s="13"/>
      <c r="K202" s="13"/>
      <c r="L202" s="13"/>
      <c r="M202" s="13"/>
      <c r="N202" s="13"/>
      <c r="O202" s="13"/>
    </row>
    <row r="203" ht="15.75" customHeight="1">
      <c r="A203" s="13"/>
      <c r="B203" s="13"/>
      <c r="C203" s="13"/>
      <c r="D203" s="13"/>
      <c r="E203" s="159"/>
      <c r="F203" s="159"/>
      <c r="G203" s="13"/>
      <c r="H203" s="13"/>
      <c r="I203" s="13"/>
      <c r="J203" s="13"/>
      <c r="K203" s="13"/>
      <c r="L203" s="13"/>
      <c r="M203" s="13"/>
      <c r="N203" s="13"/>
      <c r="O203" s="13"/>
    </row>
    <row r="204" ht="15.75" customHeight="1">
      <c r="A204" s="13"/>
      <c r="B204" s="13"/>
      <c r="C204" s="13"/>
      <c r="D204" s="13"/>
      <c r="E204" s="159"/>
      <c r="F204" s="159"/>
      <c r="G204" s="13"/>
      <c r="H204" s="13"/>
      <c r="I204" s="13"/>
      <c r="J204" s="13"/>
      <c r="K204" s="13"/>
      <c r="L204" s="13"/>
      <c r="M204" s="13"/>
      <c r="N204" s="13"/>
      <c r="O204" s="13"/>
    </row>
    <row r="205" ht="15.75" customHeight="1">
      <c r="A205" s="13"/>
      <c r="B205" s="13"/>
      <c r="C205" s="13"/>
      <c r="D205" s="13"/>
      <c r="E205" s="159"/>
      <c r="F205" s="159"/>
      <c r="G205" s="13"/>
      <c r="H205" s="13"/>
      <c r="I205" s="13"/>
      <c r="J205" s="13"/>
      <c r="K205" s="13"/>
      <c r="L205" s="13"/>
      <c r="M205" s="13"/>
      <c r="N205" s="13"/>
      <c r="O205" s="13"/>
    </row>
    <row r="206" ht="15.75" customHeight="1">
      <c r="A206" s="13"/>
      <c r="B206" s="13"/>
      <c r="C206" s="13"/>
      <c r="D206" s="13"/>
      <c r="E206" s="159"/>
      <c r="F206" s="159"/>
      <c r="G206" s="13"/>
      <c r="H206" s="13"/>
      <c r="I206" s="13"/>
      <c r="J206" s="13"/>
      <c r="K206" s="13"/>
      <c r="L206" s="13"/>
      <c r="M206" s="13"/>
      <c r="N206" s="13"/>
      <c r="O206" s="13"/>
    </row>
    <row r="207" ht="15.75" customHeight="1">
      <c r="A207" s="13"/>
      <c r="B207" s="13"/>
      <c r="C207" s="13"/>
      <c r="D207" s="13"/>
      <c r="E207" s="159"/>
      <c r="F207" s="159"/>
      <c r="G207" s="13"/>
      <c r="H207" s="13"/>
      <c r="I207" s="13"/>
      <c r="J207" s="13"/>
      <c r="K207" s="13"/>
      <c r="L207" s="13"/>
      <c r="M207" s="13"/>
      <c r="N207" s="13"/>
      <c r="O207" s="13"/>
    </row>
    <row r="208" ht="15.75" customHeight="1">
      <c r="A208" s="13"/>
      <c r="B208" s="13"/>
      <c r="C208" s="13"/>
      <c r="D208" s="13"/>
      <c r="E208" s="159"/>
      <c r="F208" s="159"/>
      <c r="G208" s="13"/>
      <c r="H208" s="13"/>
      <c r="I208" s="13"/>
      <c r="J208" s="13"/>
      <c r="K208" s="13"/>
      <c r="L208" s="13"/>
      <c r="M208" s="13"/>
      <c r="N208" s="13"/>
      <c r="O208" s="13"/>
    </row>
    <row r="209" ht="15.75" customHeight="1">
      <c r="A209" s="13"/>
      <c r="B209" s="13"/>
      <c r="C209" s="13"/>
      <c r="D209" s="13"/>
      <c r="E209" s="159"/>
      <c r="F209" s="159"/>
      <c r="G209" s="13"/>
      <c r="H209" s="13"/>
      <c r="I209" s="13"/>
      <c r="J209" s="13"/>
      <c r="K209" s="13"/>
      <c r="L209" s="13"/>
      <c r="M209" s="13"/>
      <c r="N209" s="13"/>
      <c r="O209" s="13"/>
    </row>
    <row r="210" ht="15.75" customHeight="1">
      <c r="A210" s="13"/>
      <c r="B210" s="13"/>
      <c r="C210" s="13"/>
      <c r="D210" s="13"/>
      <c r="E210" s="159"/>
      <c r="F210" s="159"/>
      <c r="G210" s="13"/>
      <c r="H210" s="13"/>
      <c r="I210" s="13"/>
      <c r="J210" s="13"/>
      <c r="K210" s="13"/>
      <c r="L210" s="13"/>
      <c r="M210" s="13"/>
      <c r="N210" s="13"/>
      <c r="O210" s="13"/>
    </row>
    <row r="211" ht="15.75" customHeight="1">
      <c r="A211" s="13"/>
      <c r="B211" s="13"/>
      <c r="C211" s="13"/>
      <c r="D211" s="13"/>
      <c r="E211" s="159"/>
      <c r="F211" s="159"/>
      <c r="G211" s="13"/>
      <c r="H211" s="13"/>
      <c r="I211" s="13"/>
      <c r="J211" s="13"/>
      <c r="K211" s="13"/>
      <c r="L211" s="13"/>
      <c r="M211" s="13"/>
      <c r="N211" s="13"/>
      <c r="O211" s="13"/>
    </row>
    <row r="212" ht="15.75" customHeight="1">
      <c r="A212" s="13"/>
      <c r="B212" s="13"/>
      <c r="C212" s="13"/>
      <c r="D212" s="13"/>
      <c r="E212" s="159"/>
      <c r="F212" s="159"/>
      <c r="G212" s="13"/>
      <c r="H212" s="13"/>
      <c r="I212" s="13"/>
      <c r="J212" s="13"/>
      <c r="K212" s="13"/>
      <c r="L212" s="13"/>
      <c r="M212" s="13"/>
      <c r="N212" s="13"/>
      <c r="O212" s="13"/>
    </row>
    <row r="213" ht="15.75" customHeight="1">
      <c r="A213" s="13"/>
      <c r="B213" s="13"/>
      <c r="C213" s="13"/>
      <c r="D213" s="13"/>
      <c r="E213" s="159"/>
      <c r="F213" s="159"/>
      <c r="G213" s="13"/>
      <c r="H213" s="13"/>
      <c r="I213" s="13"/>
      <c r="J213" s="13"/>
      <c r="K213" s="13"/>
      <c r="L213" s="13"/>
      <c r="M213" s="13"/>
      <c r="N213" s="13"/>
      <c r="O213" s="13"/>
    </row>
    <row r="214" ht="15.75" customHeight="1">
      <c r="A214" s="13"/>
      <c r="B214" s="13"/>
      <c r="C214" s="13"/>
      <c r="D214" s="13"/>
      <c r="E214" s="159"/>
      <c r="F214" s="159"/>
      <c r="G214" s="13"/>
      <c r="H214" s="13"/>
      <c r="I214" s="13"/>
      <c r="J214" s="13"/>
      <c r="K214" s="13"/>
      <c r="L214" s="13"/>
      <c r="M214" s="13"/>
      <c r="N214" s="13"/>
      <c r="O214" s="13"/>
    </row>
    <row r="215" ht="15.75" customHeight="1">
      <c r="A215" s="13"/>
      <c r="B215" s="13"/>
      <c r="C215" s="13"/>
      <c r="D215" s="13"/>
      <c r="E215" s="159"/>
      <c r="F215" s="159"/>
      <c r="G215" s="13"/>
      <c r="H215" s="13"/>
      <c r="I215" s="13"/>
      <c r="J215" s="13"/>
      <c r="K215" s="13"/>
      <c r="L215" s="13"/>
      <c r="M215" s="13"/>
      <c r="N215" s="13"/>
      <c r="O215" s="13"/>
    </row>
    <row r="216" ht="15.75" customHeight="1">
      <c r="A216" s="13"/>
      <c r="B216" s="13"/>
      <c r="C216" s="13"/>
      <c r="D216" s="13"/>
      <c r="E216" s="159"/>
      <c r="F216" s="159"/>
      <c r="G216" s="13"/>
      <c r="H216" s="13"/>
      <c r="I216" s="13"/>
      <c r="J216" s="13"/>
      <c r="K216" s="13"/>
      <c r="L216" s="13"/>
      <c r="M216" s="13"/>
      <c r="N216" s="13"/>
      <c r="O216" s="13"/>
    </row>
    <row r="217" ht="15.75" customHeight="1">
      <c r="A217" s="13"/>
      <c r="B217" s="13"/>
      <c r="C217" s="13"/>
      <c r="D217" s="13"/>
      <c r="E217" s="159"/>
      <c r="F217" s="159"/>
      <c r="G217" s="13"/>
      <c r="H217" s="13"/>
      <c r="I217" s="13"/>
      <c r="J217" s="13"/>
      <c r="K217" s="13"/>
      <c r="L217" s="13"/>
      <c r="M217" s="13"/>
      <c r="N217" s="13"/>
      <c r="O217" s="13"/>
    </row>
    <row r="218" ht="15.75" customHeight="1">
      <c r="A218" s="13"/>
      <c r="B218" s="13"/>
      <c r="C218" s="13"/>
      <c r="D218" s="13"/>
      <c r="E218" s="159"/>
      <c r="F218" s="159"/>
      <c r="G218" s="13"/>
      <c r="H218" s="13"/>
      <c r="I218" s="13"/>
      <c r="J218" s="13"/>
      <c r="K218" s="13"/>
      <c r="L218" s="13"/>
      <c r="M218" s="13"/>
      <c r="N218" s="13"/>
      <c r="O218" s="13"/>
    </row>
    <row r="219" ht="15.75" customHeight="1">
      <c r="A219" s="13"/>
      <c r="B219" s="13"/>
      <c r="C219" s="13"/>
      <c r="D219" s="13"/>
      <c r="E219" s="159"/>
      <c r="F219" s="159"/>
      <c r="G219" s="13"/>
      <c r="H219" s="13"/>
      <c r="I219" s="13"/>
      <c r="J219" s="13"/>
      <c r="K219" s="13"/>
      <c r="L219" s="13"/>
      <c r="M219" s="13"/>
      <c r="N219" s="13"/>
      <c r="O219" s="13"/>
    </row>
    <row r="220" ht="15.75" customHeight="1">
      <c r="A220" s="13"/>
      <c r="B220" s="13"/>
      <c r="C220" s="13"/>
      <c r="D220" s="13"/>
      <c r="E220" s="159"/>
      <c r="F220" s="159"/>
      <c r="G220" s="13"/>
      <c r="H220" s="13"/>
      <c r="I220" s="13"/>
      <c r="J220" s="13"/>
      <c r="K220" s="13"/>
      <c r="L220" s="13"/>
      <c r="M220" s="13"/>
      <c r="N220" s="13"/>
      <c r="O220" s="13"/>
    </row>
    <row r="221" ht="15.75" customHeight="1">
      <c r="A221" s="13"/>
      <c r="B221" s="13"/>
      <c r="C221" s="13"/>
      <c r="D221" s="13"/>
      <c r="E221" s="159"/>
      <c r="F221" s="159"/>
      <c r="G221" s="13"/>
      <c r="H221" s="13"/>
      <c r="I221" s="13"/>
      <c r="J221" s="13"/>
      <c r="K221" s="13"/>
      <c r="L221" s="13"/>
      <c r="M221" s="13"/>
      <c r="N221" s="13"/>
      <c r="O221" s="13"/>
    </row>
    <row r="222" ht="15.75" customHeight="1">
      <c r="A222" s="13"/>
      <c r="B222" s="13"/>
      <c r="C222" s="13"/>
      <c r="D222" s="13"/>
      <c r="E222" s="159"/>
      <c r="F222" s="159"/>
      <c r="G222" s="13"/>
      <c r="H222" s="13"/>
      <c r="I222" s="13"/>
      <c r="J222" s="13"/>
      <c r="K222" s="13"/>
      <c r="L222" s="13"/>
      <c r="M222" s="13"/>
      <c r="N222" s="13"/>
      <c r="O222" s="13"/>
    </row>
    <row r="223" ht="15.75" customHeight="1">
      <c r="A223" s="13"/>
      <c r="B223" s="13"/>
      <c r="C223" s="13"/>
      <c r="D223" s="13"/>
      <c r="E223" s="159"/>
      <c r="F223" s="159"/>
      <c r="G223" s="13"/>
      <c r="H223" s="13"/>
      <c r="I223" s="13"/>
      <c r="J223" s="13"/>
      <c r="K223" s="13"/>
      <c r="L223" s="13"/>
      <c r="M223" s="13"/>
      <c r="N223" s="13"/>
      <c r="O223" s="13"/>
    </row>
    <row r="224" ht="15.75" customHeight="1">
      <c r="E224" s="160"/>
      <c r="F224" s="160"/>
    </row>
    <row r="225" ht="15.75" customHeight="1">
      <c r="E225" s="160"/>
      <c r="F225" s="160"/>
    </row>
    <row r="226" ht="15.75" customHeight="1">
      <c r="E226" s="160"/>
      <c r="F226" s="160"/>
    </row>
    <row r="227" ht="15.75" customHeight="1">
      <c r="E227" s="160"/>
      <c r="F227" s="160"/>
    </row>
    <row r="228" ht="15.75" customHeight="1">
      <c r="E228" s="160"/>
      <c r="F228" s="160"/>
    </row>
    <row r="229" ht="15.75" customHeight="1">
      <c r="E229" s="160"/>
      <c r="F229" s="160"/>
    </row>
    <row r="230" ht="15.75" customHeight="1">
      <c r="E230" s="160"/>
      <c r="F230" s="160"/>
    </row>
    <row r="231" ht="15.75" customHeight="1">
      <c r="E231" s="160"/>
      <c r="F231" s="160"/>
    </row>
    <row r="232" ht="15.75" customHeight="1">
      <c r="E232" s="160"/>
      <c r="F232" s="160"/>
    </row>
    <row r="233" ht="15.75" customHeight="1">
      <c r="E233" s="160"/>
      <c r="F233" s="160"/>
    </row>
    <row r="234" ht="15.75" customHeight="1">
      <c r="E234" s="160"/>
      <c r="F234" s="160"/>
    </row>
    <row r="235" ht="15.75" customHeight="1">
      <c r="E235" s="160"/>
      <c r="F235" s="160"/>
    </row>
    <row r="236" ht="15.75" customHeight="1">
      <c r="E236" s="160"/>
      <c r="F236" s="160"/>
    </row>
    <row r="237" ht="15.75" customHeight="1">
      <c r="E237" s="160"/>
      <c r="F237" s="160"/>
    </row>
    <row r="238" ht="15.75" customHeight="1">
      <c r="E238" s="160"/>
      <c r="F238" s="160"/>
    </row>
    <row r="239" ht="15.75" customHeight="1">
      <c r="E239" s="160"/>
      <c r="F239" s="160"/>
    </row>
    <row r="240" ht="15.75" customHeight="1">
      <c r="E240" s="160"/>
      <c r="F240" s="160"/>
    </row>
    <row r="241" ht="15.75" customHeight="1">
      <c r="E241" s="160"/>
      <c r="F241" s="160"/>
    </row>
    <row r="242" ht="15.75" customHeight="1">
      <c r="E242" s="160"/>
      <c r="F242" s="160"/>
    </row>
    <row r="243" ht="15.75" customHeight="1">
      <c r="E243" s="160"/>
      <c r="F243" s="160"/>
    </row>
    <row r="244" ht="15.75" customHeight="1">
      <c r="E244" s="160"/>
      <c r="F244" s="160"/>
    </row>
    <row r="245" ht="15.75" customHeight="1">
      <c r="E245" s="160"/>
      <c r="F245" s="160"/>
    </row>
    <row r="246" ht="15.75" customHeight="1">
      <c r="E246" s="160"/>
      <c r="F246" s="160"/>
    </row>
    <row r="247" ht="15.75" customHeight="1">
      <c r="E247" s="160"/>
      <c r="F247" s="160"/>
    </row>
    <row r="248" ht="15.75" customHeight="1">
      <c r="E248" s="160"/>
      <c r="F248" s="160"/>
    </row>
    <row r="249" ht="15.75" customHeight="1">
      <c r="E249" s="160"/>
      <c r="F249" s="160"/>
    </row>
    <row r="250" ht="15.75" customHeight="1">
      <c r="E250" s="160"/>
      <c r="F250" s="160"/>
    </row>
    <row r="251" ht="15.75" customHeight="1">
      <c r="E251" s="160"/>
      <c r="F251" s="160"/>
    </row>
    <row r="252" ht="15.75" customHeight="1">
      <c r="E252" s="160"/>
      <c r="F252" s="160"/>
    </row>
    <row r="253" ht="15.75" customHeight="1">
      <c r="E253" s="160"/>
      <c r="F253" s="160"/>
    </row>
    <row r="254" ht="15.75" customHeight="1">
      <c r="E254" s="160"/>
      <c r="F254" s="160"/>
    </row>
    <row r="255" ht="15.75" customHeight="1">
      <c r="E255" s="160"/>
      <c r="F255" s="160"/>
    </row>
    <row r="256" ht="15.75" customHeight="1">
      <c r="E256" s="160"/>
      <c r="F256" s="160"/>
    </row>
    <row r="257" ht="15.75" customHeight="1">
      <c r="E257" s="160"/>
      <c r="F257" s="160"/>
    </row>
    <row r="258" ht="15.75" customHeight="1">
      <c r="E258" s="160"/>
      <c r="F258" s="160"/>
    </row>
    <row r="259" ht="15.75" customHeight="1">
      <c r="E259" s="160"/>
      <c r="F259" s="160"/>
    </row>
    <row r="260" ht="15.75" customHeight="1">
      <c r="E260" s="160"/>
      <c r="F260" s="160"/>
    </row>
    <row r="261" ht="15.75" customHeight="1">
      <c r="E261" s="160"/>
      <c r="F261" s="160"/>
    </row>
    <row r="262" ht="15.75" customHeight="1">
      <c r="E262" s="160"/>
      <c r="F262" s="160"/>
    </row>
    <row r="263" ht="15.75" customHeight="1">
      <c r="E263" s="160"/>
      <c r="F263" s="160"/>
    </row>
    <row r="264" ht="15.75" customHeight="1">
      <c r="E264" s="160"/>
      <c r="F264" s="160"/>
    </row>
    <row r="265" ht="15.75" customHeight="1">
      <c r="E265" s="160"/>
      <c r="F265" s="160"/>
    </row>
    <row r="266" ht="15.75" customHeight="1">
      <c r="E266" s="160"/>
      <c r="F266" s="160"/>
    </row>
    <row r="267" ht="15.75" customHeight="1">
      <c r="E267" s="160"/>
      <c r="F267" s="160"/>
    </row>
    <row r="268" ht="15.75" customHeight="1">
      <c r="E268" s="160"/>
      <c r="F268" s="160"/>
    </row>
    <row r="269" ht="15.75" customHeight="1">
      <c r="E269" s="160"/>
      <c r="F269" s="160"/>
    </row>
    <row r="270" ht="15.75" customHeight="1">
      <c r="E270" s="160"/>
      <c r="F270" s="160"/>
    </row>
    <row r="271" ht="15.75" customHeight="1">
      <c r="E271" s="160"/>
      <c r="F271" s="160"/>
    </row>
    <row r="272" ht="15.75" customHeight="1">
      <c r="E272" s="160"/>
      <c r="F272" s="160"/>
    </row>
    <row r="273" ht="15.75" customHeight="1">
      <c r="E273" s="160"/>
      <c r="F273" s="160"/>
    </row>
    <row r="274" ht="15.75" customHeight="1">
      <c r="E274" s="160"/>
      <c r="F274" s="160"/>
    </row>
    <row r="275" ht="15.75" customHeight="1">
      <c r="E275" s="160"/>
      <c r="F275" s="160"/>
    </row>
    <row r="276" ht="15.75" customHeight="1">
      <c r="E276" s="160"/>
      <c r="F276" s="160"/>
    </row>
    <row r="277" ht="15.75" customHeight="1">
      <c r="E277" s="160"/>
      <c r="F277" s="160"/>
    </row>
    <row r="278" ht="15.75" customHeight="1">
      <c r="E278" s="160"/>
      <c r="F278" s="160"/>
    </row>
    <row r="279" ht="15.75" customHeight="1">
      <c r="E279" s="160"/>
      <c r="F279" s="160"/>
    </row>
    <row r="280" ht="15.75" customHeight="1">
      <c r="E280" s="160"/>
      <c r="F280" s="160"/>
    </row>
    <row r="281" ht="15.75" customHeight="1">
      <c r="E281" s="160"/>
      <c r="F281" s="160"/>
    </row>
    <row r="282" ht="15.75" customHeight="1">
      <c r="E282" s="160"/>
      <c r="F282" s="160"/>
    </row>
    <row r="283" ht="15.75" customHeight="1">
      <c r="E283" s="160"/>
      <c r="F283" s="160"/>
    </row>
    <row r="284" ht="15.75" customHeight="1">
      <c r="E284" s="160"/>
      <c r="F284" s="160"/>
    </row>
    <row r="285" ht="15.75" customHeight="1">
      <c r="E285" s="160"/>
      <c r="F285" s="160"/>
    </row>
    <row r="286" ht="15.75" customHeight="1">
      <c r="E286" s="160"/>
      <c r="F286" s="160"/>
    </row>
    <row r="287" ht="15.75" customHeight="1">
      <c r="E287" s="160"/>
      <c r="F287" s="160"/>
    </row>
    <row r="288" ht="15.75" customHeight="1">
      <c r="E288" s="160"/>
      <c r="F288" s="160"/>
    </row>
    <row r="289" ht="15.75" customHeight="1">
      <c r="E289" s="160"/>
      <c r="F289" s="160"/>
    </row>
    <row r="290" ht="15.75" customHeight="1">
      <c r="E290" s="160"/>
      <c r="F290" s="160"/>
    </row>
    <row r="291" ht="15.75" customHeight="1">
      <c r="E291" s="160"/>
      <c r="F291" s="160"/>
    </row>
    <row r="292" ht="15.75" customHeight="1">
      <c r="E292" s="160"/>
      <c r="F292" s="160"/>
    </row>
    <row r="293" ht="15.75" customHeight="1">
      <c r="E293" s="160"/>
      <c r="F293" s="160"/>
    </row>
    <row r="294" ht="15.75" customHeight="1">
      <c r="E294" s="160"/>
      <c r="F294" s="160"/>
    </row>
    <row r="295" ht="15.75" customHeight="1">
      <c r="E295" s="160"/>
      <c r="F295" s="160"/>
    </row>
    <row r="296" ht="15.75" customHeight="1">
      <c r="E296" s="160"/>
      <c r="F296" s="160"/>
    </row>
    <row r="297" ht="15.75" customHeight="1">
      <c r="E297" s="160"/>
      <c r="F297" s="160"/>
    </row>
    <row r="298" ht="15.75" customHeight="1">
      <c r="E298" s="160"/>
      <c r="F298" s="160"/>
    </row>
    <row r="299" ht="15.75" customHeight="1">
      <c r="E299" s="160"/>
      <c r="F299" s="160"/>
    </row>
    <row r="300" ht="15.75" customHeight="1">
      <c r="E300" s="160"/>
      <c r="F300" s="160"/>
    </row>
    <row r="301" ht="15.75" customHeight="1">
      <c r="E301" s="160"/>
      <c r="F301" s="160"/>
    </row>
    <row r="302" ht="15.75" customHeight="1">
      <c r="E302" s="160"/>
      <c r="F302" s="160"/>
    </row>
    <row r="303" ht="15.75" customHeight="1">
      <c r="E303" s="160"/>
      <c r="F303" s="160"/>
    </row>
    <row r="304" ht="15.75" customHeight="1">
      <c r="E304" s="160"/>
      <c r="F304" s="160"/>
    </row>
    <row r="305" ht="15.75" customHeight="1">
      <c r="E305" s="160"/>
      <c r="F305" s="160"/>
    </row>
    <row r="306" ht="15.75" customHeight="1">
      <c r="E306" s="160"/>
      <c r="F306" s="160"/>
    </row>
    <row r="307" ht="15.75" customHeight="1">
      <c r="E307" s="160"/>
      <c r="F307" s="160"/>
    </row>
    <row r="308" ht="15.75" customHeight="1">
      <c r="E308" s="160"/>
      <c r="F308" s="160"/>
    </row>
    <row r="309" ht="15.75" customHeight="1">
      <c r="E309" s="160"/>
      <c r="F309" s="160"/>
    </row>
    <row r="310" ht="15.75" customHeight="1">
      <c r="E310" s="160"/>
      <c r="F310" s="160"/>
    </row>
    <row r="311" ht="15.75" customHeight="1">
      <c r="E311" s="160"/>
      <c r="F311" s="160"/>
    </row>
    <row r="312" ht="15.75" customHeight="1">
      <c r="E312" s="160"/>
      <c r="F312" s="160"/>
    </row>
    <row r="313" ht="15.75" customHeight="1">
      <c r="E313" s="160"/>
      <c r="F313" s="160"/>
    </row>
    <row r="314" ht="15.75" customHeight="1">
      <c r="E314" s="160"/>
      <c r="F314" s="160"/>
    </row>
    <row r="315" ht="15.75" customHeight="1">
      <c r="E315" s="160"/>
      <c r="F315" s="160"/>
    </row>
    <row r="316" ht="15.75" customHeight="1">
      <c r="E316" s="160"/>
      <c r="F316" s="160"/>
    </row>
    <row r="317" ht="15.75" customHeight="1">
      <c r="E317" s="160"/>
      <c r="F317" s="160"/>
    </row>
    <row r="318" ht="15.75" customHeight="1">
      <c r="E318" s="160"/>
      <c r="F318" s="160"/>
    </row>
    <row r="319" ht="15.75" customHeight="1">
      <c r="E319" s="160"/>
      <c r="F319" s="160"/>
    </row>
    <row r="320" ht="15.75" customHeight="1">
      <c r="E320" s="160"/>
      <c r="F320" s="160"/>
    </row>
    <row r="321" ht="15.75" customHeight="1">
      <c r="E321" s="160"/>
      <c r="F321" s="160"/>
    </row>
    <row r="322" ht="15.75" customHeight="1">
      <c r="E322" s="160"/>
      <c r="F322" s="160"/>
    </row>
    <row r="323" ht="15.75" customHeight="1">
      <c r="E323" s="160"/>
      <c r="F323" s="160"/>
    </row>
    <row r="324" ht="15.75" customHeight="1">
      <c r="E324" s="160"/>
      <c r="F324" s="160"/>
    </row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B1:D2"/>
    <mergeCell ref="E1:F2"/>
  </mergeCells>
  <dataValidations>
    <dataValidation type="list" allowBlank="1" showErrorMessage="1" sqref="G4:O124">
      <formula1>"선택,완료"</formula1>
    </dataValidation>
  </dataValidations>
  <hyperlinks>
    <hyperlink r:id="rId1" ref="D5"/>
    <hyperlink r:id="rId2" ref="D25"/>
    <hyperlink r:id="rId3" ref="D31"/>
    <hyperlink r:id="rId4" ref="D37"/>
    <hyperlink r:id="rId5" ref="D73"/>
    <hyperlink r:id="rId6" ref="D96"/>
  </hyperlinks>
  <drawing r:id="rId7"/>
  <tableParts count="1">
    <tablePart r:id="rId9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9.0" topLeftCell="A50" activePane="bottomLeft" state="frozen"/>
      <selection activeCell="B51" sqref="B51" pane="bottomLeft"/>
    </sheetView>
  </sheetViews>
  <sheetFormatPr customHeight="1" defaultColWidth="12.63" defaultRowHeight="15.0"/>
  <cols>
    <col customWidth="1" min="1" max="1" width="3.88"/>
    <col customWidth="1" min="2" max="2" width="7.88"/>
    <col customWidth="1" min="3" max="3" width="18.63"/>
    <col customWidth="1" min="4" max="4" width="21.13"/>
    <col customWidth="1" min="5" max="5" width="16.38"/>
    <col customWidth="1" min="6" max="6" width="12.63"/>
  </cols>
  <sheetData>
    <row r="1" ht="15.75" customHeight="1">
      <c r="A1" s="1" t="s">
        <v>437</v>
      </c>
      <c r="B1" s="60" t="s">
        <v>0</v>
      </c>
      <c r="E1" s="3" t="s">
        <v>1</v>
      </c>
      <c r="G1" s="5" t="s">
        <v>438</v>
      </c>
      <c r="H1" s="5" t="s">
        <v>439</v>
      </c>
      <c r="I1" s="5" t="s">
        <v>440</v>
      </c>
      <c r="J1" s="5" t="s">
        <v>441</v>
      </c>
      <c r="K1" s="5" t="s">
        <v>442</v>
      </c>
      <c r="L1" s="5" t="s">
        <v>443</v>
      </c>
      <c r="M1" s="5" t="s">
        <v>444</v>
      </c>
      <c r="N1" s="94" t="s">
        <v>445</v>
      </c>
      <c r="O1" s="5" t="s">
        <v>446</v>
      </c>
      <c r="P1" s="5"/>
      <c r="Q1" s="161"/>
      <c r="R1" s="5"/>
      <c r="S1" s="5"/>
    </row>
    <row r="2" ht="15.75" customHeight="1">
      <c r="A2" s="1"/>
      <c r="G2" s="7" t="s">
        <v>447</v>
      </c>
      <c r="H2" s="7" t="s">
        <v>448</v>
      </c>
      <c r="I2" s="7" t="s">
        <v>449</v>
      </c>
      <c r="J2" s="7" t="s">
        <v>450</v>
      </c>
      <c r="K2" s="7" t="s">
        <v>451</v>
      </c>
      <c r="L2" s="7" t="s">
        <v>452</v>
      </c>
      <c r="M2" s="7" t="s">
        <v>453</v>
      </c>
      <c r="N2" s="7" t="s">
        <v>454</v>
      </c>
      <c r="O2" s="7" t="s">
        <v>455</v>
      </c>
      <c r="P2" s="5"/>
      <c r="Q2" s="161"/>
      <c r="R2" s="5"/>
      <c r="S2" s="5"/>
    </row>
    <row r="3" ht="15.75" customHeight="1">
      <c r="A3" s="1"/>
      <c r="B3" s="1"/>
      <c r="C3" s="1"/>
      <c r="D3" s="1"/>
      <c r="E3" s="8"/>
      <c r="F3" s="8"/>
      <c r="G3" s="10" t="str">
        <f t="shared" ref="G3:O3" si="1">COUNTIF(G5:G199, "완료") &amp; "명 완료"
</f>
        <v>80명 완료</v>
      </c>
      <c r="H3" s="10" t="str">
        <f t="shared" si="1"/>
        <v>87명 완료</v>
      </c>
      <c r="I3" s="10" t="str">
        <f t="shared" si="1"/>
        <v>83명 완료</v>
      </c>
      <c r="J3" s="10" t="str">
        <f t="shared" si="1"/>
        <v>76명 완료</v>
      </c>
      <c r="K3" s="10" t="str">
        <f t="shared" si="1"/>
        <v>74명 완료</v>
      </c>
      <c r="L3" s="10" t="str">
        <f t="shared" si="1"/>
        <v>84명 완료</v>
      </c>
      <c r="M3" s="10" t="str">
        <f t="shared" si="1"/>
        <v>80명 완료</v>
      </c>
      <c r="N3" s="10" t="str">
        <f t="shared" si="1"/>
        <v>77명 완료</v>
      </c>
      <c r="O3" s="10" t="str">
        <f t="shared" si="1"/>
        <v>75명 완료</v>
      </c>
      <c r="P3" s="11"/>
      <c r="Q3" s="162"/>
      <c r="R3" s="11"/>
      <c r="S3" s="11"/>
    </row>
    <row r="4" ht="15.75" customHeight="1">
      <c r="A4" s="163"/>
      <c r="B4" s="63" t="s">
        <v>20</v>
      </c>
      <c r="C4" s="64" t="s">
        <v>21</v>
      </c>
      <c r="D4" s="64" t="s">
        <v>22</v>
      </c>
      <c r="E4" s="65" t="s">
        <v>23</v>
      </c>
      <c r="F4" s="65" t="s">
        <v>24</v>
      </c>
      <c r="G4" s="66" t="s">
        <v>25</v>
      </c>
      <c r="H4" s="66" t="s">
        <v>25</v>
      </c>
      <c r="I4" s="66" t="s">
        <v>25</v>
      </c>
      <c r="J4" s="66" t="s">
        <v>25</v>
      </c>
      <c r="K4" s="66" t="s">
        <v>25</v>
      </c>
      <c r="L4" s="66" t="s">
        <v>25</v>
      </c>
      <c r="M4" s="66" t="s">
        <v>25</v>
      </c>
      <c r="N4" s="66" t="s">
        <v>25</v>
      </c>
      <c r="O4" s="66" t="s">
        <v>25</v>
      </c>
      <c r="P4" s="67"/>
      <c r="Q4" s="164"/>
      <c r="R4" s="67"/>
      <c r="S4" s="67"/>
    </row>
    <row r="5" ht="15.75" customHeight="1">
      <c r="A5" s="20"/>
      <c r="B5" s="21">
        <v>1.0</v>
      </c>
      <c r="C5" s="22" t="s">
        <v>26</v>
      </c>
      <c r="D5" s="149" t="s">
        <v>27</v>
      </c>
      <c r="E5" s="70" t="str">
        <f t="shared" ref="E5:E44" si="2">IF(COUNTIF(G5:O5, "완료")=0, "", COUNTIF($G$4:$O$4, "완료") &amp; "번 중 " &amp; COUNTIF(G5:O5, "완료") &amp; "번 참여")
</f>
        <v>9번 중 9번 참여</v>
      </c>
      <c r="F5" s="71">
        <f t="shared" ref="F5:F123" si="3">IF(COUNTIF($G$4:$CT$4, "완료")=0, "", IF(COUNTIF(G5:O5, "완료")=0, "", COUNTIF(G5:O5, "완료") / COUNTIF($G$4:$O$4, "완료")))
</f>
        <v>1</v>
      </c>
      <c r="G5" s="26" t="s">
        <v>25</v>
      </c>
      <c r="H5" s="26" t="s">
        <v>25</v>
      </c>
      <c r="I5" s="26" t="s">
        <v>25</v>
      </c>
      <c r="J5" s="26" t="s">
        <v>25</v>
      </c>
      <c r="K5" s="26" t="s">
        <v>25</v>
      </c>
      <c r="L5" s="26" t="s">
        <v>25</v>
      </c>
      <c r="M5" s="26" t="s">
        <v>25</v>
      </c>
      <c r="N5" s="26" t="s">
        <v>25</v>
      </c>
      <c r="O5" s="26" t="s">
        <v>25</v>
      </c>
      <c r="P5" s="27"/>
      <c r="Q5" s="165"/>
      <c r="R5" s="27"/>
      <c r="S5" s="27"/>
    </row>
    <row r="6" ht="15.75" customHeight="1">
      <c r="A6" s="28"/>
      <c r="B6" s="29">
        <v>2.0</v>
      </c>
      <c r="C6" s="30" t="s">
        <v>326</v>
      </c>
      <c r="D6" s="30" t="s">
        <v>327</v>
      </c>
      <c r="E6" s="70" t="str">
        <f t="shared" si="2"/>
        <v>9번 중 7번 참여</v>
      </c>
      <c r="F6" s="71">
        <f t="shared" si="3"/>
        <v>0.7777777778</v>
      </c>
      <c r="G6" s="26" t="s">
        <v>25</v>
      </c>
      <c r="H6" s="26"/>
      <c r="I6" s="26" t="s">
        <v>25</v>
      </c>
      <c r="J6" s="26" t="s">
        <v>25</v>
      </c>
      <c r="K6" s="26" t="s">
        <v>25</v>
      </c>
      <c r="L6" s="26" t="s">
        <v>25</v>
      </c>
      <c r="M6" s="26" t="s">
        <v>25</v>
      </c>
      <c r="N6" s="26"/>
      <c r="O6" s="26" t="s">
        <v>25</v>
      </c>
      <c r="P6" s="27"/>
      <c r="Q6" s="165"/>
      <c r="R6" s="27"/>
      <c r="S6" s="27"/>
    </row>
    <row r="7" ht="15.75" customHeight="1">
      <c r="A7" s="20"/>
      <c r="B7" s="21">
        <v>3.0</v>
      </c>
      <c r="C7" s="22" t="s">
        <v>28</v>
      </c>
      <c r="D7" s="22" t="s">
        <v>29</v>
      </c>
      <c r="E7" s="70" t="str">
        <f t="shared" si="2"/>
        <v>9번 중 9번 참여</v>
      </c>
      <c r="F7" s="71">
        <f t="shared" si="3"/>
        <v>1</v>
      </c>
      <c r="G7" s="26" t="s">
        <v>25</v>
      </c>
      <c r="H7" s="26" t="s">
        <v>25</v>
      </c>
      <c r="I7" s="26" t="s">
        <v>25</v>
      </c>
      <c r="J7" s="26" t="s">
        <v>25</v>
      </c>
      <c r="K7" s="26" t="s">
        <v>25</v>
      </c>
      <c r="L7" s="26" t="s">
        <v>25</v>
      </c>
      <c r="M7" s="26" t="s">
        <v>25</v>
      </c>
      <c r="N7" s="26" t="s">
        <v>25</v>
      </c>
      <c r="O7" s="26" t="s">
        <v>25</v>
      </c>
      <c r="P7" s="27"/>
      <c r="Q7" s="165"/>
      <c r="R7" s="27"/>
      <c r="S7" s="27"/>
    </row>
    <row r="8" ht="15.75" customHeight="1">
      <c r="A8" s="28"/>
      <c r="B8" s="29">
        <v>4.0</v>
      </c>
      <c r="C8" s="30" t="s">
        <v>30</v>
      </c>
      <c r="D8" s="30" t="s">
        <v>31</v>
      </c>
      <c r="E8" s="70" t="str">
        <f t="shared" si="2"/>
        <v>9번 중 7번 참여</v>
      </c>
      <c r="F8" s="71">
        <f t="shared" si="3"/>
        <v>0.7777777778</v>
      </c>
      <c r="G8" s="26" t="s">
        <v>25</v>
      </c>
      <c r="H8" s="26" t="s">
        <v>25</v>
      </c>
      <c r="I8" s="26"/>
      <c r="J8" s="26"/>
      <c r="K8" s="26" t="s">
        <v>25</v>
      </c>
      <c r="L8" s="26" t="s">
        <v>25</v>
      </c>
      <c r="M8" s="26" t="s">
        <v>25</v>
      </c>
      <c r="N8" s="26" t="s">
        <v>25</v>
      </c>
      <c r="O8" s="26" t="s">
        <v>25</v>
      </c>
      <c r="P8" s="27"/>
      <c r="Q8" s="165"/>
      <c r="R8" s="27"/>
      <c r="S8" s="27"/>
    </row>
    <row r="9" ht="15.75" customHeight="1">
      <c r="A9" s="20"/>
      <c r="B9" s="21">
        <v>5.0</v>
      </c>
      <c r="C9" s="22" t="s">
        <v>32</v>
      </c>
      <c r="D9" s="22" t="s">
        <v>33</v>
      </c>
      <c r="E9" s="70" t="str">
        <f t="shared" si="2"/>
        <v>9번 중 7번 참여</v>
      </c>
      <c r="F9" s="71">
        <f t="shared" si="3"/>
        <v>0.7777777778</v>
      </c>
      <c r="G9" s="26" t="s">
        <v>25</v>
      </c>
      <c r="H9" s="26" t="s">
        <v>25</v>
      </c>
      <c r="I9" s="26"/>
      <c r="J9" s="26"/>
      <c r="K9" s="26" t="s">
        <v>25</v>
      </c>
      <c r="L9" s="26" t="s">
        <v>25</v>
      </c>
      <c r="M9" s="26" t="s">
        <v>25</v>
      </c>
      <c r="N9" s="26" t="s">
        <v>25</v>
      </c>
      <c r="O9" s="26" t="s">
        <v>25</v>
      </c>
      <c r="P9" s="27"/>
      <c r="Q9" s="165"/>
      <c r="R9" s="27"/>
      <c r="S9" s="27"/>
    </row>
    <row r="10" ht="15.75" customHeight="1">
      <c r="A10" s="28"/>
      <c r="B10" s="29">
        <v>6.0</v>
      </c>
      <c r="C10" s="30" t="s">
        <v>34</v>
      </c>
      <c r="D10" s="30" t="s">
        <v>35</v>
      </c>
      <c r="E10" s="70" t="str">
        <f t="shared" si="2"/>
        <v>9번 중 9번 참여</v>
      </c>
      <c r="F10" s="71">
        <f t="shared" si="3"/>
        <v>1</v>
      </c>
      <c r="G10" s="26" t="s">
        <v>25</v>
      </c>
      <c r="H10" s="26" t="s">
        <v>25</v>
      </c>
      <c r="I10" s="26" t="s">
        <v>25</v>
      </c>
      <c r="J10" s="26" t="s">
        <v>25</v>
      </c>
      <c r="K10" s="26" t="s">
        <v>25</v>
      </c>
      <c r="L10" s="26" t="s">
        <v>25</v>
      </c>
      <c r="M10" s="26" t="s">
        <v>25</v>
      </c>
      <c r="N10" s="26" t="s">
        <v>25</v>
      </c>
      <c r="O10" s="26" t="s">
        <v>25</v>
      </c>
      <c r="P10" s="27"/>
      <c r="Q10" s="165"/>
      <c r="R10" s="27"/>
      <c r="S10" s="27"/>
    </row>
    <row r="11" ht="15.75" customHeight="1">
      <c r="A11" s="20"/>
      <c r="B11" s="21">
        <v>7.0</v>
      </c>
      <c r="C11" s="22" t="s">
        <v>36</v>
      </c>
      <c r="D11" s="22" t="s">
        <v>72</v>
      </c>
      <c r="E11" s="70" t="str">
        <f t="shared" si="2"/>
        <v>9번 중 8번 참여</v>
      </c>
      <c r="F11" s="71">
        <f t="shared" si="3"/>
        <v>0.8888888889</v>
      </c>
      <c r="G11" s="26" t="s">
        <v>25</v>
      </c>
      <c r="H11" s="26" t="s">
        <v>25</v>
      </c>
      <c r="I11" s="26" t="s">
        <v>25</v>
      </c>
      <c r="J11" s="26"/>
      <c r="K11" s="26" t="s">
        <v>25</v>
      </c>
      <c r="L11" s="26" t="s">
        <v>25</v>
      </c>
      <c r="M11" s="26" t="s">
        <v>25</v>
      </c>
      <c r="N11" s="26" t="s">
        <v>25</v>
      </c>
      <c r="O11" s="26" t="s">
        <v>25</v>
      </c>
      <c r="P11" s="27"/>
      <c r="Q11" s="165"/>
      <c r="R11" s="27"/>
      <c r="S11" s="27"/>
    </row>
    <row r="12" ht="15.75" customHeight="1">
      <c r="A12" s="28"/>
      <c r="B12" s="29">
        <v>8.0</v>
      </c>
      <c r="C12" s="30" t="s">
        <v>38</v>
      </c>
      <c r="D12" s="30" t="s">
        <v>39</v>
      </c>
      <c r="E12" s="70" t="str">
        <f t="shared" si="2"/>
        <v>9번 중 9번 참여</v>
      </c>
      <c r="F12" s="71">
        <f t="shared" si="3"/>
        <v>1</v>
      </c>
      <c r="G12" s="26" t="s">
        <v>25</v>
      </c>
      <c r="H12" s="26" t="s">
        <v>25</v>
      </c>
      <c r="I12" s="26" t="s">
        <v>25</v>
      </c>
      <c r="J12" s="26" t="s">
        <v>25</v>
      </c>
      <c r="K12" s="26" t="s">
        <v>25</v>
      </c>
      <c r="L12" s="26" t="s">
        <v>25</v>
      </c>
      <c r="M12" s="26" t="s">
        <v>25</v>
      </c>
      <c r="N12" s="26" t="s">
        <v>25</v>
      </c>
      <c r="O12" s="26" t="s">
        <v>25</v>
      </c>
      <c r="P12" s="27"/>
      <c r="Q12" s="165"/>
      <c r="R12" s="27"/>
      <c r="S12" s="27"/>
    </row>
    <row r="13" ht="15.75" customHeight="1">
      <c r="A13" s="20"/>
      <c r="B13" s="21">
        <v>9.0</v>
      </c>
      <c r="C13" s="22" t="s">
        <v>40</v>
      </c>
      <c r="D13" s="22" t="s">
        <v>41</v>
      </c>
      <c r="E13" s="70" t="str">
        <f t="shared" si="2"/>
        <v>9번 중 9번 참여</v>
      </c>
      <c r="F13" s="71">
        <f t="shared" si="3"/>
        <v>1</v>
      </c>
      <c r="G13" s="26" t="s">
        <v>25</v>
      </c>
      <c r="H13" s="26" t="s">
        <v>25</v>
      </c>
      <c r="I13" s="26" t="s">
        <v>25</v>
      </c>
      <c r="J13" s="26" t="s">
        <v>25</v>
      </c>
      <c r="K13" s="26" t="s">
        <v>25</v>
      </c>
      <c r="L13" s="26" t="s">
        <v>25</v>
      </c>
      <c r="M13" s="26" t="s">
        <v>25</v>
      </c>
      <c r="N13" s="26" t="s">
        <v>25</v>
      </c>
      <c r="O13" s="26" t="s">
        <v>25</v>
      </c>
      <c r="P13" s="27"/>
      <c r="Q13" s="165"/>
      <c r="R13" s="27"/>
      <c r="S13" s="27"/>
    </row>
    <row r="14" ht="15.75" customHeight="1">
      <c r="A14" s="28"/>
      <c r="B14" s="29">
        <v>10.0</v>
      </c>
      <c r="C14" s="30" t="s">
        <v>42</v>
      </c>
      <c r="D14" s="30" t="s">
        <v>43</v>
      </c>
      <c r="E14" s="70" t="str">
        <f t="shared" si="2"/>
        <v>9번 중 8번 참여</v>
      </c>
      <c r="F14" s="71">
        <f t="shared" si="3"/>
        <v>0.8888888889</v>
      </c>
      <c r="G14" s="26" t="s">
        <v>25</v>
      </c>
      <c r="H14" s="26" t="s">
        <v>25</v>
      </c>
      <c r="I14" s="26" t="s">
        <v>25</v>
      </c>
      <c r="J14" s="26" t="s">
        <v>25</v>
      </c>
      <c r="K14" s="26"/>
      <c r="L14" s="26" t="s">
        <v>25</v>
      </c>
      <c r="M14" s="26" t="s">
        <v>25</v>
      </c>
      <c r="N14" s="26" t="s">
        <v>25</v>
      </c>
      <c r="O14" s="26" t="s">
        <v>25</v>
      </c>
      <c r="P14" s="27"/>
      <c r="Q14" s="165"/>
      <c r="R14" s="27"/>
      <c r="S14" s="27"/>
    </row>
    <row r="15" ht="15.75" customHeight="1">
      <c r="A15" s="20"/>
      <c r="B15" s="21">
        <v>11.0</v>
      </c>
      <c r="C15" s="22" t="s">
        <v>420</v>
      </c>
      <c r="D15" s="22" t="s">
        <v>329</v>
      </c>
      <c r="E15" s="70" t="str">
        <f t="shared" si="2"/>
        <v>9번 중 9번 참여</v>
      </c>
      <c r="F15" s="71">
        <f t="shared" si="3"/>
        <v>1</v>
      </c>
      <c r="G15" s="26" t="s">
        <v>25</v>
      </c>
      <c r="H15" s="26" t="s">
        <v>25</v>
      </c>
      <c r="I15" s="26" t="s">
        <v>25</v>
      </c>
      <c r="J15" s="26" t="s">
        <v>25</v>
      </c>
      <c r="K15" s="26" t="s">
        <v>25</v>
      </c>
      <c r="L15" s="26" t="s">
        <v>25</v>
      </c>
      <c r="M15" s="26" t="s">
        <v>25</v>
      </c>
      <c r="N15" s="26" t="s">
        <v>25</v>
      </c>
      <c r="O15" s="26" t="s">
        <v>25</v>
      </c>
      <c r="P15" s="27"/>
      <c r="Q15" s="165"/>
      <c r="R15" s="27"/>
      <c r="S15" s="27"/>
    </row>
    <row r="16" ht="15.75" customHeight="1">
      <c r="A16" s="28"/>
      <c r="B16" s="29">
        <v>12.0</v>
      </c>
      <c r="C16" s="30" t="s">
        <v>421</v>
      </c>
      <c r="D16" s="30" t="s">
        <v>330</v>
      </c>
      <c r="E16" s="70" t="str">
        <f t="shared" si="2"/>
        <v>9번 중 8번 참여</v>
      </c>
      <c r="F16" s="71">
        <f t="shared" si="3"/>
        <v>0.8888888889</v>
      </c>
      <c r="G16" s="26" t="s">
        <v>25</v>
      </c>
      <c r="H16" s="26" t="s">
        <v>25</v>
      </c>
      <c r="I16" s="26" t="s">
        <v>25</v>
      </c>
      <c r="J16" s="26" t="s">
        <v>25</v>
      </c>
      <c r="K16" s="26" t="s">
        <v>25</v>
      </c>
      <c r="L16" s="26"/>
      <c r="M16" s="26" t="s">
        <v>25</v>
      </c>
      <c r="N16" s="26" t="s">
        <v>25</v>
      </c>
      <c r="O16" s="26" t="s">
        <v>25</v>
      </c>
      <c r="P16" s="27"/>
      <c r="Q16" s="165"/>
      <c r="R16" s="27"/>
      <c r="S16" s="27"/>
    </row>
    <row r="17" ht="15.75" customHeight="1">
      <c r="A17" s="20"/>
      <c r="B17" s="21">
        <v>13.0</v>
      </c>
      <c r="C17" s="22" t="s">
        <v>44</v>
      </c>
      <c r="D17" s="22" t="s">
        <v>45</v>
      </c>
      <c r="E17" s="70" t="str">
        <f t="shared" si="2"/>
        <v>9번 중 9번 참여</v>
      </c>
      <c r="F17" s="71">
        <f t="shared" si="3"/>
        <v>1</v>
      </c>
      <c r="G17" s="26" t="s">
        <v>25</v>
      </c>
      <c r="H17" s="26" t="s">
        <v>25</v>
      </c>
      <c r="I17" s="26" t="s">
        <v>25</v>
      </c>
      <c r="J17" s="26" t="s">
        <v>25</v>
      </c>
      <c r="K17" s="26" t="s">
        <v>25</v>
      </c>
      <c r="L17" s="26" t="s">
        <v>25</v>
      </c>
      <c r="M17" s="26" t="s">
        <v>25</v>
      </c>
      <c r="N17" s="26" t="s">
        <v>25</v>
      </c>
      <c r="O17" s="26" t="s">
        <v>25</v>
      </c>
      <c r="P17" s="27"/>
      <c r="Q17" s="165"/>
      <c r="R17" s="27"/>
      <c r="S17" s="27"/>
    </row>
    <row r="18" ht="15.75" customHeight="1">
      <c r="A18" s="28"/>
      <c r="B18" s="29">
        <v>14.0</v>
      </c>
      <c r="C18" s="30" t="s">
        <v>46</v>
      </c>
      <c r="D18" s="30" t="s">
        <v>47</v>
      </c>
      <c r="E18" s="70" t="str">
        <f t="shared" si="2"/>
        <v>9번 중 9번 참여</v>
      </c>
      <c r="F18" s="71">
        <f t="shared" si="3"/>
        <v>1</v>
      </c>
      <c r="G18" s="26" t="s">
        <v>25</v>
      </c>
      <c r="H18" s="26" t="s">
        <v>25</v>
      </c>
      <c r="I18" s="26" t="s">
        <v>25</v>
      </c>
      <c r="J18" s="26" t="s">
        <v>25</v>
      </c>
      <c r="K18" s="26" t="s">
        <v>25</v>
      </c>
      <c r="L18" s="26" t="s">
        <v>25</v>
      </c>
      <c r="M18" s="26" t="s">
        <v>25</v>
      </c>
      <c r="N18" s="26" t="s">
        <v>25</v>
      </c>
      <c r="O18" s="26" t="s">
        <v>25</v>
      </c>
      <c r="P18" s="27"/>
      <c r="Q18" s="165"/>
      <c r="R18" s="27"/>
      <c r="S18" s="27"/>
    </row>
    <row r="19" ht="15.75" customHeight="1">
      <c r="A19" s="20"/>
      <c r="B19" s="21">
        <v>15.0</v>
      </c>
      <c r="C19" s="22" t="s">
        <v>48</v>
      </c>
      <c r="D19" s="22" t="s">
        <v>49</v>
      </c>
      <c r="E19" s="70" t="str">
        <f t="shared" si="2"/>
        <v>9번 중 9번 참여</v>
      </c>
      <c r="F19" s="71">
        <f t="shared" si="3"/>
        <v>1</v>
      </c>
      <c r="G19" s="26" t="s">
        <v>25</v>
      </c>
      <c r="H19" s="26" t="s">
        <v>25</v>
      </c>
      <c r="I19" s="26" t="s">
        <v>25</v>
      </c>
      <c r="J19" s="26" t="s">
        <v>25</v>
      </c>
      <c r="K19" s="26" t="s">
        <v>25</v>
      </c>
      <c r="L19" s="26" t="s">
        <v>25</v>
      </c>
      <c r="M19" s="26" t="s">
        <v>25</v>
      </c>
      <c r="N19" s="26" t="s">
        <v>25</v>
      </c>
      <c r="O19" s="26" t="s">
        <v>25</v>
      </c>
      <c r="P19" s="27"/>
      <c r="Q19" s="165"/>
      <c r="R19" s="27"/>
      <c r="S19" s="27"/>
    </row>
    <row r="20" ht="15.75" customHeight="1">
      <c r="A20" s="28"/>
      <c r="B20" s="29">
        <v>16.0</v>
      </c>
      <c r="C20" s="30" t="s">
        <v>50</v>
      </c>
      <c r="D20" s="30" t="s">
        <v>51</v>
      </c>
      <c r="E20" s="70" t="str">
        <f t="shared" si="2"/>
        <v>9번 중 9번 참여</v>
      </c>
      <c r="F20" s="71">
        <f t="shared" si="3"/>
        <v>1</v>
      </c>
      <c r="G20" s="26" t="s">
        <v>25</v>
      </c>
      <c r="H20" s="26" t="s">
        <v>25</v>
      </c>
      <c r="I20" s="26" t="s">
        <v>25</v>
      </c>
      <c r="J20" s="26" t="s">
        <v>25</v>
      </c>
      <c r="K20" s="26" t="s">
        <v>25</v>
      </c>
      <c r="L20" s="26" t="s">
        <v>25</v>
      </c>
      <c r="M20" s="26" t="s">
        <v>25</v>
      </c>
      <c r="N20" s="26" t="s">
        <v>25</v>
      </c>
      <c r="O20" s="26" t="s">
        <v>25</v>
      </c>
      <c r="P20" s="27"/>
      <c r="Q20" s="165"/>
      <c r="R20" s="27"/>
      <c r="S20" s="27"/>
    </row>
    <row r="21" ht="15.75" customHeight="1">
      <c r="A21" s="20"/>
      <c r="B21" s="21">
        <v>17.0</v>
      </c>
      <c r="C21" s="22" t="s">
        <v>52</v>
      </c>
      <c r="D21" s="22" t="s">
        <v>53</v>
      </c>
      <c r="E21" s="70" t="str">
        <f t="shared" si="2"/>
        <v>9번 중 9번 참여</v>
      </c>
      <c r="F21" s="71">
        <f t="shared" si="3"/>
        <v>1</v>
      </c>
      <c r="G21" s="26" t="s">
        <v>25</v>
      </c>
      <c r="H21" s="26" t="s">
        <v>25</v>
      </c>
      <c r="I21" s="26" t="s">
        <v>25</v>
      </c>
      <c r="J21" s="26" t="s">
        <v>25</v>
      </c>
      <c r="K21" s="26" t="s">
        <v>25</v>
      </c>
      <c r="L21" s="26" t="s">
        <v>25</v>
      </c>
      <c r="M21" s="26" t="s">
        <v>25</v>
      </c>
      <c r="N21" s="26" t="s">
        <v>25</v>
      </c>
      <c r="O21" s="26" t="s">
        <v>25</v>
      </c>
      <c r="P21" s="27"/>
      <c r="Q21" s="165"/>
      <c r="R21" s="27"/>
      <c r="S21" s="27"/>
    </row>
    <row r="22" ht="15.75" customHeight="1">
      <c r="A22" s="28"/>
      <c r="B22" s="29">
        <v>18.0</v>
      </c>
      <c r="C22" s="30" t="s">
        <v>331</v>
      </c>
      <c r="D22" s="30" t="s">
        <v>332</v>
      </c>
      <c r="E22" s="70" t="str">
        <f t="shared" si="2"/>
        <v>9번 중 9번 참여</v>
      </c>
      <c r="F22" s="71">
        <f t="shared" si="3"/>
        <v>1</v>
      </c>
      <c r="G22" s="26" t="s">
        <v>25</v>
      </c>
      <c r="H22" s="26" t="s">
        <v>25</v>
      </c>
      <c r="I22" s="26" t="s">
        <v>25</v>
      </c>
      <c r="J22" s="26" t="s">
        <v>25</v>
      </c>
      <c r="K22" s="26" t="s">
        <v>25</v>
      </c>
      <c r="L22" s="26" t="s">
        <v>25</v>
      </c>
      <c r="M22" s="26" t="s">
        <v>25</v>
      </c>
      <c r="N22" s="26" t="s">
        <v>25</v>
      </c>
      <c r="O22" s="26" t="s">
        <v>25</v>
      </c>
      <c r="P22" s="27"/>
      <c r="Q22" s="165"/>
      <c r="R22" s="27"/>
      <c r="S22" s="27"/>
    </row>
    <row r="23" ht="15.75" customHeight="1">
      <c r="A23" s="20"/>
      <c r="B23" s="21">
        <v>19.0</v>
      </c>
      <c r="C23" s="22" t="s">
        <v>56</v>
      </c>
      <c r="D23" s="22" t="s">
        <v>57</v>
      </c>
      <c r="E23" s="70" t="str">
        <f t="shared" si="2"/>
        <v>9번 중 9번 참여</v>
      </c>
      <c r="F23" s="71">
        <f t="shared" si="3"/>
        <v>1</v>
      </c>
      <c r="G23" s="26" t="s">
        <v>25</v>
      </c>
      <c r="H23" s="26" t="s">
        <v>25</v>
      </c>
      <c r="I23" s="26" t="s">
        <v>25</v>
      </c>
      <c r="J23" s="26" t="s">
        <v>25</v>
      </c>
      <c r="K23" s="26" t="s">
        <v>25</v>
      </c>
      <c r="L23" s="26" t="s">
        <v>25</v>
      </c>
      <c r="M23" s="26" t="s">
        <v>25</v>
      </c>
      <c r="N23" s="26" t="s">
        <v>25</v>
      </c>
      <c r="O23" s="26" t="s">
        <v>25</v>
      </c>
      <c r="P23" s="27"/>
      <c r="Q23" s="165"/>
      <c r="R23" s="27"/>
      <c r="S23" s="27"/>
    </row>
    <row r="24" ht="15.75" customHeight="1">
      <c r="A24" s="28"/>
      <c r="B24" s="29">
        <v>20.0</v>
      </c>
      <c r="C24" s="30" t="s">
        <v>58</v>
      </c>
      <c r="D24" s="30" t="s">
        <v>59</v>
      </c>
      <c r="E24" s="70" t="str">
        <f t="shared" si="2"/>
        <v>9번 중 6번 참여</v>
      </c>
      <c r="F24" s="71">
        <f t="shared" si="3"/>
        <v>0.6666666667</v>
      </c>
      <c r="G24" s="26"/>
      <c r="H24" s="26" t="s">
        <v>25</v>
      </c>
      <c r="I24" s="26" t="s">
        <v>25</v>
      </c>
      <c r="J24" s="26"/>
      <c r="K24" s="26"/>
      <c r="L24" s="26" t="s">
        <v>25</v>
      </c>
      <c r="M24" s="26" t="s">
        <v>25</v>
      </c>
      <c r="N24" s="26" t="s">
        <v>25</v>
      </c>
      <c r="O24" s="26" t="s">
        <v>25</v>
      </c>
      <c r="P24" s="27"/>
      <c r="Q24" s="165"/>
      <c r="R24" s="27"/>
      <c r="S24" s="27"/>
    </row>
    <row r="25" ht="15.75" customHeight="1">
      <c r="A25" s="20"/>
      <c r="B25" s="21">
        <v>21.0</v>
      </c>
      <c r="C25" s="22" t="s">
        <v>60</v>
      </c>
      <c r="D25" s="23" t="s">
        <v>61</v>
      </c>
      <c r="E25" s="70" t="str">
        <f t="shared" si="2"/>
        <v>9번 중 9번 참여</v>
      </c>
      <c r="F25" s="71">
        <f t="shared" si="3"/>
        <v>1</v>
      </c>
      <c r="G25" s="26" t="s">
        <v>25</v>
      </c>
      <c r="H25" s="26" t="s">
        <v>25</v>
      </c>
      <c r="I25" s="26" t="s">
        <v>25</v>
      </c>
      <c r="J25" s="26" t="s">
        <v>25</v>
      </c>
      <c r="K25" s="26" t="s">
        <v>25</v>
      </c>
      <c r="L25" s="26" t="s">
        <v>25</v>
      </c>
      <c r="M25" s="26" t="s">
        <v>25</v>
      </c>
      <c r="N25" s="26" t="s">
        <v>25</v>
      </c>
      <c r="O25" s="26" t="s">
        <v>25</v>
      </c>
      <c r="P25" s="27"/>
      <c r="Q25" s="165"/>
      <c r="R25" s="27"/>
      <c r="S25" s="27"/>
    </row>
    <row r="26" ht="15.75" customHeight="1">
      <c r="A26" s="28"/>
      <c r="B26" s="29">
        <v>22.0</v>
      </c>
      <c r="C26" s="42" t="s">
        <v>62</v>
      </c>
      <c r="D26" s="42" t="s">
        <v>63</v>
      </c>
      <c r="E26" s="70" t="str">
        <f t="shared" si="2"/>
        <v>9번 중 9번 참여</v>
      </c>
      <c r="F26" s="71">
        <f t="shared" si="3"/>
        <v>1</v>
      </c>
      <c r="G26" s="26" t="s">
        <v>25</v>
      </c>
      <c r="H26" s="26" t="s">
        <v>25</v>
      </c>
      <c r="I26" s="26" t="s">
        <v>25</v>
      </c>
      <c r="J26" s="26" t="s">
        <v>25</v>
      </c>
      <c r="K26" s="26" t="s">
        <v>25</v>
      </c>
      <c r="L26" s="26" t="s">
        <v>25</v>
      </c>
      <c r="M26" s="26" t="s">
        <v>25</v>
      </c>
      <c r="N26" s="26" t="s">
        <v>25</v>
      </c>
      <c r="O26" s="26" t="s">
        <v>25</v>
      </c>
      <c r="P26" s="27"/>
      <c r="Q26" s="165"/>
      <c r="R26" s="27"/>
      <c r="S26" s="27"/>
    </row>
    <row r="27" ht="15.75" customHeight="1">
      <c r="A27" s="20"/>
      <c r="B27" s="21">
        <v>23.0</v>
      </c>
      <c r="C27" s="22" t="s">
        <v>64</v>
      </c>
      <c r="D27" s="22" t="s">
        <v>65</v>
      </c>
      <c r="E27" s="70" t="str">
        <f t="shared" si="2"/>
        <v>9번 중 7번 참여</v>
      </c>
      <c r="F27" s="71">
        <f t="shared" si="3"/>
        <v>0.7777777778</v>
      </c>
      <c r="G27" s="26"/>
      <c r="H27" s="26" t="s">
        <v>25</v>
      </c>
      <c r="I27" s="26" t="s">
        <v>25</v>
      </c>
      <c r="J27" s="26" t="s">
        <v>25</v>
      </c>
      <c r="K27" s="26"/>
      <c r="L27" s="26" t="s">
        <v>25</v>
      </c>
      <c r="M27" s="26" t="s">
        <v>25</v>
      </c>
      <c r="N27" s="26" t="s">
        <v>25</v>
      </c>
      <c r="O27" s="26" t="s">
        <v>25</v>
      </c>
      <c r="P27" s="27"/>
      <c r="Q27" s="165"/>
      <c r="R27" s="27"/>
      <c r="S27" s="27"/>
    </row>
    <row r="28" ht="15.75" customHeight="1">
      <c r="A28" s="28"/>
      <c r="B28" s="29">
        <v>24.0</v>
      </c>
      <c r="C28" s="30" t="s">
        <v>337</v>
      </c>
      <c r="D28" s="30" t="s">
        <v>338</v>
      </c>
      <c r="E28" s="70" t="str">
        <f t="shared" si="2"/>
        <v>9번 중 7번 참여</v>
      </c>
      <c r="F28" s="71">
        <f t="shared" si="3"/>
        <v>0.7777777778</v>
      </c>
      <c r="G28" s="26" t="s">
        <v>25</v>
      </c>
      <c r="H28" s="26" t="s">
        <v>25</v>
      </c>
      <c r="I28" s="26" t="s">
        <v>25</v>
      </c>
      <c r="J28" s="26" t="s">
        <v>25</v>
      </c>
      <c r="K28" s="26" t="s">
        <v>25</v>
      </c>
      <c r="L28" s="26" t="s">
        <v>25</v>
      </c>
      <c r="M28" s="26"/>
      <c r="N28" s="26" t="s">
        <v>25</v>
      </c>
      <c r="O28" s="26"/>
      <c r="P28" s="27"/>
      <c r="Q28" s="165"/>
      <c r="R28" s="27"/>
      <c r="S28" s="27"/>
    </row>
    <row r="29" ht="15.75" customHeight="1">
      <c r="A29" s="20"/>
      <c r="B29" s="21">
        <v>25.0</v>
      </c>
      <c r="C29" s="22" t="s">
        <v>422</v>
      </c>
      <c r="D29" s="22" t="s">
        <v>339</v>
      </c>
      <c r="E29" s="70" t="str">
        <f t="shared" si="2"/>
        <v>9번 중 7번 참여</v>
      </c>
      <c r="F29" s="71">
        <f t="shared" si="3"/>
        <v>0.7777777778</v>
      </c>
      <c r="G29" s="26" t="s">
        <v>25</v>
      </c>
      <c r="H29" s="26" t="s">
        <v>25</v>
      </c>
      <c r="I29" s="26" t="s">
        <v>25</v>
      </c>
      <c r="J29" s="26" t="s">
        <v>25</v>
      </c>
      <c r="K29" s="26" t="s">
        <v>25</v>
      </c>
      <c r="L29" s="26" t="s">
        <v>25</v>
      </c>
      <c r="M29" s="26"/>
      <c r="N29" s="26" t="s">
        <v>25</v>
      </c>
      <c r="O29" s="26"/>
      <c r="P29" s="27"/>
      <c r="Q29" s="165"/>
      <c r="R29" s="27"/>
      <c r="S29" s="27"/>
    </row>
    <row r="30" ht="15.75" customHeight="1">
      <c r="A30" s="28"/>
      <c r="B30" s="29">
        <v>26.0</v>
      </c>
      <c r="C30" s="30" t="s">
        <v>74</v>
      </c>
      <c r="D30" s="30" t="s">
        <v>75</v>
      </c>
      <c r="E30" s="70" t="str">
        <f t="shared" si="2"/>
        <v>9번 중 7번 참여</v>
      </c>
      <c r="F30" s="71">
        <f t="shared" si="3"/>
        <v>0.7777777778</v>
      </c>
      <c r="G30" s="26" t="s">
        <v>25</v>
      </c>
      <c r="H30" s="26" t="s">
        <v>25</v>
      </c>
      <c r="I30" s="26"/>
      <c r="J30" s="26" t="s">
        <v>25</v>
      </c>
      <c r="K30" s="26" t="s">
        <v>25</v>
      </c>
      <c r="L30" s="26" t="s">
        <v>25</v>
      </c>
      <c r="M30" s="26" t="s">
        <v>25</v>
      </c>
      <c r="N30" s="26" t="s">
        <v>25</v>
      </c>
      <c r="O30" s="26"/>
      <c r="P30" s="27"/>
      <c r="Q30" s="165"/>
      <c r="R30" s="27"/>
      <c r="S30" s="27"/>
    </row>
    <row r="31" ht="15.75" customHeight="1">
      <c r="A31" s="20"/>
      <c r="B31" s="21">
        <v>27.0</v>
      </c>
      <c r="C31" s="22" t="s">
        <v>76</v>
      </c>
      <c r="D31" s="23" t="s">
        <v>77</v>
      </c>
      <c r="E31" s="70" t="str">
        <f t="shared" si="2"/>
        <v>9번 중 8번 참여</v>
      </c>
      <c r="F31" s="71">
        <f t="shared" si="3"/>
        <v>0.8888888889</v>
      </c>
      <c r="G31" s="26" t="s">
        <v>25</v>
      </c>
      <c r="H31" s="26" t="s">
        <v>25</v>
      </c>
      <c r="I31" s="26" t="s">
        <v>25</v>
      </c>
      <c r="J31" s="26" t="s">
        <v>25</v>
      </c>
      <c r="K31" s="26"/>
      <c r="L31" s="26" t="s">
        <v>25</v>
      </c>
      <c r="M31" s="26" t="s">
        <v>25</v>
      </c>
      <c r="N31" s="26" t="s">
        <v>25</v>
      </c>
      <c r="O31" s="26" t="s">
        <v>25</v>
      </c>
      <c r="P31" s="27"/>
      <c r="Q31" s="165"/>
      <c r="R31" s="27"/>
      <c r="S31" s="27"/>
    </row>
    <row r="32" ht="15.75" customHeight="1">
      <c r="A32" s="28"/>
      <c r="B32" s="29">
        <v>28.0</v>
      </c>
      <c r="C32" s="30" t="s">
        <v>78</v>
      </c>
      <c r="D32" s="30" t="s">
        <v>79</v>
      </c>
      <c r="E32" s="70" t="str">
        <f t="shared" si="2"/>
        <v>9번 중 9번 참여</v>
      </c>
      <c r="F32" s="71">
        <f t="shared" si="3"/>
        <v>1</v>
      </c>
      <c r="G32" s="26" t="s">
        <v>25</v>
      </c>
      <c r="H32" s="26" t="s">
        <v>25</v>
      </c>
      <c r="I32" s="26" t="s">
        <v>25</v>
      </c>
      <c r="J32" s="26" t="s">
        <v>25</v>
      </c>
      <c r="K32" s="26" t="s">
        <v>25</v>
      </c>
      <c r="L32" s="26" t="s">
        <v>25</v>
      </c>
      <c r="M32" s="26" t="s">
        <v>25</v>
      </c>
      <c r="N32" s="26" t="s">
        <v>25</v>
      </c>
      <c r="O32" s="26" t="s">
        <v>25</v>
      </c>
      <c r="P32" s="27"/>
      <c r="Q32" s="165"/>
      <c r="R32" s="27"/>
      <c r="S32" s="27"/>
    </row>
    <row r="33" ht="15.75" customHeight="1">
      <c r="A33" s="20"/>
      <c r="B33" s="21">
        <v>29.0</v>
      </c>
      <c r="C33" s="22" t="s">
        <v>130</v>
      </c>
      <c r="D33" s="22" t="s">
        <v>340</v>
      </c>
      <c r="E33" s="70" t="str">
        <f t="shared" si="2"/>
        <v>9번 중 8번 참여</v>
      </c>
      <c r="F33" s="71">
        <f t="shared" si="3"/>
        <v>0.8888888889</v>
      </c>
      <c r="G33" s="26" t="s">
        <v>25</v>
      </c>
      <c r="H33" s="26" t="s">
        <v>25</v>
      </c>
      <c r="I33" s="26" t="s">
        <v>25</v>
      </c>
      <c r="J33" s="26" t="s">
        <v>25</v>
      </c>
      <c r="K33" s="26" t="s">
        <v>25</v>
      </c>
      <c r="L33" s="26" t="s">
        <v>25</v>
      </c>
      <c r="M33" s="26" t="s">
        <v>25</v>
      </c>
      <c r="N33" s="26" t="s">
        <v>25</v>
      </c>
      <c r="O33" s="26"/>
      <c r="P33" s="27"/>
      <c r="Q33" s="165"/>
      <c r="R33" s="27"/>
      <c r="S33" s="27"/>
    </row>
    <row r="34" ht="15.75" customHeight="1">
      <c r="A34" s="28"/>
      <c r="B34" s="29">
        <v>30.0</v>
      </c>
      <c r="C34" s="30" t="s">
        <v>81</v>
      </c>
      <c r="D34" s="30" t="s">
        <v>82</v>
      </c>
      <c r="E34" s="70" t="str">
        <f t="shared" si="2"/>
        <v>9번 중 7번 참여</v>
      </c>
      <c r="F34" s="71">
        <f t="shared" si="3"/>
        <v>0.7777777778</v>
      </c>
      <c r="G34" s="26" t="s">
        <v>25</v>
      </c>
      <c r="H34" s="26" t="s">
        <v>25</v>
      </c>
      <c r="I34" s="26" t="s">
        <v>25</v>
      </c>
      <c r="J34" s="26"/>
      <c r="K34" s="26"/>
      <c r="L34" s="26" t="s">
        <v>25</v>
      </c>
      <c r="M34" s="26" t="s">
        <v>25</v>
      </c>
      <c r="N34" s="26" t="s">
        <v>25</v>
      </c>
      <c r="O34" s="26" t="s">
        <v>25</v>
      </c>
      <c r="P34" s="27"/>
      <c r="Q34" s="165"/>
      <c r="R34" s="27"/>
      <c r="S34" s="27"/>
    </row>
    <row r="35" ht="15.75" customHeight="1">
      <c r="A35" s="20"/>
      <c r="B35" s="21">
        <v>31.0</v>
      </c>
      <c r="C35" s="22" t="s">
        <v>83</v>
      </c>
      <c r="D35" s="22" t="s">
        <v>84</v>
      </c>
      <c r="E35" s="70" t="str">
        <f t="shared" si="2"/>
        <v>9번 중 8번 참여</v>
      </c>
      <c r="F35" s="71">
        <f t="shared" si="3"/>
        <v>0.8888888889</v>
      </c>
      <c r="G35" s="26" t="s">
        <v>25</v>
      </c>
      <c r="H35" s="26" t="s">
        <v>25</v>
      </c>
      <c r="I35" s="26" t="s">
        <v>25</v>
      </c>
      <c r="J35" s="26"/>
      <c r="K35" s="26" t="s">
        <v>25</v>
      </c>
      <c r="L35" s="26" t="s">
        <v>25</v>
      </c>
      <c r="M35" s="26" t="s">
        <v>25</v>
      </c>
      <c r="N35" s="26" t="s">
        <v>25</v>
      </c>
      <c r="O35" s="26" t="s">
        <v>25</v>
      </c>
      <c r="P35" s="27"/>
      <c r="Q35" s="165"/>
      <c r="R35" s="27"/>
      <c r="S35" s="27"/>
    </row>
    <row r="36" ht="15.75" customHeight="1">
      <c r="A36" s="28"/>
      <c r="B36" s="29">
        <v>32.0</v>
      </c>
      <c r="C36" s="30" t="s">
        <v>85</v>
      </c>
      <c r="D36" s="30" t="s">
        <v>86</v>
      </c>
      <c r="E36" s="70" t="str">
        <f t="shared" si="2"/>
        <v>9번 중 8번 참여</v>
      </c>
      <c r="F36" s="71">
        <f t="shared" si="3"/>
        <v>0.8888888889</v>
      </c>
      <c r="G36" s="26" t="s">
        <v>25</v>
      </c>
      <c r="H36" s="26" t="s">
        <v>25</v>
      </c>
      <c r="I36" s="26" t="s">
        <v>25</v>
      </c>
      <c r="J36" s="26" t="s">
        <v>25</v>
      </c>
      <c r="K36" s="26" t="s">
        <v>25</v>
      </c>
      <c r="L36" s="26" t="s">
        <v>25</v>
      </c>
      <c r="M36" s="26" t="s">
        <v>25</v>
      </c>
      <c r="N36" s="26"/>
      <c r="O36" s="26" t="s">
        <v>25</v>
      </c>
      <c r="P36" s="27"/>
      <c r="Q36" s="165"/>
      <c r="R36" s="27"/>
      <c r="S36" s="27"/>
    </row>
    <row r="37" ht="15.75" customHeight="1">
      <c r="A37" s="20"/>
      <c r="B37" s="21">
        <v>33.0</v>
      </c>
      <c r="C37" s="22" t="s">
        <v>87</v>
      </c>
      <c r="D37" s="23" t="s">
        <v>88</v>
      </c>
      <c r="E37" s="70" t="str">
        <f t="shared" si="2"/>
        <v>9번 중 6번 참여</v>
      </c>
      <c r="F37" s="71">
        <f t="shared" si="3"/>
        <v>0.6666666667</v>
      </c>
      <c r="G37" s="26" t="s">
        <v>25</v>
      </c>
      <c r="H37" s="26" t="s">
        <v>25</v>
      </c>
      <c r="I37" s="26" t="s">
        <v>80</v>
      </c>
      <c r="J37" s="26" t="s">
        <v>25</v>
      </c>
      <c r="K37" s="26" t="s">
        <v>25</v>
      </c>
      <c r="L37" s="26" t="s">
        <v>25</v>
      </c>
      <c r="M37" s="26"/>
      <c r="N37" s="26" t="s">
        <v>25</v>
      </c>
      <c r="O37" s="26"/>
      <c r="P37" s="27"/>
      <c r="Q37" s="165"/>
      <c r="R37" s="27"/>
      <c r="S37" s="27"/>
    </row>
    <row r="38" ht="15.75" customHeight="1">
      <c r="A38" s="28"/>
      <c r="B38" s="29">
        <v>34.0</v>
      </c>
      <c r="C38" s="30" t="s">
        <v>423</v>
      </c>
      <c r="D38" s="30" t="s">
        <v>391</v>
      </c>
      <c r="E38" s="70" t="str">
        <f t="shared" si="2"/>
        <v>9번 중 7번 참여</v>
      </c>
      <c r="F38" s="71">
        <f t="shared" si="3"/>
        <v>0.7777777778</v>
      </c>
      <c r="G38" s="26" t="s">
        <v>25</v>
      </c>
      <c r="H38" s="26" t="s">
        <v>25</v>
      </c>
      <c r="I38" s="26" t="s">
        <v>25</v>
      </c>
      <c r="J38" s="26"/>
      <c r="K38" s="26"/>
      <c r="L38" s="26" t="s">
        <v>25</v>
      </c>
      <c r="M38" s="26" t="s">
        <v>25</v>
      </c>
      <c r="N38" s="26" t="s">
        <v>25</v>
      </c>
      <c r="O38" s="26" t="s">
        <v>25</v>
      </c>
      <c r="P38" s="27"/>
      <c r="Q38" s="165"/>
      <c r="R38" s="27"/>
      <c r="S38" s="27"/>
    </row>
    <row r="39" ht="15.75" customHeight="1">
      <c r="A39" s="20"/>
      <c r="B39" s="21">
        <v>35.0</v>
      </c>
      <c r="C39" s="22" t="s">
        <v>384</v>
      </c>
      <c r="D39" s="22" t="s">
        <v>385</v>
      </c>
      <c r="E39" s="70" t="str">
        <f t="shared" si="2"/>
        <v/>
      </c>
      <c r="F39" s="71" t="str">
        <f t="shared" si="3"/>
        <v/>
      </c>
      <c r="G39" s="26"/>
      <c r="H39" s="26"/>
      <c r="I39" s="26"/>
      <c r="J39" s="26"/>
      <c r="K39" s="26"/>
      <c r="L39" s="26"/>
      <c r="M39" s="26"/>
      <c r="N39" s="26"/>
      <c r="O39" s="26"/>
      <c r="P39" s="27"/>
      <c r="Q39" s="165"/>
      <c r="R39" s="27"/>
      <c r="S39" s="27"/>
    </row>
    <row r="40" ht="15.75" customHeight="1">
      <c r="A40" s="28"/>
      <c r="B40" s="29">
        <v>36.0</v>
      </c>
      <c r="C40" s="151" t="s">
        <v>93</v>
      </c>
      <c r="D40" s="151" t="s">
        <v>94</v>
      </c>
      <c r="E40" s="70" t="str">
        <f t="shared" si="2"/>
        <v>9번 중 9번 참여</v>
      </c>
      <c r="F40" s="71">
        <f t="shared" si="3"/>
        <v>1</v>
      </c>
      <c r="G40" s="26" t="s">
        <v>25</v>
      </c>
      <c r="H40" s="26" t="s">
        <v>25</v>
      </c>
      <c r="I40" s="26" t="s">
        <v>25</v>
      </c>
      <c r="J40" s="26" t="s">
        <v>25</v>
      </c>
      <c r="K40" s="26" t="s">
        <v>25</v>
      </c>
      <c r="L40" s="26" t="s">
        <v>25</v>
      </c>
      <c r="M40" s="26" t="s">
        <v>25</v>
      </c>
      <c r="N40" s="26" t="s">
        <v>25</v>
      </c>
      <c r="O40" s="26" t="s">
        <v>25</v>
      </c>
      <c r="P40" s="27"/>
      <c r="Q40" s="165"/>
      <c r="R40" s="27"/>
      <c r="S40" s="27"/>
    </row>
    <row r="41" ht="15.75" customHeight="1">
      <c r="A41" s="20"/>
      <c r="B41" s="21">
        <v>37.0</v>
      </c>
      <c r="C41" s="22" t="s">
        <v>124</v>
      </c>
      <c r="D41" s="22" t="s">
        <v>125</v>
      </c>
      <c r="E41" s="70" t="str">
        <f t="shared" si="2"/>
        <v>9번 중 9번 참여</v>
      </c>
      <c r="F41" s="71">
        <f t="shared" si="3"/>
        <v>1</v>
      </c>
      <c r="G41" s="26" t="s">
        <v>25</v>
      </c>
      <c r="H41" s="26" t="s">
        <v>25</v>
      </c>
      <c r="I41" s="26" t="s">
        <v>25</v>
      </c>
      <c r="J41" s="26" t="s">
        <v>25</v>
      </c>
      <c r="K41" s="26" t="s">
        <v>25</v>
      </c>
      <c r="L41" s="26" t="s">
        <v>25</v>
      </c>
      <c r="M41" s="26" t="s">
        <v>25</v>
      </c>
      <c r="N41" s="26" t="s">
        <v>25</v>
      </c>
      <c r="O41" s="26" t="s">
        <v>25</v>
      </c>
      <c r="P41" s="27"/>
      <c r="Q41" s="165"/>
      <c r="R41" s="27"/>
      <c r="S41" s="27"/>
    </row>
    <row r="42" ht="15.75" customHeight="1">
      <c r="A42" s="28"/>
      <c r="B42" s="29">
        <v>38.0</v>
      </c>
      <c r="C42" s="30" t="s">
        <v>128</v>
      </c>
      <c r="D42" s="30" t="s">
        <v>129</v>
      </c>
      <c r="E42" s="70" t="str">
        <f t="shared" si="2"/>
        <v>9번 중 9번 참여</v>
      </c>
      <c r="F42" s="71">
        <f t="shared" si="3"/>
        <v>1</v>
      </c>
      <c r="G42" s="26" t="s">
        <v>25</v>
      </c>
      <c r="H42" s="26" t="s">
        <v>25</v>
      </c>
      <c r="I42" s="26" t="s">
        <v>25</v>
      </c>
      <c r="J42" s="26" t="s">
        <v>25</v>
      </c>
      <c r="K42" s="26" t="s">
        <v>25</v>
      </c>
      <c r="L42" s="26" t="s">
        <v>25</v>
      </c>
      <c r="M42" s="26" t="s">
        <v>25</v>
      </c>
      <c r="N42" s="26" t="s">
        <v>25</v>
      </c>
      <c r="O42" s="26" t="s">
        <v>25</v>
      </c>
      <c r="P42" s="27"/>
      <c r="Q42" s="165"/>
      <c r="R42" s="27"/>
      <c r="S42" s="27"/>
    </row>
    <row r="43" ht="15.75" customHeight="1">
      <c r="A43" s="20"/>
      <c r="B43" s="21">
        <v>39.0</v>
      </c>
      <c r="C43" s="22" t="s">
        <v>99</v>
      </c>
      <c r="D43" s="22" t="s">
        <v>100</v>
      </c>
      <c r="E43" s="70" t="str">
        <f t="shared" si="2"/>
        <v>9번 중 9번 참여</v>
      </c>
      <c r="F43" s="71">
        <f t="shared" si="3"/>
        <v>1</v>
      </c>
      <c r="G43" s="26" t="s">
        <v>25</v>
      </c>
      <c r="H43" s="26" t="s">
        <v>25</v>
      </c>
      <c r="I43" s="26" t="s">
        <v>25</v>
      </c>
      <c r="J43" s="26" t="s">
        <v>25</v>
      </c>
      <c r="K43" s="26" t="s">
        <v>25</v>
      </c>
      <c r="L43" s="26" t="s">
        <v>25</v>
      </c>
      <c r="M43" s="26" t="s">
        <v>25</v>
      </c>
      <c r="N43" s="26" t="s">
        <v>25</v>
      </c>
      <c r="O43" s="26" t="s">
        <v>25</v>
      </c>
      <c r="P43" s="27"/>
      <c r="Q43" s="165"/>
      <c r="R43" s="27"/>
      <c r="S43" s="27"/>
    </row>
    <row r="44" ht="15.75" customHeight="1">
      <c r="A44" s="28"/>
      <c r="B44" s="29">
        <v>40.0</v>
      </c>
      <c r="C44" s="22" t="s">
        <v>349</v>
      </c>
      <c r="D44" s="22" t="s">
        <v>350</v>
      </c>
      <c r="E44" s="70" t="str">
        <f t="shared" si="2"/>
        <v>9번 중 9번 참여</v>
      </c>
      <c r="F44" s="71">
        <f t="shared" si="3"/>
        <v>1</v>
      </c>
      <c r="G44" s="26" t="s">
        <v>25</v>
      </c>
      <c r="H44" s="26" t="s">
        <v>25</v>
      </c>
      <c r="I44" s="26" t="s">
        <v>25</v>
      </c>
      <c r="J44" s="26" t="s">
        <v>25</v>
      </c>
      <c r="K44" s="26" t="s">
        <v>25</v>
      </c>
      <c r="L44" s="26" t="s">
        <v>25</v>
      </c>
      <c r="M44" s="26" t="s">
        <v>25</v>
      </c>
      <c r="N44" s="26" t="s">
        <v>25</v>
      </c>
      <c r="O44" s="26" t="s">
        <v>25</v>
      </c>
      <c r="P44" s="27"/>
      <c r="Q44" s="165"/>
      <c r="R44" s="27"/>
      <c r="S44" s="27"/>
    </row>
    <row r="45" ht="15.75" customHeight="1">
      <c r="A45" s="20"/>
      <c r="B45" s="21">
        <v>41.0</v>
      </c>
      <c r="C45" s="30" t="s">
        <v>95</v>
      </c>
      <c r="D45" s="30" t="s">
        <v>96</v>
      </c>
      <c r="E45" s="70"/>
      <c r="F45" s="71">
        <f t="shared" si="3"/>
        <v>1</v>
      </c>
      <c r="G45" s="26" t="s">
        <v>25</v>
      </c>
      <c r="H45" s="26" t="s">
        <v>25</v>
      </c>
      <c r="I45" s="26" t="s">
        <v>25</v>
      </c>
      <c r="J45" s="26" t="s">
        <v>25</v>
      </c>
      <c r="K45" s="26" t="s">
        <v>25</v>
      </c>
      <c r="L45" s="26" t="s">
        <v>25</v>
      </c>
      <c r="M45" s="26" t="s">
        <v>25</v>
      </c>
      <c r="N45" s="26" t="s">
        <v>25</v>
      </c>
      <c r="O45" s="26" t="s">
        <v>25</v>
      </c>
      <c r="P45" s="27"/>
      <c r="Q45" s="165"/>
      <c r="R45" s="27"/>
      <c r="S45" s="27"/>
    </row>
    <row r="46" ht="15.75" customHeight="1">
      <c r="A46" s="28"/>
      <c r="B46" s="29">
        <v>42.0</v>
      </c>
      <c r="C46" s="22" t="s">
        <v>97</v>
      </c>
      <c r="D46" s="22" t="s">
        <v>98</v>
      </c>
      <c r="E46" s="70" t="str">
        <f t="shared" ref="E46:E89" si="4">IF(COUNTIF(G46:O46, "완료")=0, "", COUNTIF($G$4:$O$4, "완료") &amp; "번 중 " &amp; COUNTIF(G46:O46, "완료") &amp; "번 참여")
</f>
        <v>9번 중 9번 참여</v>
      </c>
      <c r="F46" s="71">
        <f t="shared" si="3"/>
        <v>1</v>
      </c>
      <c r="G46" s="26" t="s">
        <v>25</v>
      </c>
      <c r="H46" s="26" t="s">
        <v>25</v>
      </c>
      <c r="I46" s="26" t="s">
        <v>25</v>
      </c>
      <c r="J46" s="26" t="s">
        <v>25</v>
      </c>
      <c r="K46" s="26" t="s">
        <v>25</v>
      </c>
      <c r="L46" s="26" t="s">
        <v>25</v>
      </c>
      <c r="M46" s="26" t="s">
        <v>25</v>
      </c>
      <c r="N46" s="26" t="s">
        <v>25</v>
      </c>
      <c r="O46" s="26" t="s">
        <v>25</v>
      </c>
      <c r="P46" s="27"/>
      <c r="Q46" s="165"/>
      <c r="R46" s="27"/>
      <c r="S46" s="27"/>
    </row>
    <row r="47" ht="15.75" customHeight="1">
      <c r="A47" s="20"/>
      <c r="B47" s="21">
        <v>43.0</v>
      </c>
      <c r="C47" s="30" t="s">
        <v>351</v>
      </c>
      <c r="D47" s="30" t="s">
        <v>352</v>
      </c>
      <c r="E47" s="70" t="str">
        <f t="shared" si="4"/>
        <v>9번 중 6번 참여</v>
      </c>
      <c r="F47" s="71">
        <f t="shared" si="3"/>
        <v>0.6666666667</v>
      </c>
      <c r="G47" s="26"/>
      <c r="H47" s="26" t="s">
        <v>25</v>
      </c>
      <c r="I47" s="26" t="s">
        <v>25</v>
      </c>
      <c r="J47" s="26"/>
      <c r="K47" s="26"/>
      <c r="L47" s="26" t="s">
        <v>25</v>
      </c>
      <c r="M47" s="26" t="s">
        <v>25</v>
      </c>
      <c r="N47" s="26" t="s">
        <v>25</v>
      </c>
      <c r="O47" s="26" t="s">
        <v>25</v>
      </c>
      <c r="P47" s="27"/>
      <c r="Q47" s="165"/>
      <c r="R47" s="27"/>
      <c r="S47" s="27"/>
    </row>
    <row r="48" ht="15.75" customHeight="1">
      <c r="A48" s="28"/>
      <c r="B48" s="29">
        <v>44.0</v>
      </c>
      <c r="C48" s="22" t="s">
        <v>103</v>
      </c>
      <c r="D48" s="22" t="s">
        <v>104</v>
      </c>
      <c r="E48" s="70" t="str">
        <f t="shared" si="4"/>
        <v>9번 중 9번 참여</v>
      </c>
      <c r="F48" s="71">
        <f t="shared" si="3"/>
        <v>1</v>
      </c>
      <c r="G48" s="26" t="s">
        <v>25</v>
      </c>
      <c r="H48" s="26" t="s">
        <v>25</v>
      </c>
      <c r="I48" s="26" t="s">
        <v>25</v>
      </c>
      <c r="J48" s="26" t="s">
        <v>25</v>
      </c>
      <c r="K48" s="26" t="s">
        <v>25</v>
      </c>
      <c r="L48" s="26" t="s">
        <v>25</v>
      </c>
      <c r="M48" s="26" t="s">
        <v>25</v>
      </c>
      <c r="N48" s="26" t="s">
        <v>25</v>
      </c>
      <c r="O48" s="26" t="s">
        <v>25</v>
      </c>
      <c r="P48" s="27"/>
      <c r="Q48" s="165"/>
      <c r="R48" s="27"/>
      <c r="S48" s="27"/>
    </row>
    <row r="49" ht="15.75" customHeight="1">
      <c r="A49" s="20"/>
      <c r="B49" s="21">
        <v>45.0</v>
      </c>
      <c r="C49" s="30" t="s">
        <v>353</v>
      </c>
      <c r="D49" s="30" t="s">
        <v>354</v>
      </c>
      <c r="E49" s="70" t="str">
        <f t="shared" si="4"/>
        <v>9번 중 9번 참여</v>
      </c>
      <c r="F49" s="71">
        <f t="shared" si="3"/>
        <v>1</v>
      </c>
      <c r="G49" s="26" t="s">
        <v>25</v>
      </c>
      <c r="H49" s="26" t="s">
        <v>25</v>
      </c>
      <c r="I49" s="26" t="s">
        <v>25</v>
      </c>
      <c r="J49" s="26" t="s">
        <v>25</v>
      </c>
      <c r="K49" s="26" t="s">
        <v>25</v>
      </c>
      <c r="L49" s="26" t="s">
        <v>25</v>
      </c>
      <c r="M49" s="26" t="s">
        <v>25</v>
      </c>
      <c r="N49" s="26" t="s">
        <v>25</v>
      </c>
      <c r="O49" s="26" t="s">
        <v>25</v>
      </c>
      <c r="P49" s="27"/>
      <c r="Q49" s="165"/>
      <c r="R49" s="27"/>
      <c r="S49" s="27"/>
    </row>
    <row r="50" ht="15.75" customHeight="1">
      <c r="A50" s="28"/>
      <c r="B50" s="29">
        <v>46.0</v>
      </c>
      <c r="C50" s="22" t="s">
        <v>286</v>
      </c>
      <c r="D50" s="22" t="s">
        <v>121</v>
      </c>
      <c r="E50" s="70" t="str">
        <f t="shared" si="4"/>
        <v>9번 중 9번 참여</v>
      </c>
      <c r="F50" s="71">
        <f t="shared" si="3"/>
        <v>1</v>
      </c>
      <c r="G50" s="26" t="s">
        <v>25</v>
      </c>
      <c r="H50" s="26" t="s">
        <v>25</v>
      </c>
      <c r="I50" s="26" t="s">
        <v>25</v>
      </c>
      <c r="J50" s="26" t="s">
        <v>25</v>
      </c>
      <c r="K50" s="26" t="s">
        <v>25</v>
      </c>
      <c r="L50" s="26" t="s">
        <v>25</v>
      </c>
      <c r="M50" s="26" t="s">
        <v>25</v>
      </c>
      <c r="N50" s="26" t="s">
        <v>25</v>
      </c>
      <c r="O50" s="26" t="s">
        <v>25</v>
      </c>
      <c r="P50" s="27"/>
      <c r="Q50" s="165"/>
      <c r="R50" s="27"/>
      <c r="S50" s="27"/>
    </row>
    <row r="51" ht="15.75" customHeight="1">
      <c r="A51" s="20"/>
      <c r="B51" s="21">
        <v>47.0</v>
      </c>
      <c r="C51" s="30" t="s">
        <v>101</v>
      </c>
      <c r="D51" s="30" t="s">
        <v>102</v>
      </c>
      <c r="E51" s="70" t="str">
        <f t="shared" si="4"/>
        <v>9번 중 7번 참여</v>
      </c>
      <c r="F51" s="71">
        <f t="shared" si="3"/>
        <v>0.7777777778</v>
      </c>
      <c r="G51" s="26" t="s">
        <v>25</v>
      </c>
      <c r="H51" s="26" t="s">
        <v>25</v>
      </c>
      <c r="I51" s="26" t="s">
        <v>25</v>
      </c>
      <c r="J51" s="26"/>
      <c r="K51" s="26"/>
      <c r="L51" s="26" t="s">
        <v>25</v>
      </c>
      <c r="M51" s="26" t="s">
        <v>25</v>
      </c>
      <c r="N51" s="26" t="s">
        <v>25</v>
      </c>
      <c r="O51" s="26" t="s">
        <v>25</v>
      </c>
      <c r="P51" s="27"/>
      <c r="Q51" s="165"/>
      <c r="R51" s="27"/>
      <c r="S51" s="27"/>
    </row>
    <row r="52" ht="15.75" customHeight="1">
      <c r="A52" s="28"/>
      <c r="B52" s="29">
        <v>48.0</v>
      </c>
      <c r="C52" s="22" t="s">
        <v>382</v>
      </c>
      <c r="D52" s="22" t="s">
        <v>383</v>
      </c>
      <c r="E52" s="70" t="str">
        <f t="shared" si="4"/>
        <v>9번 중 1번 참여</v>
      </c>
      <c r="F52" s="71">
        <f t="shared" si="3"/>
        <v>0.1111111111</v>
      </c>
      <c r="G52" s="26"/>
      <c r="H52" s="26"/>
      <c r="I52" s="26"/>
      <c r="J52" s="26" t="s">
        <v>25</v>
      </c>
      <c r="K52" s="26"/>
      <c r="L52" s="26"/>
      <c r="M52" s="26"/>
      <c r="N52" s="26"/>
      <c r="O52" s="26"/>
      <c r="P52" s="27"/>
      <c r="Q52" s="165"/>
      <c r="R52" s="27"/>
      <c r="S52" s="27"/>
    </row>
    <row r="53" ht="15.75" customHeight="1">
      <c r="A53" s="20"/>
      <c r="B53" s="21">
        <v>49.0</v>
      </c>
      <c r="C53" s="30" t="s">
        <v>359</v>
      </c>
      <c r="D53" s="30" t="s">
        <v>360</v>
      </c>
      <c r="E53" s="70" t="str">
        <f t="shared" si="4"/>
        <v>9번 중 5번 참여</v>
      </c>
      <c r="F53" s="71">
        <f t="shared" si="3"/>
        <v>0.5555555556</v>
      </c>
      <c r="G53" s="26" t="s">
        <v>25</v>
      </c>
      <c r="H53" s="26" t="s">
        <v>80</v>
      </c>
      <c r="I53" s="26" t="s">
        <v>25</v>
      </c>
      <c r="J53" s="26" t="s">
        <v>25</v>
      </c>
      <c r="K53" s="26" t="s">
        <v>25</v>
      </c>
      <c r="L53" s="26" t="s">
        <v>25</v>
      </c>
      <c r="M53" s="26" t="s">
        <v>80</v>
      </c>
      <c r="N53" s="26"/>
      <c r="O53" s="26"/>
      <c r="P53" s="27"/>
      <c r="Q53" s="165"/>
      <c r="R53" s="27"/>
      <c r="S53" s="27"/>
    </row>
    <row r="54" ht="15.75" customHeight="1">
      <c r="A54" s="28"/>
      <c r="B54" s="29">
        <v>50.0</v>
      </c>
      <c r="C54" s="22" t="s">
        <v>361</v>
      </c>
      <c r="D54" s="22" t="s">
        <v>362</v>
      </c>
      <c r="E54" s="70" t="str">
        <f t="shared" si="4"/>
        <v>9번 중 8번 참여</v>
      </c>
      <c r="F54" s="71">
        <f t="shared" si="3"/>
        <v>0.8888888889</v>
      </c>
      <c r="G54" s="26" t="s">
        <v>25</v>
      </c>
      <c r="H54" s="26" t="s">
        <v>25</v>
      </c>
      <c r="I54" s="26" t="s">
        <v>25</v>
      </c>
      <c r="J54" s="26" t="s">
        <v>25</v>
      </c>
      <c r="K54" s="26"/>
      <c r="L54" s="26" t="s">
        <v>25</v>
      </c>
      <c r="M54" s="26" t="s">
        <v>25</v>
      </c>
      <c r="N54" s="26" t="s">
        <v>25</v>
      </c>
      <c r="O54" s="26" t="s">
        <v>25</v>
      </c>
      <c r="P54" s="27"/>
      <c r="Q54" s="165"/>
      <c r="R54" s="27"/>
      <c r="S54" s="27"/>
    </row>
    <row r="55" ht="15.75" customHeight="1">
      <c r="A55" s="20"/>
      <c r="B55" s="21">
        <v>51.0</v>
      </c>
      <c r="C55" s="30" t="s">
        <v>111</v>
      </c>
      <c r="D55" s="30" t="s">
        <v>112</v>
      </c>
      <c r="E55" s="70" t="str">
        <f t="shared" si="4"/>
        <v>9번 중 9번 참여</v>
      </c>
      <c r="F55" s="71">
        <f t="shared" si="3"/>
        <v>1</v>
      </c>
      <c r="G55" s="26" t="s">
        <v>25</v>
      </c>
      <c r="H55" s="26" t="s">
        <v>25</v>
      </c>
      <c r="I55" s="26" t="s">
        <v>25</v>
      </c>
      <c r="J55" s="26" t="s">
        <v>25</v>
      </c>
      <c r="K55" s="26" t="s">
        <v>25</v>
      </c>
      <c r="L55" s="26" t="s">
        <v>25</v>
      </c>
      <c r="M55" s="26" t="s">
        <v>25</v>
      </c>
      <c r="N55" s="26" t="s">
        <v>25</v>
      </c>
      <c r="O55" s="26" t="s">
        <v>25</v>
      </c>
      <c r="P55" s="27"/>
      <c r="Q55" s="165"/>
      <c r="R55" s="27"/>
      <c r="S55" s="27"/>
    </row>
    <row r="56" ht="15.75" customHeight="1">
      <c r="A56" s="28"/>
      <c r="B56" s="29">
        <v>52.0</v>
      </c>
      <c r="C56" s="22" t="s">
        <v>113</v>
      </c>
      <c r="D56" s="22" t="s">
        <v>114</v>
      </c>
      <c r="E56" s="70" t="str">
        <f t="shared" si="4"/>
        <v>9번 중 9번 참여</v>
      </c>
      <c r="F56" s="71">
        <f t="shared" si="3"/>
        <v>1</v>
      </c>
      <c r="G56" s="26" t="s">
        <v>25</v>
      </c>
      <c r="H56" s="26" t="s">
        <v>25</v>
      </c>
      <c r="I56" s="26" t="s">
        <v>25</v>
      </c>
      <c r="J56" s="26" t="s">
        <v>25</v>
      </c>
      <c r="K56" s="26" t="s">
        <v>25</v>
      </c>
      <c r="L56" s="26" t="s">
        <v>25</v>
      </c>
      <c r="M56" s="26" t="s">
        <v>25</v>
      </c>
      <c r="N56" s="26" t="s">
        <v>25</v>
      </c>
      <c r="O56" s="26" t="s">
        <v>25</v>
      </c>
      <c r="P56" s="27"/>
      <c r="Q56" s="165"/>
      <c r="R56" s="27"/>
      <c r="S56" s="27"/>
    </row>
    <row r="57" ht="15.75" customHeight="1">
      <c r="A57" s="20"/>
      <c r="B57" s="21">
        <v>53.0</v>
      </c>
      <c r="C57" s="30" t="s">
        <v>363</v>
      </c>
      <c r="D57" s="30" t="s">
        <v>364</v>
      </c>
      <c r="E57" s="70" t="str">
        <f t="shared" si="4"/>
        <v>9번 중 8번 참여</v>
      </c>
      <c r="F57" s="71">
        <f t="shared" si="3"/>
        <v>0.8888888889</v>
      </c>
      <c r="G57" s="26" t="s">
        <v>25</v>
      </c>
      <c r="H57" s="26" t="s">
        <v>25</v>
      </c>
      <c r="I57" s="26" t="s">
        <v>25</v>
      </c>
      <c r="J57" s="26" t="s">
        <v>25</v>
      </c>
      <c r="K57" s="26"/>
      <c r="L57" s="26" t="s">
        <v>25</v>
      </c>
      <c r="M57" s="26" t="s">
        <v>25</v>
      </c>
      <c r="N57" s="26" t="s">
        <v>25</v>
      </c>
      <c r="O57" s="26" t="s">
        <v>25</v>
      </c>
      <c r="P57" s="27"/>
      <c r="Q57" s="165"/>
      <c r="R57" s="27"/>
      <c r="S57" s="27"/>
    </row>
    <row r="58" ht="15.75" customHeight="1">
      <c r="A58" s="28"/>
      <c r="B58" s="29">
        <v>54.0</v>
      </c>
      <c r="C58" s="22" t="s">
        <v>132</v>
      </c>
      <c r="D58" s="22" t="s">
        <v>133</v>
      </c>
      <c r="E58" s="70" t="str">
        <f t="shared" si="4"/>
        <v>9번 중 9번 참여</v>
      </c>
      <c r="F58" s="71">
        <f t="shared" si="3"/>
        <v>1</v>
      </c>
      <c r="G58" s="26" t="s">
        <v>25</v>
      </c>
      <c r="H58" s="26" t="s">
        <v>25</v>
      </c>
      <c r="I58" s="26" t="s">
        <v>25</v>
      </c>
      <c r="J58" s="26" t="s">
        <v>25</v>
      </c>
      <c r="K58" s="26" t="s">
        <v>25</v>
      </c>
      <c r="L58" s="26" t="s">
        <v>25</v>
      </c>
      <c r="M58" s="26" t="s">
        <v>25</v>
      </c>
      <c r="N58" s="26" t="s">
        <v>25</v>
      </c>
      <c r="O58" s="26" t="s">
        <v>25</v>
      </c>
      <c r="P58" s="27"/>
      <c r="Q58" s="165"/>
      <c r="R58" s="27"/>
      <c r="S58" s="27"/>
    </row>
    <row r="59" ht="15.75" customHeight="1">
      <c r="A59" s="20" t="s">
        <v>456</v>
      </c>
      <c r="B59" s="21">
        <v>55.0</v>
      </c>
      <c r="C59" s="30" t="s">
        <v>285</v>
      </c>
      <c r="D59" s="30" t="s">
        <v>119</v>
      </c>
      <c r="E59" s="70" t="str">
        <f t="shared" si="4"/>
        <v>9번 중 9번 참여</v>
      </c>
      <c r="F59" s="71">
        <f t="shared" si="3"/>
        <v>1</v>
      </c>
      <c r="G59" s="26" t="s">
        <v>25</v>
      </c>
      <c r="H59" s="26" t="s">
        <v>25</v>
      </c>
      <c r="I59" s="26" t="s">
        <v>25</v>
      </c>
      <c r="J59" s="26" t="s">
        <v>25</v>
      </c>
      <c r="K59" s="26" t="s">
        <v>25</v>
      </c>
      <c r="L59" s="26" t="s">
        <v>25</v>
      </c>
      <c r="M59" s="26" t="s">
        <v>25</v>
      </c>
      <c r="N59" s="26" t="s">
        <v>25</v>
      </c>
      <c r="O59" s="26" t="s">
        <v>25</v>
      </c>
      <c r="P59" s="27"/>
      <c r="Q59" s="165"/>
      <c r="R59" s="27"/>
      <c r="S59" s="27"/>
    </row>
    <row r="60" ht="15.75" customHeight="1">
      <c r="A60" s="28"/>
      <c r="B60" s="29">
        <v>56.0</v>
      </c>
      <c r="C60" s="22" t="s">
        <v>365</v>
      </c>
      <c r="D60" s="22" t="s">
        <v>366</v>
      </c>
      <c r="E60" s="70" t="str">
        <f t="shared" si="4"/>
        <v>9번 중 8번 참여</v>
      </c>
      <c r="F60" s="71">
        <f t="shared" si="3"/>
        <v>0.8888888889</v>
      </c>
      <c r="G60" s="26" t="s">
        <v>25</v>
      </c>
      <c r="H60" s="26" t="s">
        <v>25</v>
      </c>
      <c r="I60" s="26" t="s">
        <v>25</v>
      </c>
      <c r="J60" s="26" t="s">
        <v>25</v>
      </c>
      <c r="K60" s="26" t="s">
        <v>25</v>
      </c>
      <c r="L60" s="26"/>
      <c r="M60" s="26" t="s">
        <v>25</v>
      </c>
      <c r="N60" s="26" t="s">
        <v>25</v>
      </c>
      <c r="O60" s="26" t="s">
        <v>25</v>
      </c>
      <c r="P60" s="27"/>
      <c r="Q60" s="165"/>
      <c r="R60" s="27"/>
      <c r="S60" s="27"/>
    </row>
    <row r="61" ht="15.75" customHeight="1">
      <c r="A61" s="20"/>
      <c r="B61" s="21">
        <v>57.0</v>
      </c>
      <c r="C61" s="42" t="s">
        <v>28</v>
      </c>
      <c r="D61" s="42" t="s">
        <v>70</v>
      </c>
      <c r="E61" s="70" t="str">
        <f t="shared" si="4"/>
        <v>9번 중 9번 참여</v>
      </c>
      <c r="F61" s="71">
        <f t="shared" si="3"/>
        <v>1</v>
      </c>
      <c r="G61" s="26" t="s">
        <v>25</v>
      </c>
      <c r="H61" s="26" t="s">
        <v>25</v>
      </c>
      <c r="I61" s="26" t="s">
        <v>25</v>
      </c>
      <c r="J61" s="26" t="s">
        <v>25</v>
      </c>
      <c r="K61" s="26" t="s">
        <v>25</v>
      </c>
      <c r="L61" s="26" t="s">
        <v>25</v>
      </c>
      <c r="M61" s="26" t="s">
        <v>25</v>
      </c>
      <c r="N61" s="26" t="s">
        <v>25</v>
      </c>
      <c r="O61" s="26" t="s">
        <v>25</v>
      </c>
      <c r="P61" s="27"/>
      <c r="Q61" s="165"/>
      <c r="R61" s="27"/>
      <c r="S61" s="27"/>
    </row>
    <row r="62" ht="15.75" customHeight="1">
      <c r="A62" s="28"/>
      <c r="B62" s="29">
        <v>58.0</v>
      </c>
      <c r="C62" s="30" t="s">
        <v>371</v>
      </c>
      <c r="D62" s="30" t="s">
        <v>108</v>
      </c>
      <c r="E62" s="70" t="str">
        <f t="shared" si="4"/>
        <v>9번 중 9번 참여</v>
      </c>
      <c r="F62" s="71">
        <f t="shared" si="3"/>
        <v>1</v>
      </c>
      <c r="G62" s="26" t="s">
        <v>25</v>
      </c>
      <c r="H62" s="26" t="s">
        <v>25</v>
      </c>
      <c r="I62" s="26" t="s">
        <v>25</v>
      </c>
      <c r="J62" s="26" t="s">
        <v>25</v>
      </c>
      <c r="K62" s="26" t="s">
        <v>25</v>
      </c>
      <c r="L62" s="26" t="s">
        <v>25</v>
      </c>
      <c r="M62" s="26" t="s">
        <v>25</v>
      </c>
      <c r="N62" s="26" t="s">
        <v>25</v>
      </c>
      <c r="O62" s="26" t="s">
        <v>25</v>
      </c>
      <c r="P62" s="27"/>
      <c r="Q62" s="165"/>
      <c r="R62" s="27"/>
      <c r="S62" s="27"/>
    </row>
    <row r="63" ht="15.75" customHeight="1">
      <c r="A63" s="20"/>
      <c r="B63" s="21">
        <v>59.0</v>
      </c>
      <c r="C63" s="22" t="s">
        <v>372</v>
      </c>
      <c r="D63" s="22" t="s">
        <v>139</v>
      </c>
      <c r="E63" s="70" t="str">
        <f t="shared" si="4"/>
        <v>9번 중 9번 참여</v>
      </c>
      <c r="F63" s="71">
        <f t="shared" si="3"/>
        <v>1</v>
      </c>
      <c r="G63" s="26" t="s">
        <v>25</v>
      </c>
      <c r="H63" s="26" t="s">
        <v>25</v>
      </c>
      <c r="I63" s="26" t="s">
        <v>25</v>
      </c>
      <c r="J63" s="26" t="s">
        <v>25</v>
      </c>
      <c r="K63" s="26" t="s">
        <v>25</v>
      </c>
      <c r="L63" s="26" t="s">
        <v>25</v>
      </c>
      <c r="M63" s="26" t="s">
        <v>25</v>
      </c>
      <c r="N63" s="26" t="s">
        <v>25</v>
      </c>
      <c r="O63" s="26" t="s">
        <v>25</v>
      </c>
      <c r="P63" s="27"/>
      <c r="Q63" s="165"/>
      <c r="R63" s="27"/>
      <c r="S63" s="27"/>
    </row>
    <row r="64" ht="15.75" customHeight="1">
      <c r="A64" s="28"/>
      <c r="B64" s="29">
        <v>60.0</v>
      </c>
      <c r="C64" s="30" t="s">
        <v>373</v>
      </c>
      <c r="D64" s="30" t="s">
        <v>137</v>
      </c>
      <c r="E64" s="70" t="str">
        <f t="shared" si="4"/>
        <v>9번 중 9번 참여</v>
      </c>
      <c r="F64" s="71">
        <f t="shared" si="3"/>
        <v>1</v>
      </c>
      <c r="G64" s="26" t="s">
        <v>25</v>
      </c>
      <c r="H64" s="26" t="s">
        <v>25</v>
      </c>
      <c r="I64" s="26" t="s">
        <v>25</v>
      </c>
      <c r="J64" s="26" t="s">
        <v>25</v>
      </c>
      <c r="K64" s="26" t="s">
        <v>25</v>
      </c>
      <c r="L64" s="26" t="s">
        <v>25</v>
      </c>
      <c r="M64" s="26" t="s">
        <v>25</v>
      </c>
      <c r="N64" s="26" t="s">
        <v>25</v>
      </c>
      <c r="O64" s="26" t="s">
        <v>25</v>
      </c>
      <c r="P64" s="27"/>
      <c r="Q64" s="165"/>
      <c r="R64" s="27"/>
      <c r="S64" s="27"/>
    </row>
    <row r="65" ht="15.75" customHeight="1">
      <c r="A65" s="20"/>
      <c r="B65" s="21">
        <v>61.0</v>
      </c>
      <c r="C65" s="22" t="s">
        <v>142</v>
      </c>
      <c r="D65" s="22" t="s">
        <v>143</v>
      </c>
      <c r="E65" s="70" t="str">
        <f t="shared" si="4"/>
        <v>9번 중 7번 참여</v>
      </c>
      <c r="F65" s="71">
        <f t="shared" si="3"/>
        <v>0.7777777778</v>
      </c>
      <c r="G65" s="26" t="s">
        <v>25</v>
      </c>
      <c r="H65" s="26" t="s">
        <v>25</v>
      </c>
      <c r="I65" s="26" t="s">
        <v>25</v>
      </c>
      <c r="J65" s="26" t="s">
        <v>25</v>
      </c>
      <c r="K65" s="26" t="s">
        <v>25</v>
      </c>
      <c r="L65" s="26" t="s">
        <v>25</v>
      </c>
      <c r="M65" s="26" t="s">
        <v>25</v>
      </c>
      <c r="N65" s="26"/>
      <c r="O65" s="26"/>
      <c r="P65" s="27"/>
      <c r="Q65" s="165"/>
      <c r="R65" s="27"/>
      <c r="S65" s="27"/>
    </row>
    <row r="66" ht="15.75" customHeight="1">
      <c r="A66" s="28"/>
      <c r="B66" s="29">
        <v>62.0</v>
      </c>
      <c r="C66" s="30" t="s">
        <v>144</v>
      </c>
      <c r="D66" s="30" t="s">
        <v>145</v>
      </c>
      <c r="E66" s="70" t="str">
        <f t="shared" si="4"/>
        <v>9번 중 7번 참여</v>
      </c>
      <c r="F66" s="71">
        <f t="shared" si="3"/>
        <v>0.7777777778</v>
      </c>
      <c r="G66" s="26" t="s">
        <v>25</v>
      </c>
      <c r="H66" s="26" t="s">
        <v>25</v>
      </c>
      <c r="I66" s="26" t="s">
        <v>25</v>
      </c>
      <c r="J66" s="26" t="s">
        <v>25</v>
      </c>
      <c r="K66" s="26" t="s">
        <v>25</v>
      </c>
      <c r="L66" s="26" t="s">
        <v>25</v>
      </c>
      <c r="M66" s="26" t="s">
        <v>25</v>
      </c>
      <c r="N66" s="26"/>
      <c r="O66" s="26"/>
      <c r="P66" s="27"/>
      <c r="Q66" s="165"/>
      <c r="R66" s="27"/>
      <c r="S66" s="27"/>
    </row>
    <row r="67" ht="15.75" customHeight="1">
      <c r="A67" s="20"/>
      <c r="B67" s="21">
        <v>63.0</v>
      </c>
      <c r="C67" s="22" t="s">
        <v>146</v>
      </c>
      <c r="D67" s="22" t="s">
        <v>147</v>
      </c>
      <c r="E67" s="70" t="str">
        <f t="shared" si="4"/>
        <v>9번 중 9번 참여</v>
      </c>
      <c r="F67" s="71">
        <f t="shared" si="3"/>
        <v>1</v>
      </c>
      <c r="G67" s="26" t="s">
        <v>25</v>
      </c>
      <c r="H67" s="26" t="s">
        <v>25</v>
      </c>
      <c r="I67" s="26" t="s">
        <v>25</v>
      </c>
      <c r="J67" s="26" t="s">
        <v>25</v>
      </c>
      <c r="K67" s="26" t="s">
        <v>25</v>
      </c>
      <c r="L67" s="26" t="s">
        <v>25</v>
      </c>
      <c r="M67" s="26" t="s">
        <v>25</v>
      </c>
      <c r="N67" s="26" t="s">
        <v>25</v>
      </c>
      <c r="O67" s="26" t="s">
        <v>25</v>
      </c>
      <c r="P67" s="27"/>
      <c r="Q67" s="165"/>
      <c r="R67" s="27"/>
      <c r="S67" s="27"/>
    </row>
    <row r="68" ht="15.75" customHeight="1">
      <c r="A68" s="28"/>
      <c r="B68" s="29">
        <v>64.0</v>
      </c>
      <c r="C68" s="30" t="s">
        <v>148</v>
      </c>
      <c r="D68" s="30" t="s">
        <v>149</v>
      </c>
      <c r="E68" s="70" t="str">
        <f t="shared" si="4"/>
        <v>9번 중 9번 참여</v>
      </c>
      <c r="F68" s="71">
        <f t="shared" si="3"/>
        <v>1</v>
      </c>
      <c r="G68" s="26" t="s">
        <v>25</v>
      </c>
      <c r="H68" s="26" t="s">
        <v>25</v>
      </c>
      <c r="I68" s="26" t="s">
        <v>25</v>
      </c>
      <c r="J68" s="26" t="s">
        <v>25</v>
      </c>
      <c r="K68" s="26" t="s">
        <v>25</v>
      </c>
      <c r="L68" s="26" t="s">
        <v>25</v>
      </c>
      <c r="M68" s="26" t="s">
        <v>25</v>
      </c>
      <c r="N68" s="26" t="s">
        <v>25</v>
      </c>
      <c r="O68" s="26" t="s">
        <v>25</v>
      </c>
      <c r="P68" s="27"/>
      <c r="Q68" s="165"/>
      <c r="R68" s="27"/>
      <c r="S68" s="27"/>
    </row>
    <row r="69" ht="15.75" customHeight="1">
      <c r="A69" s="20"/>
      <c r="B69" s="21">
        <v>65.0</v>
      </c>
      <c r="C69" s="22" t="s">
        <v>380</v>
      </c>
      <c r="D69" s="22" t="s">
        <v>381</v>
      </c>
      <c r="E69" s="70" t="str">
        <f t="shared" si="4"/>
        <v>9번 중 9번 참여</v>
      </c>
      <c r="F69" s="71">
        <f t="shared" si="3"/>
        <v>1</v>
      </c>
      <c r="G69" s="26" t="s">
        <v>25</v>
      </c>
      <c r="H69" s="26" t="s">
        <v>25</v>
      </c>
      <c r="I69" s="26" t="s">
        <v>25</v>
      </c>
      <c r="J69" s="26" t="s">
        <v>25</v>
      </c>
      <c r="K69" s="26" t="s">
        <v>25</v>
      </c>
      <c r="L69" s="26" t="s">
        <v>25</v>
      </c>
      <c r="M69" s="26" t="s">
        <v>25</v>
      </c>
      <c r="N69" s="26" t="s">
        <v>25</v>
      </c>
      <c r="O69" s="26" t="s">
        <v>25</v>
      </c>
      <c r="P69" s="27"/>
      <c r="Q69" s="165"/>
      <c r="R69" s="27"/>
      <c r="S69" s="27"/>
    </row>
    <row r="70" ht="15.75" customHeight="1">
      <c r="A70" s="28"/>
      <c r="B70" s="29">
        <v>66.0</v>
      </c>
      <c r="C70" s="30" t="s">
        <v>140</v>
      </c>
      <c r="D70" s="30" t="s">
        <v>141</v>
      </c>
      <c r="E70" s="70" t="str">
        <f t="shared" si="4"/>
        <v>9번 중 9번 참여</v>
      </c>
      <c r="F70" s="71">
        <f t="shared" si="3"/>
        <v>1</v>
      </c>
      <c r="G70" s="26" t="s">
        <v>25</v>
      </c>
      <c r="H70" s="26" t="s">
        <v>25</v>
      </c>
      <c r="I70" s="26" t="s">
        <v>25</v>
      </c>
      <c r="J70" s="26" t="s">
        <v>25</v>
      </c>
      <c r="K70" s="26" t="s">
        <v>25</v>
      </c>
      <c r="L70" s="26" t="s">
        <v>25</v>
      </c>
      <c r="M70" s="26" t="s">
        <v>25</v>
      </c>
      <c r="N70" s="26" t="s">
        <v>25</v>
      </c>
      <c r="O70" s="26" t="s">
        <v>25</v>
      </c>
      <c r="P70" s="27"/>
      <c r="Q70" s="165"/>
      <c r="R70" s="27"/>
      <c r="S70" s="27"/>
    </row>
    <row r="71" ht="15.75" customHeight="1">
      <c r="A71" s="20"/>
      <c r="B71" s="21">
        <v>67.0</v>
      </c>
      <c r="C71" s="22" t="s">
        <v>150</v>
      </c>
      <c r="D71" s="149" t="s">
        <v>151</v>
      </c>
      <c r="E71" s="70" t="str">
        <f t="shared" si="4"/>
        <v>9번 중 8번 참여</v>
      </c>
      <c r="F71" s="71">
        <f t="shared" si="3"/>
        <v>0.8888888889</v>
      </c>
      <c r="G71" s="26" t="s">
        <v>25</v>
      </c>
      <c r="H71" s="26" t="s">
        <v>25</v>
      </c>
      <c r="I71" s="26" t="s">
        <v>25</v>
      </c>
      <c r="J71" s="26" t="s">
        <v>25</v>
      </c>
      <c r="K71" s="26" t="s">
        <v>25</v>
      </c>
      <c r="L71" s="26" t="s">
        <v>25</v>
      </c>
      <c r="M71" s="26" t="s">
        <v>25</v>
      </c>
      <c r="N71" s="26" t="s">
        <v>25</v>
      </c>
      <c r="O71" s="26"/>
      <c r="P71" s="27"/>
      <c r="Q71" s="165"/>
      <c r="R71" s="27"/>
      <c r="S71" s="27"/>
    </row>
    <row r="72" ht="15.75" customHeight="1">
      <c r="A72" s="28"/>
      <c r="B72" s="29">
        <v>68.0</v>
      </c>
      <c r="C72" s="30" t="s">
        <v>152</v>
      </c>
      <c r="D72" s="30" t="s">
        <v>153</v>
      </c>
      <c r="E72" s="70" t="str">
        <f t="shared" si="4"/>
        <v>9번 중 9번 참여</v>
      </c>
      <c r="F72" s="71">
        <f t="shared" si="3"/>
        <v>1</v>
      </c>
      <c r="G72" s="26" t="s">
        <v>25</v>
      </c>
      <c r="H72" s="26" t="s">
        <v>25</v>
      </c>
      <c r="I72" s="26" t="s">
        <v>25</v>
      </c>
      <c r="J72" s="26" t="s">
        <v>25</v>
      </c>
      <c r="K72" s="26" t="s">
        <v>25</v>
      </c>
      <c r="L72" s="26" t="s">
        <v>25</v>
      </c>
      <c r="M72" s="26" t="s">
        <v>25</v>
      </c>
      <c r="N72" s="26" t="s">
        <v>25</v>
      </c>
      <c r="O72" s="26" t="s">
        <v>25</v>
      </c>
      <c r="P72" s="27"/>
      <c r="Q72" s="165"/>
      <c r="R72" s="27"/>
      <c r="S72" s="27"/>
    </row>
    <row r="73" ht="15.75" customHeight="1">
      <c r="A73" s="20"/>
      <c r="B73" s="21">
        <v>69.0</v>
      </c>
      <c r="C73" s="22" t="s">
        <v>388</v>
      </c>
      <c r="D73" s="30" t="s">
        <v>389</v>
      </c>
      <c r="E73" s="70" t="str">
        <f t="shared" si="4"/>
        <v>9번 중 8번 참여</v>
      </c>
      <c r="F73" s="71">
        <f t="shared" si="3"/>
        <v>0.8888888889</v>
      </c>
      <c r="G73" s="26" t="s">
        <v>25</v>
      </c>
      <c r="H73" s="26" t="s">
        <v>25</v>
      </c>
      <c r="I73" s="26" t="s">
        <v>25</v>
      </c>
      <c r="J73" s="26" t="s">
        <v>25</v>
      </c>
      <c r="K73" s="26" t="s">
        <v>80</v>
      </c>
      <c r="L73" s="26" t="s">
        <v>25</v>
      </c>
      <c r="M73" s="26" t="s">
        <v>25</v>
      </c>
      <c r="N73" s="26" t="s">
        <v>25</v>
      </c>
      <c r="O73" s="26" t="s">
        <v>25</v>
      </c>
      <c r="P73" s="27"/>
      <c r="Q73" s="165"/>
      <c r="R73" s="27"/>
      <c r="S73" s="27"/>
    </row>
    <row r="74" ht="15.75" customHeight="1">
      <c r="A74" s="28"/>
      <c r="B74" s="29">
        <v>70.0</v>
      </c>
      <c r="C74" s="30" t="s">
        <v>156</v>
      </c>
      <c r="D74" s="30" t="s">
        <v>157</v>
      </c>
      <c r="E74" s="70" t="str">
        <f t="shared" si="4"/>
        <v>9번 중 9번 참여</v>
      </c>
      <c r="F74" s="71">
        <f t="shared" si="3"/>
        <v>1</v>
      </c>
      <c r="G74" s="26" t="s">
        <v>25</v>
      </c>
      <c r="H74" s="26" t="s">
        <v>25</v>
      </c>
      <c r="I74" s="26" t="s">
        <v>25</v>
      </c>
      <c r="J74" s="26" t="s">
        <v>25</v>
      </c>
      <c r="K74" s="26" t="s">
        <v>25</v>
      </c>
      <c r="L74" s="26" t="s">
        <v>25</v>
      </c>
      <c r="M74" s="26" t="s">
        <v>25</v>
      </c>
      <c r="N74" s="26" t="s">
        <v>25</v>
      </c>
      <c r="O74" s="26" t="s">
        <v>25</v>
      </c>
      <c r="P74" s="27"/>
      <c r="Q74" s="165"/>
      <c r="R74" s="27"/>
      <c r="S74" s="27"/>
    </row>
    <row r="75" ht="15.75" customHeight="1">
      <c r="A75" s="20"/>
      <c r="B75" s="21">
        <v>71.0</v>
      </c>
      <c r="C75" s="39" t="s">
        <v>427</v>
      </c>
      <c r="D75" s="39" t="s">
        <v>428</v>
      </c>
      <c r="E75" s="70" t="str">
        <f t="shared" si="4"/>
        <v>9번 중 8번 참여</v>
      </c>
      <c r="F75" s="71">
        <f t="shared" si="3"/>
        <v>0.8888888889</v>
      </c>
      <c r="G75" s="26"/>
      <c r="H75" s="26" t="s">
        <v>25</v>
      </c>
      <c r="I75" s="26" t="s">
        <v>25</v>
      </c>
      <c r="J75" s="26" t="s">
        <v>25</v>
      </c>
      <c r="K75" s="26" t="s">
        <v>25</v>
      </c>
      <c r="L75" s="26" t="s">
        <v>25</v>
      </c>
      <c r="M75" s="26" t="s">
        <v>25</v>
      </c>
      <c r="N75" s="26" t="s">
        <v>25</v>
      </c>
      <c r="O75" s="26" t="s">
        <v>25</v>
      </c>
      <c r="P75" s="27"/>
      <c r="Q75" s="165"/>
      <c r="R75" s="27"/>
      <c r="S75" s="27"/>
    </row>
    <row r="76" ht="15.75" customHeight="1">
      <c r="A76" s="28"/>
      <c r="B76" s="29">
        <v>72.0</v>
      </c>
      <c r="C76" s="30" t="s">
        <v>457</v>
      </c>
      <c r="D76" s="30" t="s">
        <v>430</v>
      </c>
      <c r="E76" s="70" t="str">
        <f t="shared" si="4"/>
        <v>9번 중 4번 참여</v>
      </c>
      <c r="F76" s="71">
        <f t="shared" si="3"/>
        <v>0.4444444444</v>
      </c>
      <c r="G76" s="26"/>
      <c r="H76" s="26" t="s">
        <v>25</v>
      </c>
      <c r="I76" s="26" t="s">
        <v>25</v>
      </c>
      <c r="J76" s="26"/>
      <c r="K76" s="26" t="s">
        <v>25</v>
      </c>
      <c r="L76" s="26" t="s">
        <v>25</v>
      </c>
      <c r="M76" s="26"/>
      <c r="N76" s="26"/>
      <c r="O76" s="26"/>
      <c r="P76" s="27"/>
      <c r="Q76" s="165"/>
      <c r="R76" s="27"/>
      <c r="S76" s="27"/>
    </row>
    <row r="77" ht="15.75" customHeight="1">
      <c r="A77" s="20"/>
      <c r="B77" s="21">
        <v>73.0</v>
      </c>
      <c r="C77" s="22" t="s">
        <v>162</v>
      </c>
      <c r="D77" s="22" t="s">
        <v>163</v>
      </c>
      <c r="E77" s="70" t="str">
        <f t="shared" si="4"/>
        <v>9번 중 9번 참여</v>
      </c>
      <c r="F77" s="71">
        <f t="shared" si="3"/>
        <v>1</v>
      </c>
      <c r="G77" s="26" t="s">
        <v>25</v>
      </c>
      <c r="H77" s="26" t="s">
        <v>25</v>
      </c>
      <c r="I77" s="26" t="s">
        <v>25</v>
      </c>
      <c r="J77" s="26" t="s">
        <v>25</v>
      </c>
      <c r="K77" s="26" t="s">
        <v>25</v>
      </c>
      <c r="L77" s="26" t="s">
        <v>25</v>
      </c>
      <c r="M77" s="26" t="s">
        <v>25</v>
      </c>
      <c r="N77" s="26" t="s">
        <v>25</v>
      </c>
      <c r="O77" s="26" t="s">
        <v>25</v>
      </c>
      <c r="P77" s="27"/>
      <c r="Q77" s="165"/>
      <c r="R77" s="27"/>
      <c r="S77" s="27"/>
    </row>
    <row r="78" ht="15.75" customHeight="1">
      <c r="A78" s="28"/>
      <c r="B78" s="29">
        <v>74.0</v>
      </c>
      <c r="C78" s="22" t="s">
        <v>164</v>
      </c>
      <c r="D78" s="22" t="s">
        <v>165</v>
      </c>
      <c r="E78" s="70" t="str">
        <f t="shared" si="4"/>
        <v>9번 중 9번 참여</v>
      </c>
      <c r="F78" s="71">
        <f t="shared" si="3"/>
        <v>1</v>
      </c>
      <c r="G78" s="26" t="s">
        <v>25</v>
      </c>
      <c r="H78" s="26" t="s">
        <v>25</v>
      </c>
      <c r="I78" s="26" t="s">
        <v>25</v>
      </c>
      <c r="J78" s="26" t="s">
        <v>25</v>
      </c>
      <c r="K78" s="26" t="s">
        <v>25</v>
      </c>
      <c r="L78" s="26" t="s">
        <v>25</v>
      </c>
      <c r="M78" s="26" t="s">
        <v>25</v>
      </c>
      <c r="N78" s="26" t="s">
        <v>25</v>
      </c>
      <c r="O78" s="26" t="s">
        <v>25</v>
      </c>
      <c r="P78" s="27"/>
      <c r="Q78" s="165"/>
      <c r="R78" s="27"/>
      <c r="S78" s="27"/>
    </row>
    <row r="79" ht="15.75" customHeight="1">
      <c r="A79" s="20"/>
      <c r="B79" s="21">
        <v>75.0</v>
      </c>
      <c r="C79" s="22" t="s">
        <v>66</v>
      </c>
      <c r="D79" s="30" t="s">
        <v>67</v>
      </c>
      <c r="E79" s="70" t="str">
        <f t="shared" si="4"/>
        <v>9번 중 9번 참여</v>
      </c>
      <c r="F79" s="71">
        <f t="shared" si="3"/>
        <v>1</v>
      </c>
      <c r="G79" s="26" t="s">
        <v>25</v>
      </c>
      <c r="H79" s="26" t="s">
        <v>25</v>
      </c>
      <c r="I79" s="26" t="s">
        <v>25</v>
      </c>
      <c r="J79" s="26" t="s">
        <v>25</v>
      </c>
      <c r="K79" s="26" t="s">
        <v>25</v>
      </c>
      <c r="L79" s="26" t="s">
        <v>25</v>
      </c>
      <c r="M79" s="26" t="s">
        <v>25</v>
      </c>
      <c r="N79" s="26" t="s">
        <v>25</v>
      </c>
      <c r="O79" s="26" t="s">
        <v>25</v>
      </c>
      <c r="P79" s="27"/>
      <c r="Q79" s="165"/>
      <c r="R79" s="27"/>
      <c r="S79" s="27"/>
    </row>
    <row r="80" ht="15.75" customHeight="1">
      <c r="A80" s="28"/>
      <c r="B80" s="29">
        <v>76.0</v>
      </c>
      <c r="C80" s="30" t="s">
        <v>134</v>
      </c>
      <c r="D80" s="153" t="s">
        <v>431</v>
      </c>
      <c r="E80" s="70" t="str">
        <f t="shared" si="4"/>
        <v>9번 중 8번 참여</v>
      </c>
      <c r="F80" s="71">
        <f t="shared" si="3"/>
        <v>0.8888888889</v>
      </c>
      <c r="G80" s="26" t="s">
        <v>25</v>
      </c>
      <c r="H80" s="26" t="s">
        <v>25</v>
      </c>
      <c r="I80" s="26" t="s">
        <v>25</v>
      </c>
      <c r="J80" s="26" t="s">
        <v>25</v>
      </c>
      <c r="K80" s="26" t="s">
        <v>25</v>
      </c>
      <c r="L80" s="26" t="s">
        <v>25</v>
      </c>
      <c r="M80" s="26" t="s">
        <v>25</v>
      </c>
      <c r="N80" s="26"/>
      <c r="O80" s="26" t="s">
        <v>25</v>
      </c>
      <c r="P80" s="27"/>
      <c r="Q80" s="165"/>
      <c r="R80" s="27"/>
      <c r="S80" s="27"/>
    </row>
    <row r="81" ht="15.75" customHeight="1">
      <c r="A81" s="20"/>
      <c r="B81" s="21">
        <v>77.0</v>
      </c>
      <c r="C81" s="22" t="s">
        <v>154</v>
      </c>
      <c r="D81" s="22" t="s">
        <v>155</v>
      </c>
      <c r="E81" s="70" t="str">
        <f t="shared" si="4"/>
        <v>9번 중 9번 참여</v>
      </c>
      <c r="F81" s="71">
        <f t="shared" si="3"/>
        <v>1</v>
      </c>
      <c r="G81" s="26" t="s">
        <v>25</v>
      </c>
      <c r="H81" s="26" t="s">
        <v>25</v>
      </c>
      <c r="I81" s="26" t="s">
        <v>25</v>
      </c>
      <c r="J81" s="26" t="s">
        <v>25</v>
      </c>
      <c r="K81" s="26" t="s">
        <v>25</v>
      </c>
      <c r="L81" s="26" t="s">
        <v>25</v>
      </c>
      <c r="M81" s="26" t="s">
        <v>25</v>
      </c>
      <c r="N81" s="26" t="s">
        <v>25</v>
      </c>
      <c r="O81" s="26" t="s">
        <v>25</v>
      </c>
      <c r="P81" s="27"/>
      <c r="Q81" s="165"/>
      <c r="R81" s="27"/>
      <c r="S81" s="27"/>
    </row>
    <row r="82" ht="15.75" customHeight="1">
      <c r="A82" s="28"/>
      <c r="B82" s="29">
        <v>78.0</v>
      </c>
      <c r="C82" s="30" t="s">
        <v>432</v>
      </c>
      <c r="D82" s="30" t="s">
        <v>433</v>
      </c>
      <c r="E82" s="70" t="str">
        <f t="shared" si="4"/>
        <v>9번 중 1번 참여</v>
      </c>
      <c r="F82" s="71">
        <f t="shared" si="3"/>
        <v>0.1111111111</v>
      </c>
      <c r="G82" s="26"/>
      <c r="H82" s="26" t="s">
        <v>25</v>
      </c>
      <c r="I82" s="26"/>
      <c r="J82" s="26"/>
      <c r="K82" s="26"/>
      <c r="L82" s="26"/>
      <c r="M82" s="26"/>
      <c r="N82" s="26"/>
      <c r="O82" s="26"/>
      <c r="P82" s="27"/>
      <c r="Q82" s="165"/>
      <c r="R82" s="27"/>
      <c r="S82" s="27"/>
    </row>
    <row r="83" ht="15.75" customHeight="1">
      <c r="A83" s="20"/>
      <c r="B83" s="21">
        <v>79.0</v>
      </c>
      <c r="C83" s="30" t="s">
        <v>170</v>
      </c>
      <c r="D83" s="30" t="s">
        <v>171</v>
      </c>
      <c r="E83" s="70" t="str">
        <f t="shared" si="4"/>
        <v>9번 중 9번 참여</v>
      </c>
      <c r="F83" s="71">
        <f t="shared" si="3"/>
        <v>1</v>
      </c>
      <c r="G83" s="26" t="s">
        <v>25</v>
      </c>
      <c r="H83" s="26" t="s">
        <v>25</v>
      </c>
      <c r="I83" s="26" t="s">
        <v>25</v>
      </c>
      <c r="J83" s="26" t="s">
        <v>25</v>
      </c>
      <c r="K83" s="26" t="s">
        <v>25</v>
      </c>
      <c r="L83" s="26" t="s">
        <v>25</v>
      </c>
      <c r="M83" s="26" t="s">
        <v>25</v>
      </c>
      <c r="N83" s="26" t="s">
        <v>25</v>
      </c>
      <c r="O83" s="26" t="s">
        <v>25</v>
      </c>
      <c r="P83" s="27"/>
      <c r="Q83" s="165"/>
      <c r="R83" s="27"/>
      <c r="S83" s="27"/>
    </row>
    <row r="84" ht="15.75" customHeight="1">
      <c r="A84" s="28"/>
      <c r="B84" s="29">
        <v>80.0</v>
      </c>
      <c r="C84" s="30" t="s">
        <v>172</v>
      </c>
      <c r="D84" s="30" t="s">
        <v>173</v>
      </c>
      <c r="E84" s="70" t="str">
        <f t="shared" si="4"/>
        <v>9번 중 9번 참여</v>
      </c>
      <c r="F84" s="71">
        <f t="shared" si="3"/>
        <v>1</v>
      </c>
      <c r="G84" s="26" t="s">
        <v>25</v>
      </c>
      <c r="H84" s="26" t="s">
        <v>25</v>
      </c>
      <c r="I84" s="26" t="s">
        <v>25</v>
      </c>
      <c r="J84" s="26" t="s">
        <v>25</v>
      </c>
      <c r="K84" s="26" t="s">
        <v>25</v>
      </c>
      <c r="L84" s="26" t="s">
        <v>25</v>
      </c>
      <c r="M84" s="26" t="s">
        <v>25</v>
      </c>
      <c r="N84" s="26" t="s">
        <v>25</v>
      </c>
      <c r="O84" s="26" t="s">
        <v>25</v>
      </c>
      <c r="P84" s="27"/>
      <c r="Q84" s="165"/>
      <c r="R84" s="27"/>
      <c r="S84" s="27"/>
    </row>
    <row r="85" ht="15.75" customHeight="1">
      <c r="A85" s="20"/>
      <c r="B85" s="21">
        <v>81.0</v>
      </c>
      <c r="C85" s="155" t="s">
        <v>424</v>
      </c>
      <c r="D85" s="22" t="s">
        <v>425</v>
      </c>
      <c r="E85" s="70" t="str">
        <f t="shared" si="4"/>
        <v>9번 중 9번 참여</v>
      </c>
      <c r="F85" s="71">
        <f t="shared" si="3"/>
        <v>1</v>
      </c>
      <c r="G85" s="26" t="s">
        <v>25</v>
      </c>
      <c r="H85" s="26" t="s">
        <v>25</v>
      </c>
      <c r="I85" s="26" t="s">
        <v>25</v>
      </c>
      <c r="J85" s="26" t="s">
        <v>25</v>
      </c>
      <c r="K85" s="26" t="s">
        <v>25</v>
      </c>
      <c r="L85" s="26" t="s">
        <v>25</v>
      </c>
      <c r="M85" s="26" t="s">
        <v>25</v>
      </c>
      <c r="N85" s="26" t="s">
        <v>25</v>
      </c>
      <c r="O85" s="26" t="s">
        <v>25</v>
      </c>
      <c r="P85" s="27"/>
      <c r="Q85" s="165"/>
      <c r="R85" s="27"/>
      <c r="S85" s="27"/>
    </row>
    <row r="86" ht="15.75" customHeight="1">
      <c r="A86" s="28"/>
      <c r="B86" s="29">
        <v>82.0</v>
      </c>
      <c r="C86" s="155" t="s">
        <v>341</v>
      </c>
      <c r="D86" s="155" t="s">
        <v>342</v>
      </c>
      <c r="E86" s="70" t="str">
        <f t="shared" si="4"/>
        <v>9번 중 6번 참여</v>
      </c>
      <c r="F86" s="71">
        <f t="shared" si="3"/>
        <v>0.6666666667</v>
      </c>
      <c r="G86" s="26" t="s">
        <v>25</v>
      </c>
      <c r="H86" s="26" t="s">
        <v>25</v>
      </c>
      <c r="I86" s="26" t="s">
        <v>25</v>
      </c>
      <c r="J86" s="26"/>
      <c r="K86" s="26" t="s">
        <v>25</v>
      </c>
      <c r="L86" s="26" t="s">
        <v>25</v>
      </c>
      <c r="M86" s="26" t="s">
        <v>25</v>
      </c>
      <c r="N86" s="26"/>
      <c r="O86" s="26"/>
      <c r="P86" s="27"/>
      <c r="Q86" s="165"/>
      <c r="R86" s="27"/>
      <c r="S86" s="27"/>
    </row>
    <row r="87" ht="15.75" customHeight="1">
      <c r="A87" s="20"/>
      <c r="B87" s="21">
        <v>83.0</v>
      </c>
      <c r="C87" s="22" t="s">
        <v>174</v>
      </c>
      <c r="D87" s="149" t="s">
        <v>175</v>
      </c>
      <c r="E87" s="70" t="str">
        <f t="shared" si="4"/>
        <v>9번 중 5번 참여</v>
      </c>
      <c r="F87" s="71">
        <f t="shared" si="3"/>
        <v>0.5555555556</v>
      </c>
      <c r="G87" s="26"/>
      <c r="H87" s="26" t="s">
        <v>25</v>
      </c>
      <c r="I87" s="26" t="s">
        <v>25</v>
      </c>
      <c r="J87" s="26"/>
      <c r="K87" s="26" t="s">
        <v>25</v>
      </c>
      <c r="L87" s="26" t="s">
        <v>25</v>
      </c>
      <c r="M87" s="26"/>
      <c r="N87" s="26"/>
      <c r="O87" s="26" t="s">
        <v>25</v>
      </c>
      <c r="P87" s="27"/>
      <c r="Q87" s="165"/>
      <c r="R87" s="27"/>
      <c r="S87" s="27"/>
    </row>
    <row r="88" ht="15.75" customHeight="1">
      <c r="A88" s="28"/>
      <c r="B88" s="29">
        <v>84.0</v>
      </c>
      <c r="C88" s="30" t="s">
        <v>168</v>
      </c>
      <c r="D88" s="30" t="s">
        <v>169</v>
      </c>
      <c r="E88" s="70" t="str">
        <f t="shared" si="4"/>
        <v>9번 중 7번 참여</v>
      </c>
      <c r="F88" s="71">
        <f t="shared" si="3"/>
        <v>0.7777777778</v>
      </c>
      <c r="G88" s="26"/>
      <c r="H88" s="26" t="s">
        <v>25</v>
      </c>
      <c r="I88" s="26" t="s">
        <v>25</v>
      </c>
      <c r="J88" s="26" t="s">
        <v>25</v>
      </c>
      <c r="K88" s="26" t="s">
        <v>25</v>
      </c>
      <c r="L88" s="26" t="s">
        <v>25</v>
      </c>
      <c r="M88" s="26" t="s">
        <v>25</v>
      </c>
      <c r="N88" s="26" t="s">
        <v>25</v>
      </c>
      <c r="O88" s="26"/>
      <c r="P88" s="27"/>
      <c r="Q88" s="165"/>
      <c r="R88" s="27"/>
      <c r="S88" s="27"/>
    </row>
    <row r="89" ht="15.75" customHeight="1">
      <c r="A89" s="20"/>
      <c r="B89" s="21">
        <v>85.0</v>
      </c>
      <c r="C89" s="22" t="s">
        <v>386</v>
      </c>
      <c r="D89" s="22" t="s">
        <v>387</v>
      </c>
      <c r="E89" s="70" t="str">
        <f t="shared" si="4"/>
        <v>9번 중 5번 참여</v>
      </c>
      <c r="F89" s="71">
        <f t="shared" si="3"/>
        <v>0.5555555556</v>
      </c>
      <c r="G89" s="26" t="s">
        <v>25</v>
      </c>
      <c r="H89" s="26" t="s">
        <v>25</v>
      </c>
      <c r="I89" s="26"/>
      <c r="J89" s="26" t="s">
        <v>25</v>
      </c>
      <c r="K89" s="26"/>
      <c r="L89" s="26" t="s">
        <v>25</v>
      </c>
      <c r="M89" s="26" t="s">
        <v>25</v>
      </c>
      <c r="N89" s="26"/>
      <c r="O89" s="26"/>
      <c r="P89" s="27"/>
      <c r="Q89" s="165"/>
      <c r="R89" s="27"/>
      <c r="S89" s="27"/>
    </row>
    <row r="90" ht="15.75" customHeight="1">
      <c r="A90" s="28"/>
      <c r="B90" s="29">
        <v>86.0</v>
      </c>
      <c r="C90" s="30" t="s">
        <v>458</v>
      </c>
      <c r="D90" s="30" t="s">
        <v>459</v>
      </c>
      <c r="E90" s="70" t="s">
        <v>460</v>
      </c>
      <c r="F90" s="71">
        <f t="shared" si="3"/>
        <v>0.7777777778</v>
      </c>
      <c r="G90" s="26" t="s">
        <v>25</v>
      </c>
      <c r="H90" s="26" t="s">
        <v>25</v>
      </c>
      <c r="I90" s="26" t="s">
        <v>25</v>
      </c>
      <c r="J90" s="26" t="s">
        <v>25</v>
      </c>
      <c r="K90" s="26" t="s">
        <v>25</v>
      </c>
      <c r="L90" s="26"/>
      <c r="M90" s="26"/>
      <c r="N90" s="26" t="s">
        <v>25</v>
      </c>
      <c r="O90" s="26" t="s">
        <v>25</v>
      </c>
      <c r="P90" s="27"/>
      <c r="Q90" s="165"/>
      <c r="R90" s="27"/>
      <c r="S90" s="27"/>
    </row>
    <row r="91" ht="15.75" customHeight="1">
      <c r="A91" s="20"/>
      <c r="B91" s="21">
        <v>87.0</v>
      </c>
      <c r="C91" s="22" t="s">
        <v>461</v>
      </c>
      <c r="D91" s="22" t="s">
        <v>377</v>
      </c>
      <c r="E91" s="70" t="str">
        <f t="shared" ref="E91:E94" si="5">IF(COUNTIF(G91:O91, "완료")=0, "", COUNTIF($G$4:$O$4, "완료") &amp; "번 중 " &amp; COUNTIF(G91:O91, "완료") &amp; "번 참여")
</f>
        <v>9번 중 8번 참여</v>
      </c>
      <c r="F91" s="71">
        <f t="shared" si="3"/>
        <v>0.8888888889</v>
      </c>
      <c r="G91" s="26" t="s">
        <v>80</v>
      </c>
      <c r="H91" s="26" t="s">
        <v>25</v>
      </c>
      <c r="I91" s="26" t="s">
        <v>25</v>
      </c>
      <c r="J91" s="26" t="s">
        <v>25</v>
      </c>
      <c r="K91" s="26" t="s">
        <v>25</v>
      </c>
      <c r="L91" s="26" t="s">
        <v>25</v>
      </c>
      <c r="M91" s="26" t="s">
        <v>25</v>
      </c>
      <c r="N91" s="26" t="s">
        <v>25</v>
      </c>
      <c r="O91" s="26" t="s">
        <v>25</v>
      </c>
      <c r="P91" s="27"/>
      <c r="Q91" s="165"/>
      <c r="R91" s="27"/>
      <c r="S91" s="27"/>
    </row>
    <row r="92" ht="15.75" customHeight="1">
      <c r="A92" s="28"/>
      <c r="B92" s="29">
        <v>88.0</v>
      </c>
      <c r="C92" s="166" t="s">
        <v>180</v>
      </c>
      <c r="D92" s="166" t="s">
        <v>181</v>
      </c>
      <c r="E92" s="70" t="str">
        <f t="shared" si="5"/>
        <v>9번 중 9번 참여</v>
      </c>
      <c r="F92" s="71">
        <f t="shared" si="3"/>
        <v>1</v>
      </c>
      <c r="G92" s="26" t="s">
        <v>25</v>
      </c>
      <c r="H92" s="26" t="s">
        <v>25</v>
      </c>
      <c r="I92" s="26" t="s">
        <v>25</v>
      </c>
      <c r="J92" s="26" t="s">
        <v>25</v>
      </c>
      <c r="K92" s="26" t="s">
        <v>25</v>
      </c>
      <c r="L92" s="26" t="s">
        <v>25</v>
      </c>
      <c r="M92" s="26" t="s">
        <v>25</v>
      </c>
      <c r="N92" s="26" t="s">
        <v>25</v>
      </c>
      <c r="O92" s="26" t="s">
        <v>25</v>
      </c>
      <c r="P92" s="27"/>
      <c r="Q92" s="165"/>
      <c r="R92" s="27"/>
      <c r="S92" s="27"/>
    </row>
    <row r="93" ht="15.75" customHeight="1">
      <c r="A93" s="20"/>
      <c r="B93" s="21">
        <v>89.0</v>
      </c>
      <c r="C93" s="167" t="s">
        <v>462</v>
      </c>
      <c r="D93" s="167" t="s">
        <v>463</v>
      </c>
      <c r="E93" s="70" t="str">
        <f t="shared" si="5"/>
        <v>9번 중 8번 참여</v>
      </c>
      <c r="F93" s="71">
        <f t="shared" si="3"/>
        <v>0.8888888889</v>
      </c>
      <c r="G93" s="26" t="s">
        <v>25</v>
      </c>
      <c r="H93" s="26" t="s">
        <v>25</v>
      </c>
      <c r="I93" s="26" t="s">
        <v>25</v>
      </c>
      <c r="J93" s="26" t="s">
        <v>25</v>
      </c>
      <c r="K93" s="26"/>
      <c r="L93" s="26" t="s">
        <v>25</v>
      </c>
      <c r="M93" s="26" t="s">
        <v>25</v>
      </c>
      <c r="N93" s="26" t="s">
        <v>25</v>
      </c>
      <c r="O93" s="26" t="s">
        <v>25</v>
      </c>
      <c r="P93" s="27"/>
      <c r="Q93" s="165"/>
      <c r="R93" s="27"/>
      <c r="S93" s="27"/>
    </row>
    <row r="94" ht="15.75" customHeight="1">
      <c r="A94" s="28"/>
      <c r="B94" s="29">
        <v>90.0</v>
      </c>
      <c r="C94" s="168" t="s">
        <v>464</v>
      </c>
      <c r="D94" s="169" t="s">
        <v>465</v>
      </c>
      <c r="E94" s="70" t="str">
        <f t="shared" si="5"/>
        <v>9번 중 9번 참여</v>
      </c>
      <c r="F94" s="71">
        <f t="shared" si="3"/>
        <v>1</v>
      </c>
      <c r="G94" s="26" t="s">
        <v>25</v>
      </c>
      <c r="H94" s="26" t="s">
        <v>25</v>
      </c>
      <c r="I94" s="26" t="s">
        <v>25</v>
      </c>
      <c r="J94" s="26" t="s">
        <v>25</v>
      </c>
      <c r="K94" s="26" t="s">
        <v>25</v>
      </c>
      <c r="L94" s="26" t="s">
        <v>25</v>
      </c>
      <c r="M94" s="26" t="s">
        <v>25</v>
      </c>
      <c r="N94" s="26" t="s">
        <v>25</v>
      </c>
      <c r="O94" s="26" t="s">
        <v>25</v>
      </c>
      <c r="P94" s="27"/>
      <c r="Q94" s="165"/>
      <c r="R94" s="27"/>
      <c r="S94" s="27"/>
    </row>
    <row r="95" ht="15.75" customHeight="1">
      <c r="A95" s="20"/>
      <c r="B95" s="21">
        <v>91.0</v>
      </c>
      <c r="C95" s="167" t="s">
        <v>466</v>
      </c>
      <c r="D95" s="167" t="s">
        <v>467</v>
      </c>
      <c r="E95" s="70" t="s">
        <v>468</v>
      </c>
      <c r="F95" s="71">
        <f t="shared" si="3"/>
        <v>0.3333333333</v>
      </c>
      <c r="G95" s="26" t="s">
        <v>25</v>
      </c>
      <c r="H95" s="26" t="s">
        <v>25</v>
      </c>
      <c r="I95" s="26" t="s">
        <v>25</v>
      </c>
      <c r="J95" s="26"/>
      <c r="K95" s="26"/>
      <c r="L95" s="26"/>
      <c r="M95" s="26"/>
      <c r="N95" s="26"/>
      <c r="O95" s="26"/>
      <c r="P95" s="27"/>
      <c r="Q95" s="165"/>
      <c r="R95" s="27"/>
      <c r="S95" s="27"/>
    </row>
    <row r="96" ht="15.75" customHeight="1">
      <c r="A96" s="28"/>
      <c r="B96" s="29">
        <v>92.0</v>
      </c>
      <c r="C96" s="168" t="s">
        <v>283</v>
      </c>
      <c r="D96" s="170" t="s">
        <v>284</v>
      </c>
      <c r="E96" s="171" t="s">
        <v>469</v>
      </c>
      <c r="F96" s="71">
        <f t="shared" si="3"/>
        <v>0.1111111111</v>
      </c>
      <c r="G96" s="26"/>
      <c r="H96" s="26"/>
      <c r="I96" s="26"/>
      <c r="J96" s="26"/>
      <c r="K96" s="26"/>
      <c r="L96" s="26"/>
      <c r="M96" s="26"/>
      <c r="N96" s="26"/>
      <c r="O96" s="26" t="s">
        <v>25</v>
      </c>
      <c r="P96" s="27"/>
      <c r="Q96" s="165"/>
      <c r="R96" s="27"/>
      <c r="S96" s="27"/>
    </row>
    <row r="97" ht="15.75" customHeight="1">
      <c r="A97" s="20"/>
      <c r="B97" s="21">
        <v>93.0</v>
      </c>
      <c r="C97" s="22"/>
      <c r="D97" s="22"/>
      <c r="E97" s="70" t="str">
        <f t="shared" ref="E97:E123" si="6">IF(COUNTIF(G97:O97, "완료")=0, "", COUNTIF($G$4:$O$4, "완료") &amp; "번 중 " &amp; COUNTIF(G97:O97, "완료") &amp; "번 참여")
</f>
        <v/>
      </c>
      <c r="F97" s="71" t="str">
        <f t="shared" si="3"/>
        <v/>
      </c>
      <c r="G97" s="26"/>
      <c r="H97" s="26"/>
      <c r="I97" s="26"/>
      <c r="J97" s="26"/>
      <c r="K97" s="26"/>
      <c r="L97" s="26"/>
      <c r="M97" s="26"/>
      <c r="N97" s="26"/>
      <c r="O97" s="26"/>
      <c r="P97" s="27"/>
      <c r="Q97" s="165"/>
      <c r="R97" s="27"/>
      <c r="S97" s="27"/>
    </row>
    <row r="98" ht="15.75" customHeight="1">
      <c r="A98" s="28"/>
      <c r="B98" s="29">
        <v>94.0</v>
      </c>
      <c r="C98" s="35"/>
      <c r="D98" s="35"/>
      <c r="E98" s="70" t="str">
        <f t="shared" si="6"/>
        <v/>
      </c>
      <c r="F98" s="71" t="str">
        <f t="shared" si="3"/>
        <v/>
      </c>
      <c r="G98" s="26"/>
      <c r="H98" s="26"/>
      <c r="I98" s="26"/>
      <c r="J98" s="26"/>
      <c r="K98" s="26"/>
      <c r="L98" s="26"/>
      <c r="M98" s="26"/>
      <c r="N98" s="26"/>
      <c r="O98" s="26"/>
      <c r="P98" s="27"/>
      <c r="Q98" s="165"/>
      <c r="R98" s="27"/>
      <c r="S98" s="27"/>
    </row>
    <row r="99" ht="15.75" customHeight="1">
      <c r="A99" s="20"/>
      <c r="B99" s="21">
        <v>95.0</v>
      </c>
      <c r="C99" s="33"/>
      <c r="D99" s="33"/>
      <c r="E99" s="70" t="str">
        <f t="shared" si="6"/>
        <v/>
      </c>
      <c r="F99" s="71" t="str">
        <f t="shared" si="3"/>
        <v/>
      </c>
      <c r="G99" s="26"/>
      <c r="H99" s="26"/>
      <c r="I99" s="26"/>
      <c r="J99" s="26"/>
      <c r="K99" s="26"/>
      <c r="L99" s="26"/>
      <c r="M99" s="26"/>
      <c r="N99" s="26"/>
      <c r="O99" s="26"/>
      <c r="P99" s="27"/>
      <c r="Q99" s="165"/>
      <c r="R99" s="27"/>
      <c r="S99" s="27"/>
    </row>
    <row r="100" ht="15.75" customHeight="1">
      <c r="A100" s="28"/>
      <c r="B100" s="29">
        <v>96.0</v>
      </c>
      <c r="C100" s="35"/>
      <c r="D100" s="35"/>
      <c r="E100" s="70" t="str">
        <f t="shared" si="6"/>
        <v/>
      </c>
      <c r="F100" s="71" t="str">
        <f t="shared" si="3"/>
        <v/>
      </c>
      <c r="G100" s="26"/>
      <c r="H100" s="26"/>
      <c r="I100" s="26"/>
      <c r="J100" s="26"/>
      <c r="K100" s="26"/>
      <c r="L100" s="26"/>
      <c r="M100" s="26"/>
      <c r="N100" s="26"/>
      <c r="O100" s="26"/>
      <c r="P100" s="27"/>
      <c r="Q100" s="165"/>
      <c r="R100" s="27"/>
      <c r="S100" s="27"/>
    </row>
    <row r="101" ht="15.75" customHeight="1">
      <c r="A101" s="28"/>
      <c r="B101" s="29">
        <v>98.0</v>
      </c>
      <c r="C101" s="35"/>
      <c r="D101" s="35"/>
      <c r="E101" s="70" t="str">
        <f t="shared" si="6"/>
        <v/>
      </c>
      <c r="F101" s="71" t="str">
        <f t="shared" si="3"/>
        <v/>
      </c>
      <c r="G101" s="26"/>
      <c r="H101" s="26"/>
      <c r="I101" s="26"/>
      <c r="J101" s="26"/>
      <c r="K101" s="26"/>
      <c r="L101" s="26"/>
      <c r="M101" s="26"/>
      <c r="N101" s="26"/>
      <c r="O101" s="26"/>
      <c r="P101" s="27"/>
      <c r="Q101" s="165"/>
      <c r="R101" s="27"/>
      <c r="S101" s="27"/>
    </row>
    <row r="102" ht="15.75" customHeight="1">
      <c r="A102" s="20"/>
      <c r="B102" s="21">
        <v>99.0</v>
      </c>
      <c r="C102" s="33"/>
      <c r="D102" s="33"/>
      <c r="E102" s="70" t="str">
        <f t="shared" si="6"/>
        <v/>
      </c>
      <c r="F102" s="71" t="str">
        <f t="shared" si="3"/>
        <v/>
      </c>
      <c r="G102" s="26"/>
      <c r="H102" s="26"/>
      <c r="I102" s="26"/>
      <c r="J102" s="26"/>
      <c r="K102" s="26"/>
      <c r="L102" s="26"/>
      <c r="M102" s="26"/>
      <c r="N102" s="26"/>
      <c r="O102" s="26"/>
      <c r="P102" s="27"/>
      <c r="Q102" s="165"/>
      <c r="R102" s="27"/>
      <c r="S102" s="27"/>
    </row>
    <row r="103" ht="15.75" customHeight="1">
      <c r="A103" s="28"/>
      <c r="B103" s="29">
        <v>100.0</v>
      </c>
      <c r="C103" s="35"/>
      <c r="D103" s="35"/>
      <c r="E103" s="70" t="str">
        <f t="shared" si="6"/>
        <v/>
      </c>
      <c r="F103" s="71" t="str">
        <f t="shared" si="3"/>
        <v/>
      </c>
      <c r="G103" s="26"/>
      <c r="H103" s="26"/>
      <c r="I103" s="26"/>
      <c r="J103" s="26"/>
      <c r="K103" s="26"/>
      <c r="L103" s="26"/>
      <c r="M103" s="26"/>
      <c r="N103" s="26"/>
      <c r="O103" s="26"/>
      <c r="P103" s="27"/>
      <c r="Q103" s="165"/>
      <c r="R103" s="27"/>
      <c r="S103" s="27"/>
    </row>
    <row r="104" ht="15.75" customHeight="1">
      <c r="A104" s="20"/>
      <c r="B104" s="21">
        <v>101.0</v>
      </c>
      <c r="C104" s="33"/>
      <c r="D104" s="33"/>
      <c r="E104" s="70" t="str">
        <f t="shared" si="6"/>
        <v/>
      </c>
      <c r="F104" s="71" t="str">
        <f t="shared" si="3"/>
        <v/>
      </c>
      <c r="G104" s="26"/>
      <c r="H104" s="26"/>
      <c r="I104" s="26"/>
      <c r="J104" s="26"/>
      <c r="K104" s="26"/>
      <c r="L104" s="26"/>
      <c r="M104" s="26"/>
      <c r="N104" s="26"/>
      <c r="O104" s="26"/>
      <c r="P104" s="27"/>
      <c r="Q104" s="165"/>
      <c r="R104" s="27"/>
      <c r="S104" s="27"/>
    </row>
    <row r="105" ht="15.75" customHeight="1">
      <c r="A105" s="28"/>
      <c r="B105" s="29">
        <v>102.0</v>
      </c>
      <c r="C105" s="35"/>
      <c r="D105" s="35"/>
      <c r="E105" s="70" t="str">
        <f t="shared" si="6"/>
        <v/>
      </c>
      <c r="F105" s="71" t="str">
        <f t="shared" si="3"/>
        <v/>
      </c>
      <c r="G105" s="26"/>
      <c r="H105" s="26"/>
      <c r="I105" s="26"/>
      <c r="J105" s="26"/>
      <c r="K105" s="26"/>
      <c r="L105" s="26"/>
      <c r="M105" s="26"/>
      <c r="N105" s="26"/>
      <c r="O105" s="26"/>
      <c r="P105" s="27"/>
      <c r="Q105" s="165"/>
      <c r="R105" s="27"/>
      <c r="S105" s="27"/>
    </row>
    <row r="106" ht="15.75" customHeight="1">
      <c r="A106" s="20"/>
      <c r="B106" s="21">
        <v>103.0</v>
      </c>
      <c r="C106" s="33"/>
      <c r="D106" s="33"/>
      <c r="E106" s="70" t="str">
        <f t="shared" si="6"/>
        <v/>
      </c>
      <c r="F106" s="71" t="str">
        <f t="shared" si="3"/>
        <v/>
      </c>
      <c r="G106" s="26"/>
      <c r="H106" s="26"/>
      <c r="I106" s="26"/>
      <c r="J106" s="26"/>
      <c r="K106" s="26"/>
      <c r="L106" s="26"/>
      <c r="M106" s="26"/>
      <c r="N106" s="26"/>
      <c r="O106" s="26"/>
      <c r="P106" s="27"/>
      <c r="Q106" s="165"/>
      <c r="R106" s="27"/>
      <c r="S106" s="27"/>
    </row>
    <row r="107" ht="15.75" customHeight="1">
      <c r="A107" s="28"/>
      <c r="B107" s="29">
        <v>104.0</v>
      </c>
      <c r="C107" s="35"/>
      <c r="D107" s="35"/>
      <c r="E107" s="70" t="str">
        <f t="shared" si="6"/>
        <v/>
      </c>
      <c r="F107" s="71" t="str">
        <f t="shared" si="3"/>
        <v/>
      </c>
      <c r="G107" s="26"/>
      <c r="H107" s="26"/>
      <c r="I107" s="26"/>
      <c r="J107" s="26"/>
      <c r="K107" s="26"/>
      <c r="L107" s="26"/>
      <c r="M107" s="26"/>
      <c r="N107" s="26"/>
      <c r="O107" s="26"/>
      <c r="P107" s="27"/>
      <c r="Q107" s="165"/>
      <c r="R107" s="27"/>
      <c r="S107" s="27"/>
    </row>
    <row r="108" ht="15.75" customHeight="1">
      <c r="A108" s="20"/>
      <c r="B108" s="21">
        <v>105.0</v>
      </c>
      <c r="C108" s="33"/>
      <c r="D108" s="33"/>
      <c r="E108" s="70" t="str">
        <f t="shared" si="6"/>
        <v/>
      </c>
      <c r="F108" s="71" t="str">
        <f t="shared" si="3"/>
        <v/>
      </c>
      <c r="G108" s="26"/>
      <c r="H108" s="26"/>
      <c r="I108" s="26"/>
      <c r="J108" s="26"/>
      <c r="K108" s="26"/>
      <c r="L108" s="26"/>
      <c r="M108" s="26"/>
      <c r="N108" s="26"/>
      <c r="O108" s="26"/>
      <c r="P108" s="27"/>
      <c r="Q108" s="165"/>
      <c r="R108" s="27"/>
      <c r="S108" s="27"/>
    </row>
    <row r="109" ht="15.75" customHeight="1">
      <c r="A109" s="28"/>
      <c r="B109" s="29">
        <v>106.0</v>
      </c>
      <c r="C109" s="35"/>
      <c r="D109" s="35"/>
      <c r="E109" s="70" t="str">
        <f t="shared" si="6"/>
        <v/>
      </c>
      <c r="F109" s="71" t="str">
        <f t="shared" si="3"/>
        <v/>
      </c>
      <c r="G109" s="26"/>
      <c r="H109" s="26"/>
      <c r="I109" s="26"/>
      <c r="J109" s="26"/>
      <c r="K109" s="26"/>
      <c r="L109" s="26"/>
      <c r="M109" s="26"/>
      <c r="N109" s="26"/>
      <c r="O109" s="26"/>
      <c r="P109" s="27"/>
      <c r="Q109" s="165"/>
      <c r="R109" s="27"/>
      <c r="S109" s="27"/>
    </row>
    <row r="110" ht="15.75" customHeight="1">
      <c r="A110" s="20"/>
      <c r="B110" s="21">
        <v>107.0</v>
      </c>
      <c r="C110" s="33"/>
      <c r="D110" s="33"/>
      <c r="E110" s="70" t="str">
        <f t="shared" si="6"/>
        <v/>
      </c>
      <c r="F110" s="71" t="str">
        <f t="shared" si="3"/>
        <v/>
      </c>
      <c r="G110" s="26"/>
      <c r="H110" s="26"/>
      <c r="I110" s="26"/>
      <c r="J110" s="26"/>
      <c r="K110" s="26"/>
      <c r="L110" s="26"/>
      <c r="M110" s="26"/>
      <c r="N110" s="26"/>
      <c r="O110" s="26"/>
      <c r="P110" s="27"/>
      <c r="Q110" s="165"/>
      <c r="R110" s="27"/>
      <c r="S110" s="27"/>
    </row>
    <row r="111" ht="15.75" customHeight="1">
      <c r="A111" s="28"/>
      <c r="B111" s="29">
        <v>108.0</v>
      </c>
      <c r="C111" s="35"/>
      <c r="D111" s="35"/>
      <c r="E111" s="70" t="str">
        <f t="shared" si="6"/>
        <v/>
      </c>
      <c r="F111" s="71" t="str">
        <f t="shared" si="3"/>
        <v/>
      </c>
      <c r="G111" s="26"/>
      <c r="H111" s="26"/>
      <c r="I111" s="26"/>
      <c r="J111" s="26"/>
      <c r="K111" s="26"/>
      <c r="L111" s="26"/>
      <c r="M111" s="26"/>
      <c r="N111" s="26"/>
      <c r="O111" s="26"/>
      <c r="P111" s="27"/>
      <c r="Q111" s="165"/>
      <c r="R111" s="27"/>
      <c r="S111" s="27"/>
    </row>
    <row r="112" ht="15.75" customHeight="1">
      <c r="A112" s="20"/>
      <c r="B112" s="21">
        <v>109.0</v>
      </c>
      <c r="C112" s="33"/>
      <c r="D112" s="33"/>
      <c r="E112" s="70" t="str">
        <f t="shared" si="6"/>
        <v/>
      </c>
      <c r="F112" s="71" t="str">
        <f t="shared" si="3"/>
        <v/>
      </c>
      <c r="G112" s="26"/>
      <c r="H112" s="26"/>
      <c r="I112" s="26"/>
      <c r="J112" s="26"/>
      <c r="K112" s="26"/>
      <c r="L112" s="26"/>
      <c r="M112" s="26"/>
      <c r="N112" s="26"/>
      <c r="O112" s="26"/>
      <c r="P112" s="27"/>
      <c r="Q112" s="165"/>
      <c r="R112" s="27"/>
      <c r="S112" s="27"/>
    </row>
    <row r="113" ht="15.75" customHeight="1">
      <c r="A113" s="28"/>
      <c r="B113" s="29">
        <v>110.0</v>
      </c>
      <c r="C113" s="35"/>
      <c r="D113" s="35"/>
      <c r="E113" s="70" t="str">
        <f t="shared" si="6"/>
        <v/>
      </c>
      <c r="F113" s="71" t="str">
        <f t="shared" si="3"/>
        <v/>
      </c>
      <c r="G113" s="26"/>
      <c r="H113" s="26"/>
      <c r="I113" s="26"/>
      <c r="J113" s="26"/>
      <c r="K113" s="26"/>
      <c r="L113" s="26"/>
      <c r="M113" s="26"/>
      <c r="N113" s="26"/>
      <c r="O113" s="26"/>
      <c r="P113" s="27"/>
      <c r="Q113" s="165"/>
      <c r="R113" s="27"/>
      <c r="S113" s="27"/>
    </row>
    <row r="114" ht="15.75" customHeight="1">
      <c r="A114" s="20"/>
      <c r="B114" s="21">
        <v>111.0</v>
      </c>
      <c r="C114" s="33"/>
      <c r="D114" s="33"/>
      <c r="E114" s="70" t="str">
        <f t="shared" si="6"/>
        <v/>
      </c>
      <c r="F114" s="71" t="str">
        <f t="shared" si="3"/>
        <v/>
      </c>
      <c r="G114" s="26"/>
      <c r="H114" s="26"/>
      <c r="I114" s="26"/>
      <c r="J114" s="26"/>
      <c r="K114" s="26"/>
      <c r="L114" s="26"/>
      <c r="M114" s="26"/>
      <c r="N114" s="26"/>
      <c r="O114" s="26"/>
      <c r="P114" s="27"/>
      <c r="Q114" s="165"/>
      <c r="R114" s="27"/>
      <c r="S114" s="27"/>
    </row>
    <row r="115" ht="15.75" customHeight="1">
      <c r="A115" s="28"/>
      <c r="B115" s="29">
        <v>112.0</v>
      </c>
      <c r="C115" s="35"/>
      <c r="D115" s="35"/>
      <c r="E115" s="70" t="str">
        <f t="shared" si="6"/>
        <v/>
      </c>
      <c r="F115" s="71" t="str">
        <f t="shared" si="3"/>
        <v/>
      </c>
      <c r="G115" s="26"/>
      <c r="H115" s="26"/>
      <c r="I115" s="26"/>
      <c r="J115" s="26"/>
      <c r="K115" s="26"/>
      <c r="L115" s="26"/>
      <c r="M115" s="26"/>
      <c r="N115" s="26"/>
      <c r="O115" s="26"/>
      <c r="P115" s="27"/>
      <c r="Q115" s="165"/>
      <c r="R115" s="27"/>
      <c r="S115" s="27"/>
    </row>
    <row r="116" ht="15.75" customHeight="1">
      <c r="A116" s="20"/>
      <c r="B116" s="21">
        <v>113.0</v>
      </c>
      <c r="C116" s="33"/>
      <c r="D116" s="33"/>
      <c r="E116" s="70" t="str">
        <f t="shared" si="6"/>
        <v/>
      </c>
      <c r="F116" s="71" t="str">
        <f t="shared" si="3"/>
        <v/>
      </c>
      <c r="G116" s="26"/>
      <c r="H116" s="26"/>
      <c r="I116" s="26"/>
      <c r="J116" s="26"/>
      <c r="K116" s="26"/>
      <c r="L116" s="26"/>
      <c r="M116" s="26"/>
      <c r="N116" s="26"/>
      <c r="O116" s="26"/>
      <c r="P116" s="27"/>
      <c r="Q116" s="165"/>
      <c r="R116" s="27"/>
      <c r="S116" s="27"/>
    </row>
    <row r="117" ht="15.75" customHeight="1">
      <c r="A117" s="28"/>
      <c r="B117" s="29">
        <v>114.0</v>
      </c>
      <c r="C117" s="35"/>
      <c r="D117" s="35"/>
      <c r="E117" s="70" t="str">
        <f t="shared" si="6"/>
        <v/>
      </c>
      <c r="F117" s="71" t="str">
        <f t="shared" si="3"/>
        <v/>
      </c>
      <c r="G117" s="26"/>
      <c r="H117" s="26"/>
      <c r="I117" s="26"/>
      <c r="J117" s="26"/>
      <c r="K117" s="26"/>
      <c r="L117" s="26"/>
      <c r="M117" s="26"/>
      <c r="N117" s="26"/>
      <c r="O117" s="26"/>
      <c r="P117" s="27"/>
      <c r="Q117" s="165"/>
      <c r="R117" s="27"/>
      <c r="S117" s="27"/>
    </row>
    <row r="118" ht="15.75" customHeight="1">
      <c r="A118" s="20"/>
      <c r="B118" s="21">
        <v>115.0</v>
      </c>
      <c r="C118" s="33"/>
      <c r="D118" s="33"/>
      <c r="E118" s="70" t="str">
        <f t="shared" si="6"/>
        <v/>
      </c>
      <c r="F118" s="71" t="str">
        <f t="shared" si="3"/>
        <v/>
      </c>
      <c r="G118" s="26"/>
      <c r="H118" s="26"/>
      <c r="I118" s="26"/>
      <c r="J118" s="26"/>
      <c r="K118" s="26"/>
      <c r="L118" s="26"/>
      <c r="M118" s="26"/>
      <c r="N118" s="26"/>
      <c r="O118" s="26"/>
      <c r="P118" s="27"/>
      <c r="Q118" s="165"/>
      <c r="R118" s="27"/>
      <c r="S118" s="27"/>
    </row>
    <row r="119" ht="15.75" customHeight="1">
      <c r="A119" s="28"/>
      <c r="B119" s="29">
        <v>116.0</v>
      </c>
      <c r="C119" s="35"/>
      <c r="D119" s="35"/>
      <c r="E119" s="70" t="str">
        <f t="shared" si="6"/>
        <v/>
      </c>
      <c r="F119" s="71" t="str">
        <f t="shared" si="3"/>
        <v/>
      </c>
      <c r="G119" s="26"/>
      <c r="H119" s="26"/>
      <c r="I119" s="26"/>
      <c r="J119" s="26"/>
      <c r="K119" s="26"/>
      <c r="L119" s="26"/>
      <c r="M119" s="26"/>
      <c r="N119" s="26"/>
      <c r="O119" s="26"/>
      <c r="P119" s="27"/>
      <c r="Q119" s="165"/>
      <c r="R119" s="27"/>
      <c r="S119" s="27"/>
    </row>
    <row r="120" ht="15.75" customHeight="1">
      <c r="A120" s="20"/>
      <c r="B120" s="21">
        <v>117.0</v>
      </c>
      <c r="C120" s="33"/>
      <c r="D120" s="33"/>
      <c r="E120" s="172" t="str">
        <f t="shared" si="6"/>
        <v/>
      </c>
      <c r="F120" s="173" t="str">
        <f t="shared" si="3"/>
        <v/>
      </c>
      <c r="G120" s="26"/>
      <c r="H120" s="26"/>
      <c r="I120" s="26"/>
      <c r="J120" s="26"/>
      <c r="K120" s="26"/>
      <c r="L120" s="26"/>
      <c r="M120" s="26"/>
      <c r="N120" s="26"/>
      <c r="O120" s="26"/>
      <c r="P120" s="27"/>
      <c r="Q120" s="165"/>
      <c r="R120" s="27"/>
      <c r="S120" s="27"/>
    </row>
    <row r="121" ht="15.75" customHeight="1">
      <c r="A121" s="174"/>
      <c r="B121" s="175">
        <v>118.0</v>
      </c>
      <c r="C121" s="176"/>
      <c r="D121" s="176"/>
      <c r="E121" s="177" t="str">
        <f t="shared" si="6"/>
        <v/>
      </c>
      <c r="F121" s="178" t="str">
        <f t="shared" si="3"/>
        <v/>
      </c>
      <c r="G121" s="179"/>
      <c r="H121" s="179"/>
      <c r="I121" s="179"/>
      <c r="J121" s="179"/>
      <c r="K121" s="179"/>
      <c r="L121" s="179"/>
      <c r="M121" s="179"/>
      <c r="N121" s="179"/>
      <c r="O121" s="179"/>
      <c r="P121" s="174"/>
      <c r="Q121" s="180"/>
      <c r="R121" s="174"/>
      <c r="S121" s="174"/>
    </row>
    <row r="122" ht="15.75" customHeight="1">
      <c r="A122" s="13"/>
      <c r="B122" s="55">
        <v>119.0</v>
      </c>
      <c r="C122" s="56"/>
      <c r="D122" s="56"/>
      <c r="E122" s="177" t="str">
        <f t="shared" si="6"/>
        <v/>
      </c>
      <c r="F122" s="178" t="str">
        <f t="shared" si="3"/>
        <v/>
      </c>
      <c r="G122" s="17"/>
      <c r="H122" s="17"/>
      <c r="I122" s="17"/>
      <c r="J122" s="17"/>
      <c r="K122" s="17"/>
      <c r="L122" s="17"/>
      <c r="M122" s="17"/>
      <c r="N122" s="17"/>
      <c r="O122" s="17"/>
      <c r="P122" s="1"/>
      <c r="Q122" s="181"/>
      <c r="R122" s="1"/>
      <c r="S122" s="1"/>
    </row>
    <row r="123" ht="15.75" customHeight="1">
      <c r="A123" s="174"/>
      <c r="B123" s="175">
        <v>120.0</v>
      </c>
      <c r="C123" s="176"/>
      <c r="D123" s="176"/>
      <c r="E123" s="177" t="str">
        <f t="shared" si="6"/>
        <v/>
      </c>
      <c r="F123" s="178" t="str">
        <f t="shared" si="3"/>
        <v/>
      </c>
      <c r="G123" s="179"/>
      <c r="H123" s="179"/>
      <c r="I123" s="179"/>
      <c r="J123" s="179"/>
      <c r="K123" s="179"/>
      <c r="L123" s="179"/>
      <c r="M123" s="179"/>
      <c r="N123" s="179"/>
      <c r="O123" s="179"/>
      <c r="P123" s="174"/>
      <c r="Q123" s="180"/>
      <c r="R123" s="174"/>
      <c r="S123" s="174"/>
    </row>
    <row r="124" ht="15.75" customHeight="1">
      <c r="A124" s="13"/>
      <c r="B124" s="13"/>
      <c r="C124" s="13"/>
      <c r="D124" s="13"/>
      <c r="E124" s="13"/>
      <c r="F124" s="13"/>
      <c r="G124" s="13"/>
      <c r="H124" s="13"/>
      <c r="I124" s="13"/>
      <c r="J124" s="13"/>
      <c r="K124" s="13"/>
      <c r="L124" s="13"/>
      <c r="M124" s="13"/>
      <c r="N124" s="13"/>
      <c r="O124" s="13"/>
      <c r="P124" s="13"/>
      <c r="Q124" s="182"/>
      <c r="R124" s="13"/>
      <c r="S124" s="13"/>
    </row>
    <row r="125" ht="15.75" customHeight="1">
      <c r="A125" s="13"/>
      <c r="B125" s="13"/>
      <c r="C125" s="13"/>
      <c r="D125" s="13"/>
      <c r="E125" s="13"/>
      <c r="F125" s="13"/>
      <c r="G125" s="13"/>
      <c r="H125" s="13"/>
      <c r="I125" s="13"/>
      <c r="J125" s="13"/>
      <c r="K125" s="13"/>
      <c r="L125" s="13"/>
      <c r="M125" s="13"/>
      <c r="N125" s="13"/>
      <c r="O125" s="13"/>
      <c r="P125" s="13"/>
      <c r="Q125" s="182"/>
      <c r="R125" s="13"/>
      <c r="S125" s="13"/>
    </row>
    <row r="126" ht="15.75" customHeight="1">
      <c r="A126" s="13"/>
      <c r="B126" s="13"/>
      <c r="C126" s="13"/>
      <c r="D126" s="13"/>
      <c r="E126" s="13"/>
      <c r="F126" s="13"/>
      <c r="G126" s="13"/>
      <c r="H126" s="13"/>
      <c r="I126" s="13"/>
      <c r="J126" s="13"/>
      <c r="K126" s="13"/>
      <c r="L126" s="13"/>
      <c r="M126" s="13"/>
      <c r="N126" s="13"/>
      <c r="O126" s="13"/>
      <c r="P126" s="13"/>
      <c r="Q126" s="182"/>
      <c r="R126" s="13"/>
      <c r="S126" s="13"/>
    </row>
    <row r="127" ht="15.75" customHeight="1">
      <c r="A127" s="13"/>
      <c r="B127" s="13"/>
      <c r="C127" s="13"/>
      <c r="D127" s="13"/>
      <c r="E127" s="13"/>
      <c r="F127" s="13"/>
      <c r="G127" s="13"/>
      <c r="H127" s="13"/>
      <c r="I127" s="13"/>
      <c r="J127" s="13"/>
      <c r="K127" s="13"/>
      <c r="L127" s="13"/>
      <c r="M127" s="13"/>
      <c r="N127" s="13"/>
      <c r="O127" s="13"/>
      <c r="P127" s="13"/>
      <c r="Q127" s="182"/>
      <c r="R127" s="13"/>
      <c r="S127" s="13"/>
    </row>
    <row r="128" ht="15.75" customHeight="1">
      <c r="A128" s="13"/>
      <c r="B128" s="13"/>
      <c r="C128" s="13"/>
      <c r="D128" s="13"/>
      <c r="E128" s="13"/>
      <c r="F128" s="13"/>
      <c r="G128" s="13"/>
      <c r="H128" s="13"/>
      <c r="I128" s="13"/>
      <c r="J128" s="13"/>
      <c r="K128" s="13"/>
      <c r="L128" s="13"/>
      <c r="M128" s="13"/>
      <c r="N128" s="13"/>
      <c r="O128" s="13"/>
      <c r="P128" s="13"/>
      <c r="Q128" s="182"/>
      <c r="R128" s="13"/>
      <c r="S128" s="13"/>
    </row>
    <row r="129" ht="15.75" customHeight="1">
      <c r="A129" s="13"/>
      <c r="B129" s="13"/>
      <c r="C129" s="13"/>
      <c r="D129" s="13"/>
      <c r="E129" s="13"/>
      <c r="F129" s="13"/>
      <c r="G129" s="13"/>
      <c r="H129" s="13"/>
      <c r="I129" s="13"/>
      <c r="J129" s="13"/>
      <c r="K129" s="13"/>
      <c r="L129" s="13"/>
      <c r="M129" s="13"/>
      <c r="N129" s="13"/>
      <c r="O129" s="13"/>
      <c r="P129" s="13"/>
      <c r="Q129" s="182"/>
      <c r="R129" s="13"/>
      <c r="S129" s="13"/>
    </row>
    <row r="130" ht="15.75" customHeight="1">
      <c r="A130" s="13"/>
      <c r="B130" s="13"/>
      <c r="C130" s="13"/>
      <c r="D130" s="13"/>
      <c r="E130" s="13"/>
      <c r="F130" s="13"/>
      <c r="G130" s="13"/>
      <c r="H130" s="13"/>
      <c r="I130" s="13"/>
      <c r="J130" s="13"/>
      <c r="K130" s="13"/>
      <c r="L130" s="13"/>
      <c r="M130" s="13"/>
      <c r="N130" s="13"/>
      <c r="O130" s="13"/>
      <c r="P130" s="13"/>
      <c r="Q130" s="182"/>
      <c r="R130" s="13"/>
      <c r="S130" s="13"/>
    </row>
    <row r="131" ht="15.75" customHeight="1">
      <c r="A131" s="13"/>
      <c r="B131" s="13"/>
      <c r="C131" s="13"/>
      <c r="D131" s="13"/>
      <c r="E131" s="13"/>
      <c r="F131" s="13"/>
      <c r="G131" s="13"/>
      <c r="H131" s="13"/>
      <c r="I131" s="13"/>
      <c r="J131" s="13"/>
      <c r="K131" s="13"/>
      <c r="L131" s="13"/>
      <c r="M131" s="13"/>
      <c r="N131" s="13"/>
      <c r="O131" s="13"/>
      <c r="P131" s="13"/>
      <c r="Q131" s="182"/>
      <c r="R131" s="13"/>
      <c r="S131" s="13"/>
    </row>
    <row r="132" ht="15.75" customHeight="1">
      <c r="A132" s="13"/>
      <c r="B132" s="13"/>
      <c r="C132" s="13"/>
      <c r="D132" s="13"/>
      <c r="E132" s="13"/>
      <c r="F132" s="13"/>
      <c r="G132" s="13"/>
      <c r="H132" s="13"/>
      <c r="I132" s="13"/>
      <c r="J132" s="13"/>
      <c r="K132" s="13"/>
      <c r="L132" s="13"/>
      <c r="M132" s="13"/>
      <c r="N132" s="13"/>
      <c r="O132" s="13"/>
      <c r="P132" s="13"/>
      <c r="Q132" s="182"/>
      <c r="R132" s="13"/>
      <c r="S132" s="13"/>
    </row>
    <row r="133" ht="15.75" customHeight="1">
      <c r="A133" s="13"/>
      <c r="B133" s="13"/>
      <c r="C133" s="13"/>
      <c r="D133" s="13"/>
      <c r="E133" s="13"/>
      <c r="F133" s="13"/>
      <c r="G133" s="13"/>
      <c r="H133" s="13"/>
      <c r="I133" s="13"/>
      <c r="J133" s="13"/>
      <c r="K133" s="13"/>
      <c r="L133" s="13"/>
      <c r="M133" s="13"/>
      <c r="N133" s="13"/>
      <c r="O133" s="13"/>
      <c r="P133" s="13"/>
      <c r="Q133" s="182"/>
      <c r="R133" s="13"/>
      <c r="S133" s="13"/>
    </row>
    <row r="134" ht="15.75" customHeight="1">
      <c r="A134" s="13"/>
      <c r="B134" s="13"/>
      <c r="C134" s="13"/>
      <c r="D134" s="13"/>
      <c r="E134" s="13"/>
      <c r="F134" s="13"/>
      <c r="G134" s="13"/>
      <c r="H134" s="13"/>
      <c r="I134" s="13"/>
      <c r="J134" s="13"/>
      <c r="K134" s="13"/>
      <c r="L134" s="13"/>
      <c r="M134" s="13"/>
      <c r="N134" s="13"/>
      <c r="O134" s="13"/>
      <c r="P134" s="13"/>
      <c r="Q134" s="182"/>
      <c r="R134" s="13"/>
      <c r="S134" s="13"/>
    </row>
    <row r="135" ht="15.75" customHeight="1">
      <c r="A135" s="13"/>
      <c r="B135" s="13"/>
      <c r="C135" s="13"/>
      <c r="D135" s="13"/>
      <c r="E135" s="13"/>
      <c r="F135" s="13"/>
      <c r="G135" s="13"/>
      <c r="H135" s="13"/>
      <c r="I135" s="13"/>
      <c r="J135" s="13"/>
      <c r="K135" s="13"/>
      <c r="L135" s="13"/>
      <c r="M135" s="13"/>
      <c r="N135" s="13"/>
      <c r="O135" s="13"/>
      <c r="P135" s="13"/>
      <c r="Q135" s="182"/>
      <c r="R135" s="13"/>
      <c r="S135" s="13"/>
    </row>
    <row r="136" ht="15.75" customHeight="1">
      <c r="A136" s="13"/>
      <c r="B136" s="13"/>
      <c r="C136" s="13"/>
      <c r="D136" s="13"/>
      <c r="E136" s="13"/>
      <c r="F136" s="13"/>
      <c r="G136" s="13"/>
      <c r="H136" s="13"/>
      <c r="I136" s="13"/>
      <c r="J136" s="13"/>
      <c r="K136" s="13"/>
      <c r="L136" s="13"/>
      <c r="M136" s="13"/>
      <c r="N136" s="13"/>
      <c r="O136" s="13"/>
      <c r="P136" s="13"/>
      <c r="Q136" s="182"/>
      <c r="R136" s="13"/>
      <c r="S136" s="13"/>
    </row>
    <row r="137" ht="15.75" customHeight="1">
      <c r="A137" s="13"/>
      <c r="B137" s="13"/>
      <c r="C137" s="13"/>
      <c r="D137" s="13"/>
      <c r="E137" s="13"/>
      <c r="F137" s="13"/>
      <c r="G137" s="13"/>
      <c r="H137" s="13"/>
      <c r="I137" s="13"/>
      <c r="J137" s="13"/>
      <c r="K137" s="13"/>
      <c r="L137" s="13"/>
      <c r="M137" s="13"/>
      <c r="N137" s="13"/>
      <c r="O137" s="13"/>
      <c r="P137" s="13"/>
      <c r="Q137" s="182"/>
      <c r="R137" s="13"/>
      <c r="S137" s="13"/>
    </row>
    <row r="138" ht="15.75" customHeight="1">
      <c r="A138" s="13"/>
      <c r="B138" s="13"/>
      <c r="C138" s="13"/>
      <c r="D138" s="13"/>
      <c r="E138" s="13"/>
      <c r="F138" s="13"/>
      <c r="G138" s="13"/>
      <c r="H138" s="13"/>
      <c r="I138" s="13"/>
      <c r="J138" s="13"/>
      <c r="K138" s="13"/>
      <c r="L138" s="13"/>
      <c r="M138" s="13"/>
      <c r="N138" s="13"/>
      <c r="O138" s="13"/>
      <c r="P138" s="13"/>
      <c r="Q138" s="182"/>
      <c r="R138" s="13"/>
      <c r="S138" s="13"/>
    </row>
    <row r="139" ht="15.75" customHeight="1">
      <c r="A139" s="13"/>
      <c r="B139" s="13"/>
      <c r="C139" s="13"/>
      <c r="D139" s="13"/>
      <c r="E139" s="13"/>
      <c r="F139" s="13"/>
      <c r="G139" s="13"/>
      <c r="H139" s="13"/>
      <c r="I139" s="13"/>
      <c r="J139" s="13"/>
      <c r="K139" s="13"/>
      <c r="L139" s="13"/>
      <c r="M139" s="13"/>
      <c r="N139" s="13"/>
      <c r="O139" s="13"/>
      <c r="P139" s="13"/>
      <c r="Q139" s="182"/>
      <c r="R139" s="13"/>
      <c r="S139" s="13"/>
    </row>
    <row r="140" ht="15.75" customHeight="1">
      <c r="A140" s="13"/>
      <c r="B140" s="13"/>
      <c r="C140" s="13"/>
      <c r="D140" s="13"/>
      <c r="E140" s="13"/>
      <c r="F140" s="13"/>
      <c r="G140" s="13"/>
      <c r="H140" s="13"/>
      <c r="I140" s="13"/>
      <c r="J140" s="13"/>
      <c r="K140" s="13"/>
      <c r="L140" s="13"/>
      <c r="M140" s="13"/>
      <c r="N140" s="13"/>
      <c r="O140" s="13"/>
      <c r="P140" s="13"/>
      <c r="Q140" s="182"/>
      <c r="R140" s="13"/>
      <c r="S140" s="13"/>
    </row>
    <row r="141" ht="15.75" customHeight="1">
      <c r="A141" s="13"/>
      <c r="B141" s="13"/>
      <c r="C141" s="13"/>
      <c r="D141" s="13"/>
      <c r="E141" s="13"/>
      <c r="F141" s="13"/>
      <c r="G141" s="13"/>
      <c r="H141" s="13"/>
      <c r="I141" s="13"/>
      <c r="J141" s="13"/>
      <c r="K141" s="13"/>
      <c r="L141" s="13"/>
      <c r="M141" s="13"/>
      <c r="N141" s="13"/>
      <c r="O141" s="13"/>
      <c r="P141" s="13"/>
      <c r="Q141" s="182"/>
      <c r="R141" s="13"/>
      <c r="S141" s="13"/>
    </row>
    <row r="142" ht="15.75" customHeight="1">
      <c r="A142" s="13"/>
      <c r="B142" s="13"/>
      <c r="C142" s="13"/>
      <c r="D142" s="13"/>
      <c r="E142" s="13"/>
      <c r="F142" s="13"/>
      <c r="G142" s="13"/>
      <c r="H142" s="13"/>
      <c r="I142" s="13"/>
      <c r="J142" s="13"/>
      <c r="K142" s="13"/>
      <c r="L142" s="13"/>
      <c r="M142" s="13"/>
      <c r="N142" s="13"/>
      <c r="O142" s="13"/>
      <c r="P142" s="13"/>
      <c r="Q142" s="182"/>
      <c r="R142" s="13"/>
      <c r="S142" s="13"/>
    </row>
    <row r="143" ht="15.75" customHeight="1">
      <c r="A143" s="13"/>
      <c r="B143" s="13"/>
      <c r="C143" s="13"/>
      <c r="D143" s="13"/>
      <c r="E143" s="13"/>
      <c r="F143" s="13"/>
      <c r="G143" s="13"/>
      <c r="H143" s="13"/>
      <c r="I143" s="13"/>
      <c r="J143" s="13"/>
      <c r="K143" s="13"/>
      <c r="L143" s="13"/>
      <c r="M143" s="13"/>
      <c r="N143" s="13"/>
      <c r="O143" s="13"/>
      <c r="P143" s="13"/>
      <c r="Q143" s="182"/>
      <c r="R143" s="13"/>
      <c r="S143" s="13"/>
    </row>
    <row r="144" ht="15.75" customHeight="1">
      <c r="A144" s="13"/>
      <c r="B144" s="13"/>
      <c r="C144" s="13"/>
      <c r="D144" s="13"/>
      <c r="E144" s="13"/>
      <c r="F144" s="13"/>
      <c r="G144" s="13"/>
      <c r="H144" s="13"/>
      <c r="I144" s="13"/>
      <c r="J144" s="13"/>
      <c r="K144" s="13"/>
      <c r="L144" s="13"/>
      <c r="M144" s="13"/>
      <c r="N144" s="13"/>
      <c r="O144" s="13"/>
      <c r="P144" s="13"/>
      <c r="Q144" s="182"/>
      <c r="R144" s="13"/>
      <c r="S144" s="13"/>
    </row>
    <row r="145" ht="15.75" customHeight="1">
      <c r="A145" s="13"/>
      <c r="B145" s="13"/>
      <c r="C145" s="13"/>
      <c r="D145" s="13"/>
      <c r="E145" s="13"/>
      <c r="F145" s="13"/>
      <c r="G145" s="13"/>
      <c r="H145" s="13"/>
      <c r="I145" s="13"/>
      <c r="J145" s="13"/>
      <c r="K145" s="13"/>
      <c r="L145" s="13"/>
      <c r="M145" s="13"/>
      <c r="N145" s="13"/>
      <c r="O145" s="13"/>
      <c r="P145" s="13"/>
      <c r="Q145" s="182"/>
      <c r="R145" s="13"/>
      <c r="S145" s="13"/>
    </row>
    <row r="146" ht="15.75" customHeight="1">
      <c r="A146" s="13"/>
      <c r="B146" s="13"/>
      <c r="C146" s="13"/>
      <c r="D146" s="13"/>
      <c r="E146" s="13"/>
      <c r="F146" s="13"/>
      <c r="G146" s="13"/>
      <c r="H146" s="13"/>
      <c r="I146" s="13"/>
      <c r="J146" s="13"/>
      <c r="K146" s="13"/>
      <c r="L146" s="13"/>
      <c r="M146" s="13"/>
      <c r="N146" s="13"/>
      <c r="O146" s="13"/>
      <c r="P146" s="13"/>
      <c r="Q146" s="182"/>
      <c r="R146" s="13"/>
      <c r="S146" s="13"/>
    </row>
    <row r="147" ht="15.75" customHeight="1">
      <c r="A147" s="13"/>
      <c r="B147" s="13"/>
      <c r="C147" s="13"/>
      <c r="D147" s="13"/>
      <c r="E147" s="13"/>
      <c r="F147" s="13"/>
      <c r="G147" s="13"/>
      <c r="H147" s="13"/>
      <c r="I147" s="13"/>
      <c r="J147" s="13"/>
      <c r="K147" s="13"/>
      <c r="L147" s="13"/>
      <c r="M147" s="13"/>
      <c r="N147" s="13"/>
      <c r="O147" s="13"/>
      <c r="P147" s="13"/>
      <c r="Q147" s="182"/>
      <c r="R147" s="13"/>
      <c r="S147" s="13"/>
    </row>
    <row r="148" ht="15.75" customHeight="1">
      <c r="A148" s="13"/>
      <c r="B148" s="13"/>
      <c r="C148" s="13"/>
      <c r="D148" s="13"/>
      <c r="E148" s="13"/>
      <c r="F148" s="13"/>
      <c r="G148" s="13"/>
      <c r="H148" s="13"/>
      <c r="I148" s="13"/>
      <c r="J148" s="13"/>
      <c r="K148" s="13"/>
      <c r="L148" s="13"/>
      <c r="M148" s="13"/>
      <c r="N148" s="13"/>
      <c r="O148" s="13"/>
      <c r="P148" s="13"/>
      <c r="Q148" s="182"/>
      <c r="R148" s="13"/>
      <c r="S148" s="13"/>
    </row>
    <row r="149" ht="15.75" customHeight="1">
      <c r="A149" s="13"/>
      <c r="B149" s="13"/>
      <c r="C149" s="13"/>
      <c r="D149" s="13"/>
      <c r="E149" s="13"/>
      <c r="F149" s="13"/>
      <c r="G149" s="13"/>
      <c r="H149" s="13"/>
      <c r="I149" s="13"/>
      <c r="J149" s="13"/>
      <c r="K149" s="13"/>
      <c r="L149" s="13"/>
      <c r="M149" s="13"/>
      <c r="N149" s="13"/>
      <c r="O149" s="13"/>
      <c r="P149" s="13"/>
      <c r="Q149" s="182"/>
      <c r="R149" s="13"/>
      <c r="S149" s="13"/>
    </row>
    <row r="150" ht="15.75" customHeight="1">
      <c r="A150" s="13"/>
      <c r="B150" s="13"/>
      <c r="C150" s="13"/>
      <c r="D150" s="13"/>
      <c r="E150" s="13"/>
      <c r="F150" s="13"/>
      <c r="G150" s="13"/>
      <c r="H150" s="13"/>
      <c r="I150" s="13"/>
      <c r="J150" s="13"/>
      <c r="K150" s="13"/>
      <c r="L150" s="13"/>
      <c r="M150" s="13"/>
      <c r="N150" s="13"/>
      <c r="O150" s="13"/>
      <c r="P150" s="13"/>
      <c r="Q150" s="182"/>
      <c r="R150" s="13"/>
      <c r="S150" s="13"/>
    </row>
    <row r="151" ht="15.75" customHeight="1">
      <c r="A151" s="13"/>
      <c r="B151" s="13"/>
      <c r="C151" s="13"/>
      <c r="D151" s="13"/>
      <c r="E151" s="13"/>
      <c r="F151" s="13"/>
      <c r="G151" s="13"/>
      <c r="H151" s="13"/>
      <c r="I151" s="13"/>
      <c r="J151" s="13"/>
      <c r="K151" s="13"/>
      <c r="L151" s="13"/>
      <c r="M151" s="13"/>
      <c r="N151" s="13"/>
      <c r="O151" s="13"/>
      <c r="P151" s="13"/>
      <c r="Q151" s="182"/>
      <c r="R151" s="13"/>
      <c r="S151" s="13"/>
    </row>
    <row r="152" ht="15.75" customHeight="1">
      <c r="A152" s="13"/>
      <c r="B152" s="13"/>
      <c r="C152" s="13"/>
      <c r="D152" s="13"/>
      <c r="E152" s="13"/>
      <c r="F152" s="13"/>
      <c r="G152" s="13"/>
      <c r="H152" s="13"/>
      <c r="I152" s="13"/>
      <c r="J152" s="13"/>
      <c r="K152" s="13"/>
      <c r="L152" s="13"/>
      <c r="M152" s="13"/>
      <c r="N152" s="13"/>
      <c r="O152" s="13"/>
      <c r="P152" s="13"/>
      <c r="Q152" s="182"/>
      <c r="R152" s="13"/>
      <c r="S152" s="13"/>
    </row>
    <row r="153" ht="15.75" customHeight="1">
      <c r="A153" s="13"/>
      <c r="B153" s="13"/>
      <c r="C153" s="13"/>
      <c r="D153" s="13"/>
      <c r="E153" s="13"/>
      <c r="F153" s="13"/>
      <c r="G153" s="13"/>
      <c r="H153" s="13"/>
      <c r="I153" s="13"/>
      <c r="J153" s="13"/>
      <c r="K153" s="13"/>
      <c r="L153" s="13"/>
      <c r="M153" s="13"/>
      <c r="N153" s="13"/>
      <c r="O153" s="13"/>
      <c r="P153" s="13"/>
      <c r="Q153" s="182"/>
      <c r="R153" s="13"/>
      <c r="S153" s="13"/>
    </row>
    <row r="154" ht="15.75" customHeight="1">
      <c r="A154" s="13"/>
      <c r="B154" s="13"/>
      <c r="C154" s="13"/>
      <c r="D154" s="13"/>
      <c r="E154" s="13"/>
      <c r="F154" s="13"/>
      <c r="G154" s="13"/>
      <c r="H154" s="13"/>
      <c r="I154" s="13"/>
      <c r="J154" s="13"/>
      <c r="K154" s="13"/>
      <c r="L154" s="13"/>
      <c r="M154" s="13"/>
      <c r="N154" s="13"/>
      <c r="O154" s="13"/>
      <c r="P154" s="13"/>
      <c r="Q154" s="182"/>
      <c r="R154" s="13"/>
      <c r="S154" s="13"/>
    </row>
    <row r="155" ht="15.75" customHeight="1">
      <c r="A155" s="13"/>
      <c r="B155" s="13"/>
      <c r="C155" s="13"/>
      <c r="D155" s="13"/>
      <c r="E155" s="13"/>
      <c r="F155" s="13"/>
      <c r="G155" s="13"/>
      <c r="H155" s="13"/>
      <c r="I155" s="13"/>
      <c r="J155" s="13"/>
      <c r="K155" s="13"/>
      <c r="L155" s="13"/>
      <c r="M155" s="13"/>
      <c r="N155" s="13"/>
      <c r="O155" s="13"/>
      <c r="P155" s="13"/>
      <c r="Q155" s="182"/>
      <c r="R155" s="13"/>
      <c r="S155" s="13"/>
    </row>
    <row r="156" ht="15.75" customHeight="1">
      <c r="A156" s="13"/>
      <c r="B156" s="13"/>
      <c r="C156" s="13"/>
      <c r="D156" s="13"/>
      <c r="E156" s="13"/>
      <c r="F156" s="13"/>
      <c r="G156" s="13"/>
      <c r="H156" s="13"/>
      <c r="I156" s="13"/>
      <c r="J156" s="13"/>
      <c r="K156" s="13"/>
      <c r="L156" s="13"/>
      <c r="M156" s="13"/>
      <c r="N156" s="13"/>
      <c r="O156" s="13"/>
      <c r="P156" s="13"/>
      <c r="Q156" s="182"/>
      <c r="R156" s="13"/>
      <c r="S156" s="13"/>
    </row>
    <row r="157" ht="15.75" customHeight="1">
      <c r="A157" s="13"/>
      <c r="B157" s="13"/>
      <c r="C157" s="13"/>
      <c r="D157" s="13"/>
      <c r="E157" s="13"/>
      <c r="F157" s="13"/>
      <c r="G157" s="13"/>
      <c r="H157" s="13"/>
      <c r="I157" s="13"/>
      <c r="J157" s="13"/>
      <c r="K157" s="13"/>
      <c r="L157" s="13"/>
      <c r="M157" s="13"/>
      <c r="N157" s="13"/>
      <c r="O157" s="13"/>
      <c r="P157" s="13"/>
      <c r="Q157" s="182"/>
      <c r="R157" s="13"/>
      <c r="S157" s="13"/>
    </row>
    <row r="158" ht="15.75" customHeight="1">
      <c r="A158" s="13"/>
      <c r="B158" s="13"/>
      <c r="C158" s="13"/>
      <c r="D158" s="13"/>
      <c r="E158" s="13"/>
      <c r="F158" s="13"/>
      <c r="G158" s="13"/>
      <c r="H158" s="13"/>
      <c r="I158" s="13"/>
      <c r="J158" s="13"/>
      <c r="K158" s="13"/>
      <c r="L158" s="13"/>
      <c r="M158" s="13"/>
      <c r="N158" s="13"/>
      <c r="O158" s="13"/>
      <c r="P158" s="13"/>
      <c r="Q158" s="182"/>
      <c r="R158" s="13"/>
      <c r="S158" s="13"/>
    </row>
    <row r="159" ht="15.75" customHeight="1">
      <c r="A159" s="13"/>
      <c r="B159" s="13"/>
      <c r="C159" s="13"/>
      <c r="D159" s="13"/>
      <c r="E159" s="13"/>
      <c r="F159" s="13"/>
      <c r="G159" s="13"/>
      <c r="H159" s="13"/>
      <c r="I159" s="13"/>
      <c r="J159" s="13"/>
      <c r="K159" s="13"/>
      <c r="L159" s="13"/>
      <c r="M159" s="13"/>
      <c r="N159" s="13"/>
      <c r="O159" s="13"/>
      <c r="P159" s="13"/>
      <c r="Q159" s="182"/>
      <c r="R159" s="13"/>
      <c r="S159" s="13"/>
    </row>
    <row r="160" ht="15.75" customHeight="1">
      <c r="A160" s="13"/>
      <c r="B160" s="13"/>
      <c r="C160" s="13"/>
      <c r="D160" s="13"/>
      <c r="E160" s="13"/>
      <c r="F160" s="13"/>
      <c r="G160" s="13"/>
      <c r="H160" s="13"/>
      <c r="I160" s="13"/>
      <c r="J160" s="13"/>
      <c r="K160" s="13"/>
      <c r="L160" s="13"/>
      <c r="M160" s="13"/>
      <c r="N160" s="13"/>
      <c r="O160" s="13"/>
      <c r="P160" s="13"/>
      <c r="Q160" s="182"/>
      <c r="R160" s="13"/>
      <c r="S160" s="13"/>
    </row>
    <row r="161" ht="15.75" customHeight="1">
      <c r="A161" s="13"/>
      <c r="B161" s="13"/>
      <c r="C161" s="13"/>
      <c r="D161" s="13"/>
      <c r="E161" s="13"/>
      <c r="F161" s="13"/>
      <c r="G161" s="13"/>
      <c r="H161" s="13"/>
      <c r="I161" s="13"/>
      <c r="J161" s="13"/>
      <c r="K161" s="13"/>
      <c r="L161" s="13"/>
      <c r="M161" s="13"/>
      <c r="N161" s="13"/>
      <c r="O161" s="13"/>
      <c r="P161" s="13"/>
      <c r="Q161" s="182"/>
      <c r="R161" s="13"/>
      <c r="S161" s="13"/>
    </row>
    <row r="162" ht="15.75" customHeight="1">
      <c r="A162" s="13"/>
      <c r="B162" s="13"/>
      <c r="C162" s="13"/>
      <c r="D162" s="13"/>
      <c r="E162" s="13"/>
      <c r="F162" s="13"/>
      <c r="G162" s="13"/>
      <c r="H162" s="13"/>
      <c r="I162" s="13"/>
      <c r="J162" s="13"/>
      <c r="K162" s="13"/>
      <c r="L162" s="13"/>
      <c r="M162" s="13"/>
      <c r="N162" s="13"/>
      <c r="O162" s="13"/>
      <c r="P162" s="13"/>
      <c r="Q162" s="182"/>
      <c r="R162" s="13"/>
      <c r="S162" s="13"/>
    </row>
    <row r="163" ht="15.75" customHeight="1">
      <c r="A163" s="13"/>
      <c r="B163" s="13"/>
      <c r="C163" s="13"/>
      <c r="D163" s="13"/>
      <c r="E163" s="13"/>
      <c r="F163" s="13"/>
      <c r="G163" s="13"/>
      <c r="H163" s="13"/>
      <c r="I163" s="13"/>
      <c r="J163" s="13"/>
      <c r="K163" s="13"/>
      <c r="L163" s="13"/>
      <c r="M163" s="13"/>
      <c r="N163" s="13"/>
      <c r="O163" s="13"/>
      <c r="P163" s="13"/>
      <c r="Q163" s="182"/>
      <c r="R163" s="13"/>
      <c r="S163" s="13"/>
    </row>
    <row r="164" ht="15.75" customHeight="1">
      <c r="A164" s="13"/>
      <c r="B164" s="13"/>
      <c r="C164" s="13"/>
      <c r="D164" s="13"/>
      <c r="E164" s="13"/>
      <c r="F164" s="13"/>
      <c r="G164" s="13"/>
      <c r="H164" s="13"/>
      <c r="I164" s="13"/>
      <c r="J164" s="13"/>
      <c r="K164" s="13"/>
      <c r="L164" s="13"/>
      <c r="M164" s="13"/>
      <c r="N164" s="13"/>
      <c r="O164" s="13"/>
      <c r="P164" s="13"/>
      <c r="Q164" s="182"/>
      <c r="R164" s="13"/>
      <c r="S164" s="13"/>
    </row>
    <row r="165" ht="15.75" customHeight="1">
      <c r="A165" s="13"/>
      <c r="B165" s="13"/>
      <c r="C165" s="13"/>
      <c r="D165" s="13"/>
      <c r="E165" s="13"/>
      <c r="F165" s="13"/>
      <c r="G165" s="13"/>
      <c r="H165" s="13"/>
      <c r="I165" s="13"/>
      <c r="J165" s="13"/>
      <c r="K165" s="13"/>
      <c r="L165" s="13"/>
      <c r="M165" s="13"/>
      <c r="N165" s="13"/>
      <c r="O165" s="13"/>
      <c r="P165" s="13"/>
      <c r="Q165" s="182"/>
      <c r="R165" s="13"/>
      <c r="S165" s="13"/>
    </row>
    <row r="166" ht="15.75" customHeight="1">
      <c r="A166" s="13"/>
      <c r="B166" s="13"/>
      <c r="C166" s="13"/>
      <c r="D166" s="13"/>
      <c r="E166" s="13"/>
      <c r="F166" s="13"/>
      <c r="G166" s="13"/>
      <c r="H166" s="13"/>
      <c r="I166" s="13"/>
      <c r="J166" s="13"/>
      <c r="K166" s="13"/>
      <c r="L166" s="13"/>
      <c r="M166" s="13"/>
      <c r="N166" s="13"/>
      <c r="O166" s="13"/>
      <c r="P166" s="13"/>
      <c r="Q166" s="182"/>
      <c r="R166" s="13"/>
      <c r="S166" s="13"/>
    </row>
    <row r="167" ht="15.75" customHeight="1">
      <c r="A167" s="13"/>
      <c r="B167" s="13"/>
      <c r="C167" s="13"/>
      <c r="D167" s="13"/>
      <c r="E167" s="13"/>
      <c r="F167" s="13"/>
      <c r="G167" s="13"/>
      <c r="H167" s="13"/>
      <c r="I167" s="13"/>
      <c r="J167" s="13"/>
      <c r="K167" s="13"/>
      <c r="L167" s="13"/>
      <c r="M167" s="13"/>
      <c r="N167" s="13"/>
      <c r="O167" s="13"/>
      <c r="P167" s="13"/>
      <c r="Q167" s="182"/>
      <c r="R167" s="13"/>
      <c r="S167" s="13"/>
    </row>
    <row r="168" ht="15.75" customHeight="1">
      <c r="A168" s="13"/>
      <c r="B168" s="13"/>
      <c r="C168" s="13"/>
      <c r="D168" s="13"/>
      <c r="E168" s="13"/>
      <c r="F168" s="13"/>
      <c r="G168" s="13"/>
      <c r="H168" s="13"/>
      <c r="I168" s="13"/>
      <c r="J168" s="13"/>
      <c r="K168" s="13"/>
      <c r="L168" s="13"/>
      <c r="M168" s="13"/>
      <c r="N168" s="13"/>
      <c r="O168" s="13"/>
      <c r="P168" s="13"/>
      <c r="Q168" s="182"/>
      <c r="R168" s="13"/>
      <c r="S168" s="13"/>
    </row>
    <row r="169" ht="15.75" customHeight="1">
      <c r="A169" s="13"/>
      <c r="B169" s="13"/>
      <c r="C169" s="13"/>
      <c r="D169" s="13"/>
      <c r="E169" s="13"/>
      <c r="F169" s="13"/>
      <c r="G169" s="13"/>
      <c r="H169" s="13"/>
      <c r="I169" s="13"/>
      <c r="J169" s="13"/>
      <c r="K169" s="13"/>
      <c r="L169" s="13"/>
      <c r="M169" s="13"/>
      <c r="N169" s="13"/>
      <c r="O169" s="13"/>
      <c r="P169" s="13"/>
      <c r="Q169" s="182"/>
      <c r="R169" s="13"/>
      <c r="S169" s="13"/>
    </row>
    <row r="170" ht="15.75" customHeight="1">
      <c r="A170" s="13"/>
      <c r="B170" s="13"/>
      <c r="C170" s="13"/>
      <c r="D170" s="13"/>
      <c r="E170" s="13"/>
      <c r="F170" s="13"/>
      <c r="G170" s="13"/>
      <c r="H170" s="13"/>
      <c r="I170" s="13"/>
      <c r="J170" s="13"/>
      <c r="K170" s="13"/>
      <c r="L170" s="13"/>
      <c r="M170" s="13"/>
      <c r="N170" s="13"/>
      <c r="O170" s="13"/>
      <c r="P170" s="13"/>
      <c r="Q170" s="182"/>
      <c r="R170" s="13"/>
      <c r="S170" s="13"/>
    </row>
    <row r="171" ht="15.75" customHeight="1">
      <c r="A171" s="13"/>
      <c r="B171" s="13"/>
      <c r="C171" s="13"/>
      <c r="D171" s="13"/>
      <c r="E171" s="13"/>
      <c r="F171" s="13"/>
      <c r="G171" s="13"/>
      <c r="H171" s="13"/>
      <c r="I171" s="13"/>
      <c r="J171" s="13"/>
      <c r="K171" s="13"/>
      <c r="L171" s="13"/>
      <c r="M171" s="13"/>
      <c r="N171" s="13"/>
      <c r="O171" s="13"/>
      <c r="P171" s="13"/>
      <c r="Q171" s="182"/>
      <c r="R171" s="13"/>
      <c r="S171" s="13"/>
    </row>
    <row r="172" ht="15.75" customHeight="1">
      <c r="A172" s="13"/>
      <c r="B172" s="13"/>
      <c r="C172" s="13"/>
      <c r="D172" s="13"/>
      <c r="E172" s="13"/>
      <c r="F172" s="13"/>
      <c r="G172" s="13"/>
      <c r="H172" s="13"/>
      <c r="I172" s="13"/>
      <c r="J172" s="13"/>
      <c r="K172" s="13"/>
      <c r="L172" s="13"/>
      <c r="M172" s="13"/>
      <c r="N172" s="13"/>
      <c r="O172" s="13"/>
      <c r="P172" s="13"/>
      <c r="Q172" s="182"/>
      <c r="R172" s="13"/>
      <c r="S172" s="13"/>
    </row>
    <row r="173" ht="15.75" customHeight="1">
      <c r="A173" s="13"/>
      <c r="B173" s="13"/>
      <c r="C173" s="13"/>
      <c r="D173" s="13"/>
      <c r="E173" s="13"/>
      <c r="F173" s="13"/>
      <c r="G173" s="13"/>
      <c r="H173" s="13"/>
      <c r="I173" s="13"/>
      <c r="J173" s="13"/>
      <c r="K173" s="13"/>
      <c r="L173" s="13"/>
      <c r="M173" s="13"/>
      <c r="N173" s="13"/>
      <c r="O173" s="13"/>
      <c r="P173" s="13"/>
      <c r="Q173" s="182"/>
      <c r="R173" s="13"/>
      <c r="S173" s="13"/>
    </row>
    <row r="174" ht="15.75" customHeight="1">
      <c r="A174" s="13"/>
      <c r="B174" s="13"/>
      <c r="C174" s="13"/>
      <c r="D174" s="13"/>
      <c r="E174" s="13"/>
      <c r="F174" s="13"/>
      <c r="G174" s="13"/>
      <c r="H174" s="13"/>
      <c r="I174" s="13"/>
      <c r="J174" s="13"/>
      <c r="K174" s="13"/>
      <c r="L174" s="13"/>
      <c r="M174" s="13"/>
      <c r="N174" s="13"/>
      <c r="O174" s="13"/>
      <c r="P174" s="13"/>
      <c r="Q174" s="182"/>
      <c r="R174" s="13"/>
      <c r="S174" s="13"/>
    </row>
    <row r="175" ht="15.75" customHeight="1">
      <c r="A175" s="13"/>
      <c r="B175" s="13"/>
      <c r="C175" s="13"/>
      <c r="D175" s="13"/>
      <c r="E175" s="13"/>
      <c r="F175" s="13"/>
      <c r="G175" s="13"/>
      <c r="H175" s="13"/>
      <c r="I175" s="13"/>
      <c r="J175" s="13"/>
      <c r="K175" s="13"/>
      <c r="L175" s="13"/>
      <c r="M175" s="13"/>
      <c r="N175" s="13"/>
      <c r="O175" s="13"/>
      <c r="P175" s="13"/>
      <c r="Q175" s="182"/>
      <c r="R175" s="13"/>
      <c r="S175" s="13"/>
    </row>
    <row r="176" ht="15.75" customHeight="1">
      <c r="A176" s="13"/>
      <c r="B176" s="13"/>
      <c r="C176" s="13"/>
      <c r="D176" s="13"/>
      <c r="E176" s="13"/>
      <c r="F176" s="13"/>
      <c r="G176" s="13"/>
      <c r="H176" s="13"/>
      <c r="I176" s="13"/>
      <c r="J176" s="13"/>
      <c r="K176" s="13"/>
      <c r="L176" s="13"/>
      <c r="M176" s="13"/>
      <c r="N176" s="13"/>
      <c r="O176" s="13"/>
      <c r="P176" s="13"/>
      <c r="Q176" s="182"/>
      <c r="R176" s="13"/>
      <c r="S176" s="13"/>
    </row>
    <row r="177" ht="15.75" customHeight="1">
      <c r="A177" s="13"/>
      <c r="B177" s="13"/>
      <c r="C177" s="13"/>
      <c r="D177" s="13"/>
      <c r="E177" s="13"/>
      <c r="F177" s="13"/>
      <c r="G177" s="13"/>
      <c r="H177" s="13"/>
      <c r="I177" s="13"/>
      <c r="J177" s="13"/>
      <c r="K177" s="13"/>
      <c r="L177" s="13"/>
      <c r="M177" s="13"/>
      <c r="N177" s="13"/>
      <c r="O177" s="13"/>
      <c r="P177" s="13"/>
      <c r="Q177" s="182"/>
      <c r="R177" s="13"/>
      <c r="S177" s="13"/>
    </row>
    <row r="178" ht="15.75" customHeight="1">
      <c r="A178" s="13"/>
      <c r="B178" s="13"/>
      <c r="C178" s="13"/>
      <c r="D178" s="13"/>
      <c r="E178" s="13"/>
      <c r="F178" s="13"/>
      <c r="G178" s="13"/>
      <c r="H178" s="13"/>
      <c r="I178" s="13"/>
      <c r="J178" s="13"/>
      <c r="K178" s="13"/>
      <c r="L178" s="13"/>
      <c r="M178" s="13"/>
      <c r="N178" s="13"/>
      <c r="O178" s="13"/>
      <c r="P178" s="13"/>
      <c r="Q178" s="182"/>
      <c r="R178" s="13"/>
      <c r="S178" s="13"/>
    </row>
    <row r="179" ht="15.75" customHeight="1">
      <c r="A179" s="13"/>
      <c r="B179" s="13"/>
      <c r="C179" s="13"/>
      <c r="D179" s="13"/>
      <c r="E179" s="13"/>
      <c r="F179" s="13"/>
      <c r="G179" s="13"/>
      <c r="H179" s="13"/>
      <c r="I179" s="13"/>
      <c r="J179" s="13"/>
      <c r="K179" s="13"/>
      <c r="L179" s="13"/>
      <c r="M179" s="13"/>
      <c r="N179" s="13"/>
      <c r="O179" s="13"/>
      <c r="P179" s="13"/>
      <c r="Q179" s="182"/>
      <c r="R179" s="13"/>
      <c r="S179" s="13"/>
    </row>
    <row r="180" ht="15.75" customHeight="1">
      <c r="A180" s="13"/>
      <c r="B180" s="13"/>
      <c r="C180" s="13"/>
      <c r="D180" s="13"/>
      <c r="E180" s="13"/>
      <c r="F180" s="13"/>
      <c r="G180" s="13"/>
      <c r="H180" s="13"/>
      <c r="I180" s="13"/>
      <c r="J180" s="13"/>
      <c r="K180" s="13"/>
      <c r="L180" s="13"/>
      <c r="M180" s="13"/>
      <c r="N180" s="13"/>
      <c r="O180" s="13"/>
      <c r="P180" s="13"/>
      <c r="Q180" s="182"/>
      <c r="R180" s="13"/>
      <c r="S180" s="13"/>
    </row>
    <row r="181" ht="15.75" customHeight="1">
      <c r="A181" s="13"/>
      <c r="B181" s="13"/>
      <c r="C181" s="13"/>
      <c r="D181" s="13"/>
      <c r="E181" s="13"/>
      <c r="F181" s="13"/>
      <c r="G181" s="13"/>
      <c r="H181" s="13"/>
      <c r="I181" s="13"/>
      <c r="J181" s="13"/>
      <c r="K181" s="13"/>
      <c r="L181" s="13"/>
      <c r="M181" s="13"/>
      <c r="N181" s="13"/>
      <c r="O181" s="13"/>
      <c r="P181" s="13"/>
      <c r="Q181" s="182"/>
      <c r="R181" s="13"/>
      <c r="S181" s="13"/>
    </row>
    <row r="182" ht="15.75" customHeight="1">
      <c r="A182" s="13"/>
      <c r="B182" s="13"/>
      <c r="C182" s="13"/>
      <c r="D182" s="13"/>
      <c r="E182" s="13"/>
      <c r="F182" s="13"/>
      <c r="G182" s="13"/>
      <c r="H182" s="13"/>
      <c r="I182" s="13"/>
      <c r="J182" s="13"/>
      <c r="K182" s="13"/>
      <c r="L182" s="13"/>
      <c r="M182" s="13"/>
      <c r="N182" s="13"/>
      <c r="O182" s="13"/>
      <c r="P182" s="13"/>
      <c r="Q182" s="182"/>
      <c r="R182" s="13"/>
      <c r="S182" s="13"/>
    </row>
    <row r="183" ht="15.75" customHeight="1">
      <c r="A183" s="13"/>
      <c r="B183" s="13"/>
      <c r="C183" s="13"/>
      <c r="D183" s="13"/>
      <c r="E183" s="13"/>
      <c r="F183" s="13"/>
      <c r="G183" s="13"/>
      <c r="H183" s="13"/>
      <c r="I183" s="13"/>
      <c r="J183" s="13"/>
      <c r="K183" s="13"/>
      <c r="L183" s="13"/>
      <c r="M183" s="13"/>
      <c r="N183" s="13"/>
      <c r="O183" s="13"/>
      <c r="P183" s="13"/>
      <c r="Q183" s="182"/>
      <c r="R183" s="13"/>
      <c r="S183" s="13"/>
    </row>
    <row r="184" ht="15.75" customHeight="1">
      <c r="A184" s="13"/>
      <c r="B184" s="13"/>
      <c r="C184" s="13"/>
      <c r="D184" s="13"/>
      <c r="E184" s="13"/>
      <c r="F184" s="13"/>
      <c r="G184" s="13"/>
      <c r="H184" s="13"/>
      <c r="I184" s="13"/>
      <c r="J184" s="13"/>
      <c r="K184" s="13"/>
      <c r="L184" s="13"/>
      <c r="M184" s="13"/>
      <c r="N184" s="13"/>
      <c r="O184" s="13"/>
      <c r="P184" s="13"/>
      <c r="Q184" s="182"/>
      <c r="R184" s="13"/>
      <c r="S184" s="13"/>
    </row>
    <row r="185" ht="15.75" customHeight="1">
      <c r="A185" s="13"/>
      <c r="B185" s="13"/>
      <c r="C185" s="13"/>
      <c r="D185" s="13"/>
      <c r="E185" s="13"/>
      <c r="F185" s="13"/>
      <c r="G185" s="13"/>
      <c r="H185" s="13"/>
      <c r="I185" s="13"/>
      <c r="J185" s="13"/>
      <c r="K185" s="13"/>
      <c r="L185" s="13"/>
      <c r="M185" s="13"/>
      <c r="N185" s="13"/>
      <c r="O185" s="13"/>
      <c r="P185" s="13"/>
      <c r="Q185" s="182"/>
      <c r="R185" s="13"/>
      <c r="S185" s="13"/>
    </row>
    <row r="186" ht="15.75" customHeight="1">
      <c r="A186" s="13"/>
      <c r="B186" s="13"/>
      <c r="C186" s="13"/>
      <c r="D186" s="13"/>
      <c r="E186" s="13"/>
      <c r="F186" s="13"/>
      <c r="G186" s="13"/>
      <c r="H186" s="13"/>
      <c r="I186" s="13"/>
      <c r="J186" s="13"/>
      <c r="K186" s="13"/>
      <c r="L186" s="13"/>
      <c r="M186" s="13"/>
      <c r="N186" s="13"/>
      <c r="O186" s="13"/>
      <c r="P186" s="13"/>
      <c r="Q186" s="182"/>
      <c r="R186" s="13"/>
      <c r="S186" s="13"/>
    </row>
    <row r="187" ht="15.75" customHeight="1">
      <c r="A187" s="13"/>
      <c r="B187" s="13"/>
      <c r="C187" s="13"/>
      <c r="D187" s="13"/>
      <c r="E187" s="13"/>
      <c r="F187" s="13"/>
      <c r="G187" s="13"/>
      <c r="H187" s="13"/>
      <c r="I187" s="13"/>
      <c r="J187" s="13"/>
      <c r="K187" s="13"/>
      <c r="L187" s="13"/>
      <c r="M187" s="13"/>
      <c r="N187" s="13"/>
      <c r="O187" s="13"/>
      <c r="P187" s="13"/>
      <c r="Q187" s="182"/>
      <c r="R187" s="13"/>
      <c r="S187" s="13"/>
    </row>
    <row r="188" ht="15.75" customHeight="1">
      <c r="A188" s="13"/>
      <c r="B188" s="13"/>
      <c r="C188" s="13"/>
      <c r="D188" s="13"/>
      <c r="E188" s="13"/>
      <c r="F188" s="13"/>
      <c r="G188" s="13"/>
      <c r="H188" s="13"/>
      <c r="I188" s="13"/>
      <c r="J188" s="13"/>
      <c r="K188" s="13"/>
      <c r="L188" s="13"/>
      <c r="M188" s="13"/>
      <c r="N188" s="13"/>
      <c r="O188" s="13"/>
      <c r="P188" s="13"/>
      <c r="Q188" s="182"/>
      <c r="R188" s="13"/>
      <c r="S188" s="13"/>
    </row>
    <row r="189" ht="15.75" customHeight="1">
      <c r="A189" s="13"/>
      <c r="B189" s="13"/>
      <c r="C189" s="13"/>
      <c r="D189" s="13"/>
      <c r="E189" s="13"/>
      <c r="F189" s="13"/>
      <c r="G189" s="13"/>
      <c r="H189" s="13"/>
      <c r="I189" s="13"/>
      <c r="J189" s="13"/>
      <c r="K189" s="13"/>
      <c r="L189" s="13"/>
      <c r="M189" s="13"/>
      <c r="N189" s="13"/>
      <c r="O189" s="13"/>
      <c r="P189" s="13"/>
      <c r="Q189" s="182"/>
      <c r="R189" s="13"/>
      <c r="S189" s="13"/>
    </row>
    <row r="190" ht="15.75" customHeight="1">
      <c r="A190" s="13"/>
      <c r="B190" s="13"/>
      <c r="C190" s="13"/>
      <c r="D190" s="13"/>
      <c r="E190" s="13"/>
      <c r="F190" s="13"/>
      <c r="G190" s="13"/>
      <c r="H190" s="13"/>
      <c r="I190" s="13"/>
      <c r="J190" s="13"/>
      <c r="K190" s="13"/>
      <c r="L190" s="13"/>
      <c r="M190" s="13"/>
      <c r="N190" s="13"/>
      <c r="O190" s="13"/>
      <c r="P190" s="13"/>
      <c r="Q190" s="182"/>
      <c r="R190" s="13"/>
      <c r="S190" s="13"/>
    </row>
    <row r="191" ht="15.75" customHeight="1">
      <c r="A191" s="13"/>
      <c r="B191" s="13"/>
      <c r="C191" s="13"/>
      <c r="D191" s="13"/>
      <c r="E191" s="13"/>
      <c r="F191" s="13"/>
      <c r="G191" s="13"/>
      <c r="H191" s="13"/>
      <c r="I191" s="13"/>
      <c r="J191" s="13"/>
      <c r="K191" s="13"/>
      <c r="L191" s="13"/>
      <c r="M191" s="13"/>
      <c r="N191" s="13"/>
      <c r="O191" s="13"/>
      <c r="P191" s="13"/>
      <c r="Q191" s="182"/>
      <c r="R191" s="13"/>
      <c r="S191" s="13"/>
    </row>
    <row r="192" ht="15.75" customHeight="1">
      <c r="A192" s="13"/>
      <c r="B192" s="13"/>
      <c r="C192" s="13"/>
      <c r="D192" s="13"/>
      <c r="E192" s="13"/>
      <c r="F192" s="13"/>
      <c r="G192" s="13"/>
      <c r="H192" s="13"/>
      <c r="I192" s="13"/>
      <c r="J192" s="13"/>
      <c r="K192" s="13"/>
      <c r="L192" s="13"/>
      <c r="M192" s="13"/>
      <c r="N192" s="13"/>
      <c r="O192" s="13"/>
      <c r="P192" s="13"/>
      <c r="Q192" s="182"/>
      <c r="R192" s="13"/>
      <c r="S192" s="13"/>
    </row>
    <row r="193" ht="15.75" customHeight="1">
      <c r="A193" s="13"/>
      <c r="B193" s="13"/>
      <c r="C193" s="13"/>
      <c r="D193" s="13"/>
      <c r="E193" s="13"/>
      <c r="F193" s="13"/>
      <c r="G193" s="13"/>
      <c r="H193" s="13"/>
      <c r="I193" s="13"/>
      <c r="J193" s="13"/>
      <c r="K193" s="13"/>
      <c r="L193" s="13"/>
      <c r="M193" s="13"/>
      <c r="N193" s="13"/>
      <c r="O193" s="13"/>
      <c r="P193" s="13"/>
      <c r="Q193" s="182"/>
      <c r="R193" s="13"/>
      <c r="S193" s="13"/>
    </row>
    <row r="194" ht="15.75" customHeight="1">
      <c r="A194" s="13"/>
      <c r="B194" s="13"/>
      <c r="C194" s="13"/>
      <c r="D194" s="13"/>
      <c r="E194" s="13"/>
      <c r="F194" s="13"/>
      <c r="G194" s="13"/>
      <c r="H194" s="13"/>
      <c r="I194" s="13"/>
      <c r="J194" s="13"/>
      <c r="K194" s="13"/>
      <c r="L194" s="13"/>
      <c r="M194" s="13"/>
      <c r="N194" s="13"/>
      <c r="O194" s="13"/>
      <c r="P194" s="13"/>
      <c r="Q194" s="182"/>
      <c r="R194" s="13"/>
      <c r="S194" s="13"/>
    </row>
    <row r="195" ht="15.75" customHeight="1">
      <c r="A195" s="13"/>
      <c r="B195" s="13"/>
      <c r="C195" s="13"/>
      <c r="D195" s="13"/>
      <c r="E195" s="13"/>
      <c r="F195" s="13"/>
      <c r="G195" s="13"/>
      <c r="H195" s="13"/>
      <c r="I195" s="13"/>
      <c r="J195" s="13"/>
      <c r="K195" s="13"/>
      <c r="L195" s="13"/>
      <c r="M195" s="13"/>
      <c r="N195" s="13"/>
      <c r="O195" s="13"/>
      <c r="P195" s="13"/>
      <c r="Q195" s="182"/>
      <c r="R195" s="13"/>
      <c r="S195" s="13"/>
    </row>
    <row r="196" ht="15.75" customHeight="1">
      <c r="A196" s="13"/>
      <c r="B196" s="13"/>
      <c r="C196" s="13"/>
      <c r="D196" s="13"/>
      <c r="E196" s="13"/>
      <c r="F196" s="13"/>
      <c r="G196" s="13"/>
      <c r="H196" s="13"/>
      <c r="I196" s="13"/>
      <c r="J196" s="13"/>
      <c r="K196" s="13"/>
      <c r="L196" s="13"/>
      <c r="M196" s="13"/>
      <c r="N196" s="13"/>
      <c r="O196" s="13"/>
      <c r="P196" s="13"/>
      <c r="Q196" s="182"/>
      <c r="R196" s="13"/>
      <c r="S196" s="13"/>
    </row>
    <row r="197" ht="15.75" customHeight="1">
      <c r="A197" s="13"/>
      <c r="B197" s="13"/>
      <c r="C197" s="13"/>
      <c r="D197" s="13"/>
      <c r="E197" s="13"/>
      <c r="F197" s="13"/>
      <c r="G197" s="13"/>
      <c r="H197" s="13"/>
      <c r="I197" s="13"/>
      <c r="J197" s="13"/>
      <c r="K197" s="13"/>
      <c r="L197" s="13"/>
      <c r="M197" s="13"/>
      <c r="N197" s="13"/>
      <c r="O197" s="13"/>
      <c r="P197" s="13"/>
      <c r="Q197" s="182"/>
      <c r="R197" s="13"/>
      <c r="S197" s="13"/>
    </row>
    <row r="198" ht="15.75" customHeight="1">
      <c r="A198" s="13"/>
      <c r="B198" s="13"/>
      <c r="C198" s="13"/>
      <c r="D198" s="13"/>
      <c r="E198" s="13"/>
      <c r="F198" s="13"/>
      <c r="G198" s="13"/>
      <c r="H198" s="13"/>
      <c r="I198" s="13"/>
      <c r="J198" s="13"/>
      <c r="K198" s="13"/>
      <c r="L198" s="13"/>
      <c r="M198" s="13"/>
      <c r="N198" s="13"/>
      <c r="O198" s="13"/>
      <c r="P198" s="13"/>
      <c r="Q198" s="182"/>
      <c r="R198" s="13"/>
      <c r="S198" s="13"/>
    </row>
    <row r="199" ht="15.75" customHeight="1">
      <c r="A199" s="13"/>
      <c r="B199" s="13"/>
      <c r="C199" s="13"/>
      <c r="D199" s="13"/>
      <c r="E199" s="13"/>
      <c r="F199" s="13"/>
      <c r="G199" s="13"/>
      <c r="H199" s="13"/>
      <c r="I199" s="13"/>
      <c r="J199" s="13"/>
      <c r="K199" s="13"/>
      <c r="L199" s="13"/>
      <c r="M199" s="13"/>
      <c r="N199" s="13"/>
      <c r="O199" s="13"/>
      <c r="P199" s="13"/>
      <c r="Q199" s="182"/>
      <c r="R199" s="13"/>
      <c r="S199" s="13"/>
    </row>
    <row r="200" ht="15.75" customHeight="1">
      <c r="A200" s="13"/>
      <c r="B200" s="13"/>
      <c r="C200" s="13"/>
      <c r="D200" s="13"/>
      <c r="E200" s="13"/>
      <c r="F200" s="13"/>
      <c r="G200" s="13"/>
      <c r="H200" s="13"/>
      <c r="I200" s="13"/>
      <c r="J200" s="13"/>
      <c r="K200" s="13"/>
      <c r="L200" s="13"/>
      <c r="M200" s="13"/>
      <c r="N200" s="13"/>
      <c r="O200" s="13"/>
      <c r="P200" s="13"/>
      <c r="Q200" s="182"/>
      <c r="R200" s="13"/>
      <c r="S200" s="13"/>
    </row>
    <row r="201" ht="15.75" customHeight="1">
      <c r="A201" s="13"/>
      <c r="B201" s="13"/>
      <c r="C201" s="13"/>
      <c r="D201" s="13"/>
      <c r="E201" s="13"/>
      <c r="F201" s="13"/>
      <c r="G201" s="13"/>
      <c r="H201" s="13"/>
      <c r="I201" s="13"/>
      <c r="J201" s="13"/>
      <c r="K201" s="13"/>
      <c r="L201" s="13"/>
      <c r="M201" s="13"/>
      <c r="N201" s="13"/>
      <c r="O201" s="13"/>
      <c r="P201" s="13"/>
      <c r="Q201" s="182"/>
      <c r="R201" s="13"/>
      <c r="S201" s="13"/>
    </row>
    <row r="202" ht="15.75" customHeight="1">
      <c r="A202" s="13"/>
      <c r="B202" s="13"/>
      <c r="C202" s="13"/>
      <c r="D202" s="13"/>
      <c r="E202" s="13"/>
      <c r="F202" s="13"/>
      <c r="G202" s="13"/>
      <c r="H202" s="13"/>
      <c r="I202" s="13"/>
      <c r="J202" s="13"/>
      <c r="K202" s="13"/>
      <c r="L202" s="13"/>
      <c r="M202" s="13"/>
      <c r="N202" s="13"/>
      <c r="O202" s="13"/>
      <c r="P202" s="13"/>
      <c r="Q202" s="182"/>
      <c r="R202" s="13"/>
      <c r="S202" s="13"/>
    </row>
    <row r="203" ht="15.75" customHeight="1">
      <c r="A203" s="13"/>
      <c r="B203" s="13"/>
      <c r="C203" s="13"/>
      <c r="D203" s="13"/>
      <c r="E203" s="13"/>
      <c r="F203" s="13"/>
      <c r="G203" s="13"/>
      <c r="H203" s="13"/>
      <c r="I203" s="13"/>
      <c r="J203" s="13"/>
      <c r="K203" s="13"/>
      <c r="L203" s="13"/>
      <c r="M203" s="13"/>
      <c r="N203" s="13"/>
      <c r="O203" s="13"/>
      <c r="P203" s="13"/>
      <c r="Q203" s="182"/>
      <c r="R203" s="13"/>
      <c r="S203" s="13"/>
    </row>
    <row r="204" ht="15.75" customHeight="1">
      <c r="A204" s="13"/>
      <c r="B204" s="13"/>
      <c r="C204" s="13"/>
      <c r="D204" s="13"/>
      <c r="E204" s="13"/>
      <c r="F204" s="13"/>
      <c r="G204" s="13"/>
      <c r="H204" s="13"/>
      <c r="I204" s="13"/>
      <c r="J204" s="13"/>
      <c r="K204" s="13"/>
      <c r="L204" s="13"/>
      <c r="M204" s="13"/>
      <c r="N204" s="13"/>
      <c r="O204" s="13"/>
      <c r="P204" s="13"/>
      <c r="Q204" s="182"/>
      <c r="R204" s="13"/>
      <c r="S204" s="13"/>
    </row>
    <row r="205" ht="15.75" customHeight="1">
      <c r="A205" s="13"/>
      <c r="B205" s="13"/>
      <c r="C205" s="13"/>
      <c r="D205" s="13"/>
      <c r="E205" s="13"/>
      <c r="F205" s="13"/>
      <c r="G205" s="13"/>
      <c r="H205" s="13"/>
      <c r="I205" s="13"/>
      <c r="J205" s="13"/>
      <c r="K205" s="13"/>
      <c r="L205" s="13"/>
      <c r="M205" s="13"/>
      <c r="N205" s="13"/>
      <c r="O205" s="13"/>
      <c r="P205" s="13"/>
      <c r="Q205" s="182"/>
      <c r="R205" s="13"/>
      <c r="S205" s="13"/>
    </row>
    <row r="206" ht="15.75" customHeight="1">
      <c r="A206" s="13"/>
      <c r="B206" s="13"/>
      <c r="C206" s="13"/>
      <c r="D206" s="13"/>
      <c r="E206" s="13"/>
      <c r="F206" s="13"/>
      <c r="G206" s="13"/>
      <c r="H206" s="13"/>
      <c r="I206" s="13"/>
      <c r="J206" s="13"/>
      <c r="K206" s="13"/>
      <c r="L206" s="13"/>
      <c r="M206" s="13"/>
      <c r="N206" s="13"/>
      <c r="O206" s="13"/>
      <c r="P206" s="13"/>
      <c r="Q206" s="182"/>
      <c r="R206" s="13"/>
      <c r="S206" s="13"/>
    </row>
    <row r="207" ht="15.75" customHeight="1">
      <c r="A207" s="13"/>
      <c r="B207" s="13"/>
      <c r="C207" s="13"/>
      <c r="D207" s="13"/>
      <c r="E207" s="13"/>
      <c r="F207" s="13"/>
      <c r="G207" s="13"/>
      <c r="H207" s="13"/>
      <c r="I207" s="13"/>
      <c r="J207" s="13"/>
      <c r="K207" s="13"/>
      <c r="L207" s="13"/>
      <c r="M207" s="13"/>
      <c r="N207" s="13"/>
      <c r="O207" s="13"/>
      <c r="P207" s="13"/>
      <c r="Q207" s="182"/>
      <c r="R207" s="13"/>
      <c r="S207" s="13"/>
    </row>
    <row r="208" ht="15.75" customHeight="1">
      <c r="A208" s="13"/>
      <c r="B208" s="13"/>
      <c r="C208" s="13"/>
      <c r="D208" s="13"/>
      <c r="E208" s="13"/>
      <c r="F208" s="13"/>
      <c r="G208" s="13"/>
      <c r="H208" s="13"/>
      <c r="I208" s="13"/>
      <c r="J208" s="13"/>
      <c r="K208" s="13"/>
      <c r="L208" s="13"/>
      <c r="M208" s="13"/>
      <c r="N208" s="13"/>
      <c r="O208" s="13"/>
      <c r="P208" s="13"/>
      <c r="Q208" s="182"/>
      <c r="R208" s="13"/>
      <c r="S208" s="13"/>
    </row>
    <row r="209" ht="15.75" customHeight="1">
      <c r="A209" s="13"/>
      <c r="B209" s="13"/>
      <c r="C209" s="13"/>
      <c r="D209" s="13"/>
      <c r="E209" s="13"/>
      <c r="F209" s="13"/>
      <c r="G209" s="13"/>
      <c r="H209" s="13"/>
      <c r="I209" s="13"/>
      <c r="J209" s="13"/>
      <c r="K209" s="13"/>
      <c r="L209" s="13"/>
      <c r="M209" s="13"/>
      <c r="N209" s="13"/>
      <c r="O209" s="13"/>
      <c r="P209" s="13"/>
      <c r="Q209" s="182"/>
      <c r="R209" s="13"/>
      <c r="S209" s="13"/>
    </row>
    <row r="210" ht="15.75" customHeight="1">
      <c r="A210" s="13"/>
      <c r="B210" s="13"/>
      <c r="C210" s="13"/>
      <c r="D210" s="13"/>
      <c r="E210" s="13"/>
      <c r="F210" s="13"/>
      <c r="G210" s="13"/>
      <c r="H210" s="13"/>
      <c r="I210" s="13"/>
      <c r="J210" s="13"/>
      <c r="K210" s="13"/>
      <c r="L210" s="13"/>
      <c r="M210" s="13"/>
      <c r="N210" s="13"/>
      <c r="O210" s="13"/>
      <c r="P210" s="13"/>
      <c r="Q210" s="182"/>
      <c r="R210" s="13"/>
      <c r="S210" s="13"/>
    </row>
    <row r="211" ht="15.75" customHeight="1">
      <c r="A211" s="13"/>
      <c r="B211" s="13"/>
      <c r="C211" s="13"/>
      <c r="D211" s="13"/>
      <c r="E211" s="13"/>
      <c r="F211" s="13"/>
      <c r="G211" s="13"/>
      <c r="H211" s="13"/>
      <c r="I211" s="13"/>
      <c r="J211" s="13"/>
      <c r="K211" s="13"/>
      <c r="L211" s="13"/>
      <c r="M211" s="13"/>
      <c r="N211" s="13"/>
      <c r="O211" s="13"/>
      <c r="P211" s="13"/>
      <c r="Q211" s="182"/>
      <c r="R211" s="13"/>
      <c r="S211" s="13"/>
    </row>
    <row r="212" ht="15.75" customHeight="1">
      <c r="A212" s="13"/>
      <c r="B212" s="13"/>
      <c r="C212" s="13"/>
      <c r="D212" s="13"/>
      <c r="E212" s="13"/>
      <c r="F212" s="13"/>
      <c r="G212" s="13"/>
      <c r="H212" s="13"/>
      <c r="I212" s="13"/>
      <c r="J212" s="13"/>
      <c r="K212" s="13"/>
      <c r="L212" s="13"/>
      <c r="M212" s="13"/>
      <c r="N212" s="13"/>
      <c r="O212" s="13"/>
      <c r="P212" s="13"/>
      <c r="Q212" s="182"/>
      <c r="R212" s="13"/>
      <c r="S212" s="13"/>
    </row>
    <row r="213" ht="15.75" customHeight="1">
      <c r="A213" s="13"/>
      <c r="B213" s="13"/>
      <c r="C213" s="13"/>
      <c r="D213" s="13"/>
      <c r="E213" s="13"/>
      <c r="F213" s="13"/>
      <c r="G213" s="13"/>
      <c r="H213" s="13"/>
      <c r="I213" s="13"/>
      <c r="J213" s="13"/>
      <c r="K213" s="13"/>
      <c r="L213" s="13"/>
      <c r="M213" s="13"/>
      <c r="N213" s="13"/>
      <c r="O213" s="13"/>
      <c r="P213" s="13"/>
      <c r="Q213" s="182"/>
      <c r="R213" s="13"/>
      <c r="S213" s="13"/>
    </row>
    <row r="214" ht="15.75" customHeight="1">
      <c r="A214" s="13"/>
      <c r="B214" s="13"/>
      <c r="C214" s="13"/>
      <c r="D214" s="13"/>
      <c r="E214" s="13"/>
      <c r="F214" s="13"/>
      <c r="G214" s="13"/>
      <c r="H214" s="13"/>
      <c r="I214" s="13"/>
      <c r="J214" s="13"/>
      <c r="K214" s="13"/>
      <c r="L214" s="13"/>
      <c r="M214" s="13"/>
      <c r="N214" s="13"/>
      <c r="O214" s="13"/>
      <c r="P214" s="13"/>
      <c r="Q214" s="182"/>
      <c r="R214" s="13"/>
      <c r="S214" s="13"/>
    </row>
    <row r="215" ht="15.75" customHeight="1">
      <c r="A215" s="13"/>
      <c r="B215" s="13"/>
      <c r="C215" s="13"/>
      <c r="D215" s="13"/>
      <c r="E215" s="13"/>
      <c r="F215" s="13"/>
      <c r="G215" s="13"/>
      <c r="H215" s="13"/>
      <c r="I215" s="13"/>
      <c r="J215" s="13"/>
      <c r="K215" s="13"/>
      <c r="L215" s="13"/>
      <c r="M215" s="13"/>
      <c r="N215" s="13"/>
      <c r="O215" s="13"/>
      <c r="P215" s="13"/>
      <c r="Q215" s="182"/>
      <c r="R215" s="13"/>
      <c r="S215" s="13"/>
    </row>
    <row r="216" ht="15.75" customHeight="1">
      <c r="A216" s="13"/>
      <c r="B216" s="13"/>
      <c r="C216" s="13"/>
      <c r="D216" s="13"/>
      <c r="E216" s="13"/>
      <c r="F216" s="13"/>
      <c r="G216" s="13"/>
      <c r="H216" s="13"/>
      <c r="I216" s="13"/>
      <c r="J216" s="13"/>
      <c r="K216" s="13"/>
      <c r="L216" s="13"/>
      <c r="M216" s="13"/>
      <c r="N216" s="13"/>
      <c r="O216" s="13"/>
      <c r="P216" s="13"/>
      <c r="Q216" s="182"/>
      <c r="R216" s="13"/>
      <c r="S216" s="13"/>
    </row>
    <row r="217" ht="15.75" customHeight="1">
      <c r="A217" s="13"/>
      <c r="B217" s="13"/>
      <c r="C217" s="13"/>
      <c r="D217" s="13"/>
      <c r="E217" s="13"/>
      <c r="F217" s="13"/>
      <c r="G217" s="13"/>
      <c r="H217" s="13"/>
      <c r="I217" s="13"/>
      <c r="J217" s="13"/>
      <c r="K217" s="13"/>
      <c r="L217" s="13"/>
      <c r="M217" s="13"/>
      <c r="N217" s="13"/>
      <c r="O217" s="13"/>
      <c r="P217" s="13"/>
      <c r="Q217" s="182"/>
      <c r="R217" s="13"/>
      <c r="S217" s="13"/>
    </row>
    <row r="218" ht="15.75" customHeight="1">
      <c r="A218" s="13"/>
      <c r="B218" s="13"/>
      <c r="C218" s="13"/>
      <c r="D218" s="13"/>
      <c r="E218" s="13"/>
      <c r="F218" s="13"/>
      <c r="G218" s="13"/>
      <c r="H218" s="13"/>
      <c r="I218" s="13"/>
      <c r="J218" s="13"/>
      <c r="K218" s="13"/>
      <c r="L218" s="13"/>
      <c r="M218" s="13"/>
      <c r="N218" s="13"/>
      <c r="O218" s="13"/>
      <c r="P218" s="13"/>
      <c r="Q218" s="182"/>
      <c r="R218" s="13"/>
      <c r="S218" s="13"/>
    </row>
    <row r="219" ht="15.75" customHeight="1">
      <c r="A219" s="13"/>
      <c r="B219" s="13"/>
      <c r="C219" s="13"/>
      <c r="D219" s="13"/>
      <c r="E219" s="13"/>
      <c r="F219" s="13"/>
      <c r="G219" s="13"/>
      <c r="H219" s="13"/>
      <c r="I219" s="13"/>
      <c r="J219" s="13"/>
      <c r="K219" s="13"/>
      <c r="L219" s="13"/>
      <c r="M219" s="13"/>
      <c r="N219" s="13"/>
      <c r="O219" s="13"/>
      <c r="P219" s="13"/>
      <c r="Q219" s="182"/>
      <c r="R219" s="13"/>
      <c r="S219" s="13"/>
    </row>
    <row r="220" ht="15.75" customHeight="1">
      <c r="A220" s="13"/>
      <c r="B220" s="13"/>
      <c r="C220" s="13"/>
      <c r="D220" s="13"/>
      <c r="E220" s="13"/>
      <c r="F220" s="13"/>
      <c r="G220" s="13"/>
      <c r="H220" s="13"/>
      <c r="I220" s="13"/>
      <c r="J220" s="13"/>
      <c r="K220" s="13"/>
      <c r="L220" s="13"/>
      <c r="M220" s="13"/>
      <c r="N220" s="13"/>
      <c r="O220" s="13"/>
      <c r="P220" s="13"/>
      <c r="Q220" s="182"/>
      <c r="R220" s="13"/>
      <c r="S220" s="13"/>
    </row>
    <row r="221" ht="15.75" customHeight="1">
      <c r="A221" s="13"/>
      <c r="B221" s="13"/>
      <c r="C221" s="13"/>
      <c r="D221" s="13"/>
      <c r="E221" s="13"/>
      <c r="F221" s="13"/>
      <c r="G221" s="13"/>
      <c r="H221" s="13"/>
      <c r="I221" s="13"/>
      <c r="J221" s="13"/>
      <c r="K221" s="13"/>
      <c r="L221" s="13"/>
      <c r="M221" s="13"/>
      <c r="N221" s="13"/>
      <c r="O221" s="13"/>
      <c r="P221" s="13"/>
      <c r="Q221" s="182"/>
      <c r="R221" s="13"/>
      <c r="S221" s="13"/>
    </row>
    <row r="222" ht="15.75" customHeight="1">
      <c r="A222" s="13"/>
      <c r="B222" s="13"/>
      <c r="C222" s="13"/>
      <c r="D222" s="13"/>
      <c r="E222" s="13"/>
      <c r="F222" s="13"/>
      <c r="G222" s="13"/>
      <c r="H222" s="13"/>
      <c r="I222" s="13"/>
      <c r="J222" s="13"/>
      <c r="K222" s="13"/>
      <c r="L222" s="13"/>
      <c r="M222" s="13"/>
      <c r="N222" s="13"/>
      <c r="O222" s="13"/>
      <c r="P222" s="13"/>
      <c r="Q222" s="182"/>
      <c r="R222" s="13"/>
      <c r="S222" s="13"/>
    </row>
    <row r="223" ht="15.75" customHeight="1">
      <c r="Q223" s="183"/>
    </row>
    <row r="224" ht="15.75" customHeight="1">
      <c r="Q224" s="183"/>
    </row>
    <row r="225" ht="15.75" customHeight="1">
      <c r="Q225" s="183"/>
    </row>
    <row r="226" ht="15.75" customHeight="1">
      <c r="Q226" s="183"/>
    </row>
    <row r="227" ht="15.75" customHeight="1">
      <c r="Q227" s="183"/>
    </row>
    <row r="228" ht="15.75" customHeight="1">
      <c r="Q228" s="183"/>
    </row>
    <row r="229" ht="15.75" customHeight="1">
      <c r="Q229" s="183"/>
    </row>
    <row r="230" ht="15.75" customHeight="1">
      <c r="Q230" s="183"/>
    </row>
    <row r="231" ht="15.75" customHeight="1">
      <c r="Q231" s="183"/>
    </row>
    <row r="232" ht="15.75" customHeight="1">
      <c r="Q232" s="183"/>
    </row>
    <row r="233" ht="15.75" customHeight="1">
      <c r="Q233" s="183"/>
    </row>
    <row r="234" ht="15.75" customHeight="1">
      <c r="Q234" s="183"/>
    </row>
    <row r="235" ht="15.75" customHeight="1">
      <c r="Q235" s="183"/>
    </row>
    <row r="236" ht="15.75" customHeight="1">
      <c r="Q236" s="183"/>
    </row>
    <row r="237" ht="15.75" customHeight="1">
      <c r="Q237" s="183"/>
    </row>
    <row r="238" ht="15.75" customHeight="1">
      <c r="Q238" s="183"/>
    </row>
    <row r="239" ht="15.75" customHeight="1">
      <c r="Q239" s="183"/>
    </row>
    <row r="240" ht="15.75" customHeight="1">
      <c r="Q240" s="183"/>
    </row>
    <row r="241" ht="15.75" customHeight="1">
      <c r="Q241" s="183"/>
    </row>
    <row r="242" ht="15.75" customHeight="1">
      <c r="Q242" s="183"/>
    </row>
    <row r="243" ht="15.75" customHeight="1">
      <c r="Q243" s="183"/>
    </row>
    <row r="244" ht="15.75" customHeight="1">
      <c r="Q244" s="183"/>
    </row>
    <row r="245" ht="15.75" customHeight="1">
      <c r="Q245" s="183"/>
    </row>
    <row r="246" ht="15.75" customHeight="1">
      <c r="Q246" s="183"/>
    </row>
    <row r="247" ht="15.75" customHeight="1">
      <c r="Q247" s="183"/>
    </row>
    <row r="248" ht="15.75" customHeight="1">
      <c r="Q248" s="183"/>
    </row>
    <row r="249" ht="15.75" customHeight="1">
      <c r="Q249" s="183"/>
    </row>
    <row r="250" ht="15.75" customHeight="1">
      <c r="Q250" s="183"/>
    </row>
    <row r="251" ht="15.75" customHeight="1">
      <c r="Q251" s="183"/>
    </row>
    <row r="252" ht="15.75" customHeight="1">
      <c r="Q252" s="183"/>
    </row>
    <row r="253" ht="15.75" customHeight="1">
      <c r="Q253" s="183"/>
    </row>
    <row r="254" ht="15.75" customHeight="1">
      <c r="Q254" s="183"/>
    </row>
    <row r="255" ht="15.75" customHeight="1">
      <c r="Q255" s="183"/>
    </row>
    <row r="256" ht="15.75" customHeight="1">
      <c r="Q256" s="183"/>
    </row>
    <row r="257" ht="15.75" customHeight="1">
      <c r="Q257" s="183"/>
    </row>
    <row r="258" ht="15.75" customHeight="1">
      <c r="Q258" s="183"/>
    </row>
    <row r="259" ht="15.75" customHeight="1">
      <c r="Q259" s="183"/>
    </row>
    <row r="260" ht="15.75" customHeight="1">
      <c r="Q260" s="183"/>
    </row>
    <row r="261" ht="15.75" customHeight="1">
      <c r="Q261" s="183"/>
    </row>
    <row r="262" ht="15.75" customHeight="1">
      <c r="Q262" s="183"/>
    </row>
    <row r="263" ht="15.75" customHeight="1">
      <c r="Q263" s="183"/>
    </row>
    <row r="264" ht="15.75" customHeight="1">
      <c r="Q264" s="183"/>
    </row>
    <row r="265" ht="15.75" customHeight="1">
      <c r="Q265" s="183"/>
    </row>
    <row r="266" ht="15.75" customHeight="1">
      <c r="Q266" s="183"/>
    </row>
    <row r="267" ht="15.75" customHeight="1">
      <c r="Q267" s="183"/>
    </row>
    <row r="268" ht="15.75" customHeight="1">
      <c r="Q268" s="183"/>
    </row>
    <row r="269" ht="15.75" customHeight="1">
      <c r="Q269" s="183"/>
    </row>
    <row r="270" ht="15.75" customHeight="1">
      <c r="Q270" s="183"/>
    </row>
    <row r="271" ht="15.75" customHeight="1">
      <c r="Q271" s="183"/>
    </row>
    <row r="272" ht="15.75" customHeight="1">
      <c r="Q272" s="183"/>
    </row>
    <row r="273" ht="15.75" customHeight="1">
      <c r="Q273" s="183"/>
    </row>
    <row r="274" ht="15.75" customHeight="1">
      <c r="Q274" s="183"/>
    </row>
    <row r="275" ht="15.75" customHeight="1">
      <c r="Q275" s="183"/>
    </row>
    <row r="276" ht="15.75" customHeight="1">
      <c r="Q276" s="183"/>
    </row>
    <row r="277" ht="15.75" customHeight="1">
      <c r="Q277" s="183"/>
    </row>
    <row r="278" ht="15.75" customHeight="1">
      <c r="Q278" s="183"/>
    </row>
    <row r="279" ht="15.75" customHeight="1">
      <c r="Q279" s="183"/>
    </row>
    <row r="280" ht="15.75" customHeight="1">
      <c r="Q280" s="183"/>
    </row>
    <row r="281" ht="15.75" customHeight="1">
      <c r="Q281" s="183"/>
    </row>
    <row r="282" ht="15.75" customHeight="1">
      <c r="Q282" s="183"/>
    </row>
    <row r="283" ht="15.75" customHeight="1">
      <c r="Q283" s="183"/>
    </row>
    <row r="284" ht="15.75" customHeight="1">
      <c r="Q284" s="183"/>
    </row>
    <row r="285" ht="15.75" customHeight="1">
      <c r="Q285" s="183"/>
    </row>
    <row r="286" ht="15.75" customHeight="1">
      <c r="Q286" s="183"/>
    </row>
    <row r="287" ht="15.75" customHeight="1">
      <c r="Q287" s="183"/>
    </row>
    <row r="288" ht="15.75" customHeight="1">
      <c r="Q288" s="183"/>
    </row>
    <row r="289" ht="15.75" customHeight="1">
      <c r="Q289" s="183"/>
    </row>
    <row r="290" ht="15.75" customHeight="1">
      <c r="Q290" s="183"/>
    </row>
    <row r="291" ht="15.75" customHeight="1">
      <c r="Q291" s="183"/>
    </row>
    <row r="292" ht="15.75" customHeight="1">
      <c r="Q292" s="183"/>
    </row>
    <row r="293" ht="15.75" customHeight="1">
      <c r="Q293" s="183"/>
    </row>
    <row r="294" ht="15.75" customHeight="1">
      <c r="Q294" s="183"/>
    </row>
    <row r="295" ht="15.75" customHeight="1">
      <c r="Q295" s="183"/>
    </row>
    <row r="296" ht="15.75" customHeight="1">
      <c r="Q296" s="183"/>
    </row>
    <row r="297" ht="15.75" customHeight="1">
      <c r="Q297" s="183"/>
    </row>
    <row r="298" ht="15.75" customHeight="1">
      <c r="Q298" s="183"/>
    </row>
    <row r="299" ht="15.75" customHeight="1">
      <c r="Q299" s="183"/>
    </row>
    <row r="300" ht="15.75" customHeight="1">
      <c r="Q300" s="183"/>
    </row>
    <row r="301" ht="15.75" customHeight="1">
      <c r="Q301" s="183"/>
    </row>
    <row r="302" ht="15.75" customHeight="1">
      <c r="Q302" s="183"/>
    </row>
    <row r="303" ht="15.75" customHeight="1">
      <c r="Q303" s="183"/>
    </row>
    <row r="304" ht="15.75" customHeight="1">
      <c r="Q304" s="183"/>
    </row>
    <row r="305" ht="15.75" customHeight="1">
      <c r="Q305" s="183"/>
    </row>
    <row r="306" ht="15.75" customHeight="1">
      <c r="Q306" s="183"/>
    </row>
    <row r="307" ht="15.75" customHeight="1">
      <c r="Q307" s="183"/>
    </row>
    <row r="308" ht="15.75" customHeight="1">
      <c r="Q308" s="183"/>
    </row>
    <row r="309" ht="15.75" customHeight="1">
      <c r="Q309" s="183"/>
    </row>
    <row r="310" ht="15.75" customHeight="1">
      <c r="Q310" s="183"/>
    </row>
    <row r="311" ht="15.75" customHeight="1">
      <c r="Q311" s="183"/>
    </row>
    <row r="312" ht="15.75" customHeight="1">
      <c r="Q312" s="183"/>
    </row>
    <row r="313" ht="15.75" customHeight="1">
      <c r="Q313" s="183"/>
    </row>
    <row r="314" ht="15.75" customHeight="1">
      <c r="Q314" s="183"/>
    </row>
    <row r="315" ht="15.75" customHeight="1">
      <c r="Q315" s="183"/>
    </row>
    <row r="316" ht="15.75" customHeight="1">
      <c r="Q316" s="183"/>
    </row>
    <row r="317" ht="15.75" customHeight="1">
      <c r="Q317" s="183"/>
    </row>
    <row r="318" ht="15.75" customHeight="1">
      <c r="Q318" s="183"/>
    </row>
    <row r="319" ht="15.75" customHeight="1">
      <c r="Q319" s="183"/>
    </row>
    <row r="320" ht="15.75" customHeight="1">
      <c r="Q320" s="183"/>
    </row>
    <row r="321" ht="15.75" customHeight="1">
      <c r="Q321" s="183"/>
    </row>
    <row r="322" ht="15.75" customHeight="1">
      <c r="Q322" s="183"/>
    </row>
    <row r="323" ht="15.75" customHeight="1">
      <c r="Q323" s="183"/>
    </row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B1:D2"/>
    <mergeCell ref="E1:F2"/>
  </mergeCells>
  <dataValidations>
    <dataValidation type="list" allowBlank="1" showErrorMessage="1" sqref="G4:S123">
      <formula1>"선택,완료"</formula1>
    </dataValidation>
  </dataValidations>
  <hyperlinks>
    <hyperlink r:id="rId1" ref="D5"/>
    <hyperlink r:id="rId2" ref="D25"/>
    <hyperlink r:id="rId3" ref="D31"/>
    <hyperlink r:id="rId4" ref="D37"/>
    <hyperlink r:id="rId5" ref="D71"/>
    <hyperlink r:id="rId6" ref="D87"/>
    <hyperlink r:id="rId7" ref="D94"/>
    <hyperlink r:id="rId8" ref="D96"/>
  </hyperlinks>
  <drawing r:id="rId9"/>
  <tableParts count="1">
    <tablePart r:id="rId1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0"/>
  <cols>
    <col customWidth="1" min="1" max="1" width="3.88"/>
    <col customWidth="1" min="2" max="2" width="5.13"/>
    <col customWidth="1" min="3" max="3" width="18.63"/>
    <col customWidth="1" min="4" max="4" width="21.13"/>
    <col customWidth="1" min="5" max="5" width="14.25"/>
    <col customWidth="1" min="6" max="6" width="11.5"/>
  </cols>
  <sheetData>
    <row r="1" ht="15.75" customHeight="1">
      <c r="A1" s="1"/>
      <c r="B1" s="60" t="s">
        <v>0</v>
      </c>
      <c r="E1" s="3" t="s">
        <v>1</v>
      </c>
      <c r="G1" s="5" t="s">
        <v>470</v>
      </c>
      <c r="H1" s="5" t="s">
        <v>471</v>
      </c>
      <c r="I1" s="5" t="s">
        <v>472</v>
      </c>
      <c r="J1" s="5" t="s">
        <v>473</v>
      </c>
      <c r="K1" s="5" t="s">
        <v>474</v>
      </c>
      <c r="L1" s="5" t="s">
        <v>475</v>
      </c>
      <c r="M1" s="5" t="s">
        <v>476</v>
      </c>
      <c r="N1" s="5" t="s">
        <v>477</v>
      </c>
    </row>
    <row r="2" ht="15.75" customHeight="1">
      <c r="A2" s="1"/>
      <c r="G2" s="7" t="s">
        <v>478</v>
      </c>
      <c r="H2" s="7" t="s">
        <v>479</v>
      </c>
      <c r="I2" s="7" t="s">
        <v>480</v>
      </c>
      <c r="J2" s="7" t="s">
        <v>481</v>
      </c>
      <c r="K2" s="7" t="s">
        <v>482</v>
      </c>
      <c r="L2" s="7" t="s">
        <v>483</v>
      </c>
      <c r="M2" s="7" t="s">
        <v>484</v>
      </c>
      <c r="N2" s="7" t="s">
        <v>485</v>
      </c>
    </row>
    <row r="3" ht="15.75" customHeight="1">
      <c r="A3" s="1"/>
      <c r="B3" s="1"/>
      <c r="C3" s="1"/>
      <c r="D3" s="1"/>
      <c r="E3" s="8"/>
      <c r="F3" s="8"/>
      <c r="G3" s="10" t="str">
        <f t="shared" ref="G3:N3" si="1">COUNTIF(G5:G199, "완료") &amp; "명 완료"
</f>
        <v>83명 완료</v>
      </c>
      <c r="H3" s="10" t="str">
        <f t="shared" si="1"/>
        <v>76명 완료</v>
      </c>
      <c r="I3" s="10" t="str">
        <f t="shared" si="1"/>
        <v>85명 완료</v>
      </c>
      <c r="J3" s="10" t="str">
        <f t="shared" si="1"/>
        <v>79명 완료</v>
      </c>
      <c r="K3" s="10" t="str">
        <f t="shared" si="1"/>
        <v>79명 완료</v>
      </c>
      <c r="L3" s="10" t="str">
        <f t="shared" si="1"/>
        <v>77명 완료</v>
      </c>
      <c r="M3" s="10" t="str">
        <f t="shared" si="1"/>
        <v>68명 완료</v>
      </c>
      <c r="N3" s="10" t="str">
        <f t="shared" si="1"/>
        <v>71명 완료</v>
      </c>
    </row>
    <row r="4" ht="15.75" customHeight="1">
      <c r="A4" s="163"/>
      <c r="B4" s="63" t="s">
        <v>20</v>
      </c>
      <c r="C4" s="64" t="s">
        <v>21</v>
      </c>
      <c r="D4" s="64" t="s">
        <v>22</v>
      </c>
      <c r="E4" s="65" t="s">
        <v>23</v>
      </c>
      <c r="F4" s="65" t="s">
        <v>24</v>
      </c>
      <c r="G4" s="66" t="s">
        <v>25</v>
      </c>
      <c r="H4" s="66" t="s">
        <v>25</v>
      </c>
      <c r="I4" s="66" t="s">
        <v>25</v>
      </c>
      <c r="J4" s="66" t="s">
        <v>25</v>
      </c>
      <c r="K4" s="66" t="s">
        <v>25</v>
      </c>
      <c r="L4" s="66" t="s">
        <v>25</v>
      </c>
      <c r="M4" s="66" t="s">
        <v>25</v>
      </c>
      <c r="N4" s="66" t="s">
        <v>25</v>
      </c>
    </row>
    <row r="5" ht="15.75" customHeight="1">
      <c r="A5" s="20"/>
      <c r="B5" s="21">
        <v>1.0</v>
      </c>
      <c r="C5" s="22" t="s">
        <v>26</v>
      </c>
      <c r="D5" s="149" t="s">
        <v>27</v>
      </c>
      <c r="E5" s="70" t="str">
        <f t="shared" ref="E5:E88" si="2">IF(COUNTIF(G5:N5, "완료")=0, "", COUNTIF($G$4:$N$4, "완료") &amp; "번 중 " &amp; COUNTIF(G5:N5, "완료") &amp; "번 참여")
</f>
        <v>8번 중 8번 참여</v>
      </c>
      <c r="F5" s="71">
        <f t="shared" ref="F5:F123" si="3">IF(COUNTIF($G$4:$N$4, "완료")=0, "", IF(COUNTIF(G5:N5, "완료")=0, "", COUNTIF(G5:N5, "완료") / COUNTIF($G$4:$N$4, "완료")))
</f>
        <v>1</v>
      </c>
      <c r="G5" s="26" t="s">
        <v>25</v>
      </c>
      <c r="H5" s="26" t="s">
        <v>25</v>
      </c>
      <c r="I5" s="26" t="s">
        <v>25</v>
      </c>
      <c r="J5" s="26" t="s">
        <v>25</v>
      </c>
      <c r="K5" s="26" t="s">
        <v>25</v>
      </c>
      <c r="L5" s="26" t="s">
        <v>25</v>
      </c>
      <c r="M5" s="26" t="s">
        <v>25</v>
      </c>
      <c r="N5" s="26" t="s">
        <v>25</v>
      </c>
    </row>
    <row r="6" ht="15.75" customHeight="1">
      <c r="A6" s="20"/>
      <c r="B6" s="21">
        <v>3.0</v>
      </c>
      <c r="C6" s="22" t="s">
        <v>28</v>
      </c>
      <c r="D6" s="22" t="s">
        <v>29</v>
      </c>
      <c r="E6" s="70" t="str">
        <f t="shared" si="2"/>
        <v>8번 중 8번 참여</v>
      </c>
      <c r="F6" s="71">
        <f t="shared" si="3"/>
        <v>1</v>
      </c>
      <c r="G6" s="26" t="s">
        <v>25</v>
      </c>
      <c r="H6" s="26" t="s">
        <v>25</v>
      </c>
      <c r="I6" s="26" t="s">
        <v>25</v>
      </c>
      <c r="J6" s="26" t="s">
        <v>25</v>
      </c>
      <c r="K6" s="26" t="s">
        <v>25</v>
      </c>
      <c r="L6" s="26" t="s">
        <v>25</v>
      </c>
      <c r="M6" s="26" t="s">
        <v>25</v>
      </c>
      <c r="N6" s="26" t="s">
        <v>25</v>
      </c>
    </row>
    <row r="7" ht="15.75" customHeight="1">
      <c r="A7" s="28"/>
      <c r="B7" s="29">
        <v>4.0</v>
      </c>
      <c r="C7" s="30" t="s">
        <v>30</v>
      </c>
      <c r="D7" s="30" t="s">
        <v>31</v>
      </c>
      <c r="E7" s="70" t="str">
        <f t="shared" si="2"/>
        <v>8번 중 6번 참여</v>
      </c>
      <c r="F7" s="71">
        <f t="shared" si="3"/>
        <v>0.75</v>
      </c>
      <c r="G7" s="26" t="s">
        <v>25</v>
      </c>
      <c r="H7" s="26" t="s">
        <v>25</v>
      </c>
      <c r="I7" s="26" t="s">
        <v>25</v>
      </c>
      <c r="J7" s="26" t="s">
        <v>25</v>
      </c>
      <c r="K7" s="26" t="s">
        <v>25</v>
      </c>
      <c r="L7" s="26" t="s">
        <v>25</v>
      </c>
      <c r="M7" s="26"/>
      <c r="N7" s="26"/>
    </row>
    <row r="8" ht="15.75" customHeight="1">
      <c r="A8" s="20"/>
      <c r="B8" s="21">
        <v>5.0</v>
      </c>
      <c r="C8" s="22" t="s">
        <v>32</v>
      </c>
      <c r="D8" s="22" t="s">
        <v>33</v>
      </c>
      <c r="E8" s="70" t="str">
        <f t="shared" si="2"/>
        <v>8번 중 6번 참여</v>
      </c>
      <c r="F8" s="71">
        <f t="shared" si="3"/>
        <v>0.75</v>
      </c>
      <c r="G8" s="26" t="s">
        <v>25</v>
      </c>
      <c r="H8" s="26" t="s">
        <v>25</v>
      </c>
      <c r="I8" s="26" t="s">
        <v>25</v>
      </c>
      <c r="J8" s="26" t="s">
        <v>25</v>
      </c>
      <c r="K8" s="26" t="s">
        <v>25</v>
      </c>
      <c r="L8" s="26" t="s">
        <v>25</v>
      </c>
      <c r="M8" s="26"/>
      <c r="N8" s="26"/>
    </row>
    <row r="9" ht="15.75" customHeight="1">
      <c r="A9" s="28"/>
      <c r="B9" s="29">
        <v>6.0</v>
      </c>
      <c r="C9" s="30" t="s">
        <v>34</v>
      </c>
      <c r="D9" s="30" t="s">
        <v>35</v>
      </c>
      <c r="E9" s="70" t="str">
        <f t="shared" si="2"/>
        <v>8번 중 8번 참여</v>
      </c>
      <c r="F9" s="71">
        <f t="shared" si="3"/>
        <v>1</v>
      </c>
      <c r="G9" s="26" t="s">
        <v>25</v>
      </c>
      <c r="H9" s="26" t="s">
        <v>25</v>
      </c>
      <c r="I9" s="26" t="s">
        <v>25</v>
      </c>
      <c r="J9" s="26" t="s">
        <v>25</v>
      </c>
      <c r="K9" s="26" t="s">
        <v>25</v>
      </c>
      <c r="L9" s="26" t="s">
        <v>25</v>
      </c>
      <c r="M9" s="26" t="s">
        <v>25</v>
      </c>
      <c r="N9" s="26" t="s">
        <v>25</v>
      </c>
    </row>
    <row r="10" ht="15.75" customHeight="1">
      <c r="A10" s="20"/>
      <c r="B10" s="21">
        <v>7.0</v>
      </c>
      <c r="C10" s="22" t="s">
        <v>36</v>
      </c>
      <c r="D10" s="22" t="s">
        <v>72</v>
      </c>
      <c r="E10" s="70" t="str">
        <f t="shared" si="2"/>
        <v>8번 중 8번 참여</v>
      </c>
      <c r="F10" s="71">
        <f t="shared" si="3"/>
        <v>1</v>
      </c>
      <c r="G10" s="26" t="s">
        <v>25</v>
      </c>
      <c r="H10" s="26" t="s">
        <v>25</v>
      </c>
      <c r="I10" s="26" t="s">
        <v>25</v>
      </c>
      <c r="J10" s="26" t="s">
        <v>25</v>
      </c>
      <c r="K10" s="26" t="s">
        <v>25</v>
      </c>
      <c r="L10" s="26" t="s">
        <v>25</v>
      </c>
      <c r="M10" s="26" t="s">
        <v>25</v>
      </c>
      <c r="N10" s="26" t="s">
        <v>25</v>
      </c>
    </row>
    <row r="11" ht="15.75" customHeight="1">
      <c r="A11" s="28"/>
      <c r="B11" s="29">
        <v>8.0</v>
      </c>
      <c r="C11" s="30" t="s">
        <v>38</v>
      </c>
      <c r="D11" s="30" t="s">
        <v>39</v>
      </c>
      <c r="E11" s="70" t="str">
        <f t="shared" si="2"/>
        <v>8번 중 8번 참여</v>
      </c>
      <c r="F11" s="71">
        <f t="shared" si="3"/>
        <v>1</v>
      </c>
      <c r="G11" s="26" t="s">
        <v>25</v>
      </c>
      <c r="H11" s="26" t="s">
        <v>25</v>
      </c>
      <c r="I11" s="26" t="s">
        <v>25</v>
      </c>
      <c r="J11" s="26" t="s">
        <v>25</v>
      </c>
      <c r="K11" s="26" t="s">
        <v>25</v>
      </c>
      <c r="L11" s="26" t="s">
        <v>25</v>
      </c>
      <c r="M11" s="26" t="s">
        <v>25</v>
      </c>
      <c r="N11" s="26" t="s">
        <v>25</v>
      </c>
    </row>
    <row r="12" ht="15.75" customHeight="1">
      <c r="A12" s="20"/>
      <c r="B12" s="21">
        <v>9.0</v>
      </c>
      <c r="C12" s="22" t="s">
        <v>40</v>
      </c>
      <c r="D12" s="22" t="s">
        <v>41</v>
      </c>
      <c r="E12" s="70" t="str">
        <f t="shared" si="2"/>
        <v>8번 중 8번 참여</v>
      </c>
      <c r="F12" s="71">
        <f t="shared" si="3"/>
        <v>1</v>
      </c>
      <c r="G12" s="26" t="s">
        <v>25</v>
      </c>
      <c r="H12" s="26" t="s">
        <v>25</v>
      </c>
      <c r="I12" s="26" t="s">
        <v>25</v>
      </c>
      <c r="J12" s="26" t="s">
        <v>25</v>
      </c>
      <c r="K12" s="26" t="s">
        <v>25</v>
      </c>
      <c r="L12" s="26" t="s">
        <v>25</v>
      </c>
      <c r="M12" s="26" t="s">
        <v>25</v>
      </c>
      <c r="N12" s="26" t="s">
        <v>25</v>
      </c>
    </row>
    <row r="13" ht="15.75" customHeight="1">
      <c r="A13" s="28"/>
      <c r="B13" s="29">
        <v>10.0</v>
      </c>
      <c r="C13" s="30" t="s">
        <v>42</v>
      </c>
      <c r="D13" s="30" t="s">
        <v>43</v>
      </c>
      <c r="E13" s="70" t="str">
        <f t="shared" si="2"/>
        <v>8번 중 7번 참여</v>
      </c>
      <c r="F13" s="71">
        <f t="shared" si="3"/>
        <v>0.875</v>
      </c>
      <c r="G13" s="26" t="s">
        <v>25</v>
      </c>
      <c r="H13" s="26" t="s">
        <v>25</v>
      </c>
      <c r="I13" s="26" t="s">
        <v>25</v>
      </c>
      <c r="J13" s="26" t="s">
        <v>25</v>
      </c>
      <c r="K13" s="26"/>
      <c r="L13" s="26" t="s">
        <v>25</v>
      </c>
      <c r="M13" s="26" t="s">
        <v>25</v>
      </c>
      <c r="N13" s="26" t="s">
        <v>25</v>
      </c>
    </row>
    <row r="14" ht="15.75" customHeight="1">
      <c r="A14" s="20"/>
      <c r="B14" s="21">
        <v>11.0</v>
      </c>
      <c r="C14" s="22" t="s">
        <v>420</v>
      </c>
      <c r="D14" s="22" t="s">
        <v>329</v>
      </c>
      <c r="E14" s="70" t="str">
        <f t="shared" si="2"/>
        <v>8번 중 8번 참여</v>
      </c>
      <c r="F14" s="71">
        <f t="shared" si="3"/>
        <v>1</v>
      </c>
      <c r="G14" s="26" t="s">
        <v>25</v>
      </c>
      <c r="H14" s="26" t="s">
        <v>25</v>
      </c>
      <c r="I14" s="26" t="s">
        <v>25</v>
      </c>
      <c r="J14" s="26" t="s">
        <v>25</v>
      </c>
      <c r="K14" s="26" t="s">
        <v>25</v>
      </c>
      <c r="L14" s="26" t="s">
        <v>25</v>
      </c>
      <c r="M14" s="26" t="s">
        <v>25</v>
      </c>
      <c r="N14" s="26" t="s">
        <v>25</v>
      </c>
    </row>
    <row r="15" ht="15.75" customHeight="1">
      <c r="A15" s="28"/>
      <c r="B15" s="29">
        <v>12.0</v>
      </c>
      <c r="C15" s="30" t="s">
        <v>421</v>
      </c>
      <c r="D15" s="30" t="s">
        <v>330</v>
      </c>
      <c r="E15" s="70" t="str">
        <f t="shared" si="2"/>
        <v>8번 중 8번 참여</v>
      </c>
      <c r="F15" s="71">
        <f t="shared" si="3"/>
        <v>1</v>
      </c>
      <c r="G15" s="26" t="s">
        <v>25</v>
      </c>
      <c r="H15" s="26" t="s">
        <v>25</v>
      </c>
      <c r="I15" s="26" t="s">
        <v>25</v>
      </c>
      <c r="J15" s="26" t="s">
        <v>25</v>
      </c>
      <c r="K15" s="26" t="s">
        <v>25</v>
      </c>
      <c r="L15" s="26" t="s">
        <v>25</v>
      </c>
      <c r="M15" s="26" t="s">
        <v>25</v>
      </c>
      <c r="N15" s="26" t="s">
        <v>25</v>
      </c>
    </row>
    <row r="16" ht="15.75" customHeight="1">
      <c r="A16" s="20"/>
      <c r="B16" s="21">
        <v>13.0</v>
      </c>
      <c r="C16" s="22" t="s">
        <v>44</v>
      </c>
      <c r="D16" s="22" t="s">
        <v>45</v>
      </c>
      <c r="E16" s="70" t="str">
        <f t="shared" si="2"/>
        <v>8번 중 8번 참여</v>
      </c>
      <c r="F16" s="71">
        <f t="shared" si="3"/>
        <v>1</v>
      </c>
      <c r="G16" s="26" t="s">
        <v>25</v>
      </c>
      <c r="H16" s="26" t="s">
        <v>25</v>
      </c>
      <c r="I16" s="26" t="s">
        <v>25</v>
      </c>
      <c r="J16" s="26" t="s">
        <v>25</v>
      </c>
      <c r="K16" s="26" t="s">
        <v>25</v>
      </c>
      <c r="L16" s="26" t="s">
        <v>25</v>
      </c>
      <c r="M16" s="26" t="s">
        <v>25</v>
      </c>
      <c r="N16" s="26" t="s">
        <v>25</v>
      </c>
    </row>
    <row r="17" ht="15.75" customHeight="1">
      <c r="A17" s="28"/>
      <c r="B17" s="29">
        <v>14.0</v>
      </c>
      <c r="C17" s="30" t="s">
        <v>46</v>
      </c>
      <c r="D17" s="30" t="s">
        <v>47</v>
      </c>
      <c r="E17" s="70" t="str">
        <f t="shared" si="2"/>
        <v>8번 중 8번 참여</v>
      </c>
      <c r="F17" s="71">
        <f t="shared" si="3"/>
        <v>1</v>
      </c>
      <c r="G17" s="26" t="s">
        <v>25</v>
      </c>
      <c r="H17" s="26" t="s">
        <v>25</v>
      </c>
      <c r="I17" s="26" t="s">
        <v>25</v>
      </c>
      <c r="J17" s="26" t="s">
        <v>25</v>
      </c>
      <c r="K17" s="26" t="s">
        <v>25</v>
      </c>
      <c r="L17" s="26" t="s">
        <v>25</v>
      </c>
      <c r="M17" s="26" t="s">
        <v>25</v>
      </c>
      <c r="N17" s="26" t="s">
        <v>25</v>
      </c>
    </row>
    <row r="18" ht="15.75" customHeight="1">
      <c r="A18" s="20"/>
      <c r="B18" s="21">
        <v>15.0</v>
      </c>
      <c r="C18" s="22" t="s">
        <v>48</v>
      </c>
      <c r="D18" s="22" t="s">
        <v>49</v>
      </c>
      <c r="E18" s="70" t="str">
        <f t="shared" si="2"/>
        <v>8번 중 8번 참여</v>
      </c>
      <c r="F18" s="71">
        <f t="shared" si="3"/>
        <v>1</v>
      </c>
      <c r="G18" s="26" t="s">
        <v>25</v>
      </c>
      <c r="H18" s="26" t="s">
        <v>25</v>
      </c>
      <c r="I18" s="26" t="s">
        <v>25</v>
      </c>
      <c r="J18" s="26" t="s">
        <v>25</v>
      </c>
      <c r="K18" s="26" t="s">
        <v>25</v>
      </c>
      <c r="L18" s="26" t="s">
        <v>25</v>
      </c>
      <c r="M18" s="26" t="s">
        <v>25</v>
      </c>
      <c r="N18" s="26" t="s">
        <v>25</v>
      </c>
    </row>
    <row r="19" ht="15.75" customHeight="1">
      <c r="A19" s="28"/>
      <c r="B19" s="29">
        <v>16.0</v>
      </c>
      <c r="C19" s="30" t="s">
        <v>50</v>
      </c>
      <c r="D19" s="30" t="s">
        <v>51</v>
      </c>
      <c r="E19" s="70" t="str">
        <f t="shared" si="2"/>
        <v>8번 중 8번 참여</v>
      </c>
      <c r="F19" s="71">
        <f t="shared" si="3"/>
        <v>1</v>
      </c>
      <c r="G19" s="26" t="s">
        <v>25</v>
      </c>
      <c r="H19" s="26" t="s">
        <v>25</v>
      </c>
      <c r="I19" s="26" t="s">
        <v>25</v>
      </c>
      <c r="J19" s="26" t="s">
        <v>25</v>
      </c>
      <c r="K19" s="26" t="s">
        <v>25</v>
      </c>
      <c r="L19" s="26" t="s">
        <v>25</v>
      </c>
      <c r="M19" s="26" t="s">
        <v>25</v>
      </c>
      <c r="N19" s="26" t="s">
        <v>25</v>
      </c>
    </row>
    <row r="20" ht="15.75" customHeight="1">
      <c r="A20" s="20"/>
      <c r="B20" s="21">
        <v>17.0</v>
      </c>
      <c r="C20" s="22" t="s">
        <v>52</v>
      </c>
      <c r="D20" s="22" t="s">
        <v>53</v>
      </c>
      <c r="E20" s="70" t="str">
        <f t="shared" si="2"/>
        <v>8번 중 7번 참여</v>
      </c>
      <c r="F20" s="71">
        <f t="shared" si="3"/>
        <v>0.875</v>
      </c>
      <c r="G20" s="26" t="s">
        <v>25</v>
      </c>
      <c r="H20" s="26" t="s">
        <v>25</v>
      </c>
      <c r="I20" s="26" t="s">
        <v>25</v>
      </c>
      <c r="J20" s="26" t="s">
        <v>25</v>
      </c>
      <c r="K20" s="26"/>
      <c r="L20" s="26" t="s">
        <v>25</v>
      </c>
      <c r="M20" s="26" t="s">
        <v>25</v>
      </c>
      <c r="N20" s="26" t="s">
        <v>25</v>
      </c>
    </row>
    <row r="21" ht="15.75" customHeight="1">
      <c r="A21" s="28"/>
      <c r="B21" s="29">
        <v>18.0</v>
      </c>
      <c r="C21" s="30" t="s">
        <v>331</v>
      </c>
      <c r="D21" s="30" t="s">
        <v>332</v>
      </c>
      <c r="E21" s="70" t="str">
        <f t="shared" si="2"/>
        <v>8번 중 8번 참여</v>
      </c>
      <c r="F21" s="71">
        <f t="shared" si="3"/>
        <v>1</v>
      </c>
      <c r="G21" s="26" t="s">
        <v>25</v>
      </c>
      <c r="H21" s="26" t="s">
        <v>25</v>
      </c>
      <c r="I21" s="26" t="s">
        <v>25</v>
      </c>
      <c r="J21" s="26" t="s">
        <v>25</v>
      </c>
      <c r="K21" s="26" t="s">
        <v>25</v>
      </c>
      <c r="L21" s="26" t="s">
        <v>25</v>
      </c>
      <c r="M21" s="26" t="s">
        <v>25</v>
      </c>
      <c r="N21" s="26" t="s">
        <v>25</v>
      </c>
    </row>
    <row r="22" ht="15.75" customHeight="1">
      <c r="A22" s="20"/>
      <c r="B22" s="21">
        <v>19.0</v>
      </c>
      <c r="C22" s="22" t="s">
        <v>56</v>
      </c>
      <c r="D22" s="22" t="s">
        <v>57</v>
      </c>
      <c r="E22" s="70" t="str">
        <f t="shared" si="2"/>
        <v>8번 중 8번 참여</v>
      </c>
      <c r="F22" s="71">
        <f t="shared" si="3"/>
        <v>1</v>
      </c>
      <c r="G22" s="26" t="s">
        <v>25</v>
      </c>
      <c r="H22" s="26" t="s">
        <v>25</v>
      </c>
      <c r="I22" s="26" t="s">
        <v>25</v>
      </c>
      <c r="J22" s="26" t="s">
        <v>25</v>
      </c>
      <c r="K22" s="26" t="s">
        <v>25</v>
      </c>
      <c r="L22" s="26" t="s">
        <v>25</v>
      </c>
      <c r="M22" s="26" t="s">
        <v>25</v>
      </c>
      <c r="N22" s="26" t="s">
        <v>25</v>
      </c>
    </row>
    <row r="23" ht="15.75" customHeight="1">
      <c r="A23" s="28"/>
      <c r="B23" s="29">
        <v>20.0</v>
      </c>
      <c r="C23" s="30" t="s">
        <v>58</v>
      </c>
      <c r="D23" s="30" t="s">
        <v>59</v>
      </c>
      <c r="E23" s="70" t="str">
        <f t="shared" si="2"/>
        <v>8번 중 8번 참여</v>
      </c>
      <c r="F23" s="71">
        <f t="shared" si="3"/>
        <v>1</v>
      </c>
      <c r="G23" s="26" t="s">
        <v>25</v>
      </c>
      <c r="H23" s="26" t="s">
        <v>25</v>
      </c>
      <c r="I23" s="26" t="s">
        <v>25</v>
      </c>
      <c r="J23" s="26" t="s">
        <v>25</v>
      </c>
      <c r="K23" s="26" t="s">
        <v>25</v>
      </c>
      <c r="L23" s="26" t="s">
        <v>25</v>
      </c>
      <c r="M23" s="26" t="s">
        <v>25</v>
      </c>
      <c r="N23" s="26" t="s">
        <v>25</v>
      </c>
    </row>
    <row r="24" ht="15.75" customHeight="1">
      <c r="A24" s="20"/>
      <c r="B24" s="21">
        <v>21.0</v>
      </c>
      <c r="C24" s="22" t="s">
        <v>60</v>
      </c>
      <c r="D24" s="23" t="s">
        <v>61</v>
      </c>
      <c r="E24" s="70" t="str">
        <f t="shared" si="2"/>
        <v>8번 중 8번 참여</v>
      </c>
      <c r="F24" s="71">
        <f t="shared" si="3"/>
        <v>1</v>
      </c>
      <c r="G24" s="26" t="s">
        <v>25</v>
      </c>
      <c r="H24" s="26" t="s">
        <v>25</v>
      </c>
      <c r="I24" s="26" t="s">
        <v>25</v>
      </c>
      <c r="J24" s="26" t="s">
        <v>25</v>
      </c>
      <c r="K24" s="26" t="s">
        <v>25</v>
      </c>
      <c r="L24" s="26" t="s">
        <v>25</v>
      </c>
      <c r="M24" s="26" t="s">
        <v>25</v>
      </c>
      <c r="N24" s="26" t="s">
        <v>25</v>
      </c>
    </row>
    <row r="25" ht="15.75" customHeight="1">
      <c r="A25" s="28"/>
      <c r="B25" s="29">
        <v>22.0</v>
      </c>
      <c r="C25" s="42" t="s">
        <v>62</v>
      </c>
      <c r="D25" s="42" t="s">
        <v>63</v>
      </c>
      <c r="E25" s="70" t="str">
        <f t="shared" si="2"/>
        <v>8번 중 8번 참여</v>
      </c>
      <c r="F25" s="71">
        <f t="shared" si="3"/>
        <v>1</v>
      </c>
      <c r="G25" s="26" t="s">
        <v>25</v>
      </c>
      <c r="H25" s="26" t="s">
        <v>25</v>
      </c>
      <c r="I25" s="26" t="s">
        <v>25</v>
      </c>
      <c r="J25" s="26" t="s">
        <v>25</v>
      </c>
      <c r="K25" s="26" t="s">
        <v>25</v>
      </c>
      <c r="L25" s="26" t="s">
        <v>25</v>
      </c>
      <c r="M25" s="26" t="s">
        <v>25</v>
      </c>
      <c r="N25" s="26" t="s">
        <v>25</v>
      </c>
    </row>
    <row r="26" ht="15.75" customHeight="1">
      <c r="A26" s="20"/>
      <c r="B26" s="21">
        <v>23.0</v>
      </c>
      <c r="C26" s="22" t="s">
        <v>64</v>
      </c>
      <c r="D26" s="22" t="s">
        <v>65</v>
      </c>
      <c r="E26" s="70" t="str">
        <f t="shared" si="2"/>
        <v>8번 중 8번 참여</v>
      </c>
      <c r="F26" s="71">
        <f t="shared" si="3"/>
        <v>1</v>
      </c>
      <c r="G26" s="26" t="s">
        <v>25</v>
      </c>
      <c r="H26" s="26" t="s">
        <v>25</v>
      </c>
      <c r="I26" s="26" t="s">
        <v>25</v>
      </c>
      <c r="J26" s="26" t="s">
        <v>25</v>
      </c>
      <c r="K26" s="26" t="s">
        <v>25</v>
      </c>
      <c r="L26" s="26" t="s">
        <v>25</v>
      </c>
      <c r="M26" s="26" t="s">
        <v>25</v>
      </c>
      <c r="N26" s="26" t="s">
        <v>25</v>
      </c>
    </row>
    <row r="27" ht="15.75" customHeight="1">
      <c r="A27" s="28"/>
      <c r="B27" s="29">
        <v>24.0</v>
      </c>
      <c r="C27" s="30" t="s">
        <v>337</v>
      </c>
      <c r="D27" s="30" t="s">
        <v>338</v>
      </c>
      <c r="E27" s="70" t="str">
        <f t="shared" si="2"/>
        <v>8번 중 2번 참여</v>
      </c>
      <c r="F27" s="71">
        <f t="shared" si="3"/>
        <v>0.25</v>
      </c>
      <c r="G27" s="26" t="s">
        <v>25</v>
      </c>
      <c r="H27" s="26" t="s">
        <v>25</v>
      </c>
      <c r="I27" s="26"/>
      <c r="J27" s="26"/>
      <c r="K27" s="26"/>
      <c r="L27" s="26"/>
      <c r="M27" s="26"/>
      <c r="N27" s="26"/>
    </row>
    <row r="28" ht="15.75" customHeight="1">
      <c r="A28" s="20"/>
      <c r="B28" s="21">
        <v>25.0</v>
      </c>
      <c r="C28" s="22" t="s">
        <v>422</v>
      </c>
      <c r="D28" s="22" t="s">
        <v>339</v>
      </c>
      <c r="E28" s="70" t="str">
        <f t="shared" si="2"/>
        <v>8번 중 2번 참여</v>
      </c>
      <c r="F28" s="71">
        <f t="shared" si="3"/>
        <v>0.25</v>
      </c>
      <c r="G28" s="26" t="s">
        <v>25</v>
      </c>
      <c r="H28" s="26" t="s">
        <v>25</v>
      </c>
      <c r="I28" s="26"/>
      <c r="J28" s="26"/>
      <c r="K28" s="26"/>
      <c r="L28" s="26"/>
      <c r="M28" s="26"/>
      <c r="N28" s="26"/>
    </row>
    <row r="29" ht="15.75" customHeight="1">
      <c r="A29" s="28"/>
      <c r="B29" s="29">
        <v>26.0</v>
      </c>
      <c r="C29" s="30" t="s">
        <v>74</v>
      </c>
      <c r="D29" s="30" t="s">
        <v>75</v>
      </c>
      <c r="E29" s="70" t="str">
        <f t="shared" si="2"/>
        <v>8번 중 6번 참여</v>
      </c>
      <c r="F29" s="71">
        <f t="shared" si="3"/>
        <v>0.75</v>
      </c>
      <c r="G29" s="26" t="s">
        <v>25</v>
      </c>
      <c r="H29" s="26" t="s">
        <v>25</v>
      </c>
      <c r="I29" s="26" t="s">
        <v>25</v>
      </c>
      <c r="J29" s="26"/>
      <c r="K29" s="26" t="s">
        <v>25</v>
      </c>
      <c r="L29" s="26" t="s">
        <v>25</v>
      </c>
      <c r="M29" s="26" t="s">
        <v>25</v>
      </c>
      <c r="N29" s="26"/>
    </row>
    <row r="30" ht="15.75" customHeight="1">
      <c r="A30" s="20"/>
      <c r="B30" s="21">
        <v>27.0</v>
      </c>
      <c r="C30" s="22" t="s">
        <v>76</v>
      </c>
      <c r="D30" s="23" t="s">
        <v>77</v>
      </c>
      <c r="E30" s="70" t="str">
        <f t="shared" si="2"/>
        <v>8번 중 8번 참여</v>
      </c>
      <c r="F30" s="71">
        <f t="shared" si="3"/>
        <v>1</v>
      </c>
      <c r="G30" s="26" t="s">
        <v>25</v>
      </c>
      <c r="H30" s="26" t="s">
        <v>25</v>
      </c>
      <c r="I30" s="26" t="s">
        <v>25</v>
      </c>
      <c r="J30" s="26" t="s">
        <v>25</v>
      </c>
      <c r="K30" s="26" t="s">
        <v>25</v>
      </c>
      <c r="L30" s="26" t="s">
        <v>25</v>
      </c>
      <c r="M30" s="26" t="s">
        <v>25</v>
      </c>
      <c r="N30" s="26" t="s">
        <v>25</v>
      </c>
    </row>
    <row r="31" ht="15.75" customHeight="1">
      <c r="A31" s="28"/>
      <c r="B31" s="29">
        <v>28.0</v>
      </c>
      <c r="C31" s="30" t="s">
        <v>78</v>
      </c>
      <c r="D31" s="30" t="s">
        <v>79</v>
      </c>
      <c r="E31" s="70" t="str">
        <f t="shared" si="2"/>
        <v>8번 중 8번 참여</v>
      </c>
      <c r="F31" s="71">
        <f t="shared" si="3"/>
        <v>1</v>
      </c>
      <c r="G31" s="26" t="s">
        <v>25</v>
      </c>
      <c r="H31" s="26" t="s">
        <v>25</v>
      </c>
      <c r="I31" s="26" t="s">
        <v>25</v>
      </c>
      <c r="J31" s="26" t="s">
        <v>25</v>
      </c>
      <c r="K31" s="26" t="s">
        <v>25</v>
      </c>
      <c r="L31" s="26" t="s">
        <v>25</v>
      </c>
      <c r="M31" s="26" t="s">
        <v>25</v>
      </c>
      <c r="N31" s="26" t="s">
        <v>25</v>
      </c>
    </row>
    <row r="32" ht="15.75" customHeight="1">
      <c r="A32" s="20"/>
      <c r="B32" s="21">
        <v>29.0</v>
      </c>
      <c r="C32" s="22" t="s">
        <v>130</v>
      </c>
      <c r="D32" s="22" t="s">
        <v>486</v>
      </c>
      <c r="E32" s="70" t="str">
        <f t="shared" si="2"/>
        <v>8번 중 1번 참여</v>
      </c>
      <c r="F32" s="71">
        <f t="shared" si="3"/>
        <v>0.125</v>
      </c>
      <c r="G32" s="26"/>
      <c r="H32" s="26"/>
      <c r="I32" s="26" t="s">
        <v>25</v>
      </c>
      <c r="J32" s="26"/>
      <c r="K32" s="26"/>
      <c r="L32" s="26"/>
      <c r="M32" s="26"/>
      <c r="N32" s="26"/>
    </row>
    <row r="33" ht="15.75" customHeight="1">
      <c r="A33" s="28"/>
      <c r="B33" s="29">
        <v>30.0</v>
      </c>
      <c r="C33" s="30" t="s">
        <v>81</v>
      </c>
      <c r="D33" s="30" t="s">
        <v>82</v>
      </c>
      <c r="E33" s="70" t="str">
        <f t="shared" si="2"/>
        <v>8번 중 8번 참여</v>
      </c>
      <c r="F33" s="71">
        <f t="shared" si="3"/>
        <v>1</v>
      </c>
      <c r="G33" s="26" t="s">
        <v>25</v>
      </c>
      <c r="H33" s="26" t="s">
        <v>25</v>
      </c>
      <c r="I33" s="26" t="s">
        <v>25</v>
      </c>
      <c r="J33" s="26" t="s">
        <v>25</v>
      </c>
      <c r="K33" s="26" t="s">
        <v>25</v>
      </c>
      <c r="L33" s="26" t="s">
        <v>25</v>
      </c>
      <c r="M33" s="26" t="s">
        <v>25</v>
      </c>
      <c r="N33" s="26" t="s">
        <v>25</v>
      </c>
    </row>
    <row r="34" ht="15.75" customHeight="1">
      <c r="A34" s="20"/>
      <c r="B34" s="21">
        <v>31.0</v>
      </c>
      <c r="C34" s="22" t="s">
        <v>83</v>
      </c>
      <c r="D34" s="22" t="s">
        <v>84</v>
      </c>
      <c r="E34" s="70" t="str">
        <f t="shared" si="2"/>
        <v>8번 중 8번 참여</v>
      </c>
      <c r="F34" s="71">
        <f t="shared" si="3"/>
        <v>1</v>
      </c>
      <c r="G34" s="26" t="s">
        <v>25</v>
      </c>
      <c r="H34" s="26" t="s">
        <v>25</v>
      </c>
      <c r="I34" s="26" t="s">
        <v>25</v>
      </c>
      <c r="J34" s="26" t="s">
        <v>25</v>
      </c>
      <c r="K34" s="26" t="s">
        <v>25</v>
      </c>
      <c r="L34" s="26" t="s">
        <v>25</v>
      </c>
      <c r="M34" s="26" t="s">
        <v>25</v>
      </c>
      <c r="N34" s="26" t="s">
        <v>25</v>
      </c>
    </row>
    <row r="35" ht="15.75" customHeight="1">
      <c r="A35" s="28"/>
      <c r="B35" s="29">
        <v>32.0</v>
      </c>
      <c r="C35" s="30" t="s">
        <v>85</v>
      </c>
      <c r="D35" s="30" t="s">
        <v>86</v>
      </c>
      <c r="E35" s="70" t="str">
        <f t="shared" si="2"/>
        <v>8번 중 6번 참여</v>
      </c>
      <c r="F35" s="71">
        <f t="shared" si="3"/>
        <v>0.75</v>
      </c>
      <c r="G35" s="26" t="s">
        <v>25</v>
      </c>
      <c r="H35" s="26" t="s">
        <v>25</v>
      </c>
      <c r="I35" s="26" t="s">
        <v>25</v>
      </c>
      <c r="J35" s="26" t="s">
        <v>25</v>
      </c>
      <c r="K35" s="26"/>
      <c r="L35" s="26" t="s">
        <v>25</v>
      </c>
      <c r="M35" s="26"/>
      <c r="N35" s="26" t="s">
        <v>25</v>
      </c>
    </row>
    <row r="36" ht="15.75" customHeight="1">
      <c r="A36" s="20"/>
      <c r="B36" s="21">
        <v>33.0</v>
      </c>
      <c r="C36" s="22" t="s">
        <v>87</v>
      </c>
      <c r="D36" s="23" t="s">
        <v>88</v>
      </c>
      <c r="E36" s="70" t="str">
        <f t="shared" si="2"/>
        <v>8번 중 6번 참여</v>
      </c>
      <c r="F36" s="71">
        <f t="shared" si="3"/>
        <v>0.75</v>
      </c>
      <c r="G36" s="26" t="s">
        <v>25</v>
      </c>
      <c r="H36" s="26" t="s">
        <v>25</v>
      </c>
      <c r="I36" s="26"/>
      <c r="J36" s="26" t="s">
        <v>25</v>
      </c>
      <c r="K36" s="26"/>
      <c r="L36" s="26" t="s">
        <v>25</v>
      </c>
      <c r="M36" s="26" t="s">
        <v>25</v>
      </c>
      <c r="N36" s="26" t="s">
        <v>25</v>
      </c>
    </row>
    <row r="37" ht="15.75" customHeight="1">
      <c r="A37" s="28"/>
      <c r="B37" s="29">
        <v>34.0</v>
      </c>
      <c r="C37" s="30" t="s">
        <v>423</v>
      </c>
      <c r="D37" s="30" t="s">
        <v>391</v>
      </c>
      <c r="E37" s="70" t="str">
        <f t="shared" si="2"/>
        <v>8번 중 3번 참여</v>
      </c>
      <c r="F37" s="71">
        <f t="shared" si="3"/>
        <v>0.375</v>
      </c>
      <c r="G37" s="26" t="s">
        <v>25</v>
      </c>
      <c r="H37" s="26" t="s">
        <v>80</v>
      </c>
      <c r="I37" s="26" t="s">
        <v>25</v>
      </c>
      <c r="J37" s="26" t="s">
        <v>25</v>
      </c>
      <c r="K37" s="26"/>
      <c r="L37" s="26"/>
      <c r="M37" s="26"/>
      <c r="N37" s="26"/>
    </row>
    <row r="38" ht="15.75" customHeight="1">
      <c r="A38" s="20"/>
      <c r="B38" s="21">
        <v>35.0</v>
      </c>
      <c r="C38" s="44" t="s">
        <v>91</v>
      </c>
      <c r="D38" s="44" t="s">
        <v>92</v>
      </c>
      <c r="E38" s="70" t="str">
        <f t="shared" si="2"/>
        <v>8번 중 8번 참여</v>
      </c>
      <c r="F38" s="71">
        <f t="shared" si="3"/>
        <v>1</v>
      </c>
      <c r="G38" s="26" t="s">
        <v>25</v>
      </c>
      <c r="H38" s="26" t="s">
        <v>25</v>
      </c>
      <c r="I38" s="26" t="s">
        <v>25</v>
      </c>
      <c r="J38" s="26" t="s">
        <v>25</v>
      </c>
      <c r="K38" s="26" t="s">
        <v>25</v>
      </c>
      <c r="L38" s="26" t="s">
        <v>25</v>
      </c>
      <c r="M38" s="26" t="s">
        <v>25</v>
      </c>
      <c r="N38" s="26" t="s">
        <v>25</v>
      </c>
    </row>
    <row r="39" ht="15.75" customHeight="1">
      <c r="A39" s="28"/>
      <c r="B39" s="29">
        <v>36.0</v>
      </c>
      <c r="C39" s="151" t="s">
        <v>93</v>
      </c>
      <c r="D39" s="151" t="s">
        <v>94</v>
      </c>
      <c r="E39" s="70" t="str">
        <f t="shared" si="2"/>
        <v>8번 중 8번 참여</v>
      </c>
      <c r="F39" s="71">
        <f t="shared" si="3"/>
        <v>1</v>
      </c>
      <c r="G39" s="26" t="s">
        <v>25</v>
      </c>
      <c r="H39" s="26" t="s">
        <v>25</v>
      </c>
      <c r="I39" s="26" t="s">
        <v>25</v>
      </c>
      <c r="J39" s="26" t="s">
        <v>25</v>
      </c>
      <c r="K39" s="26" t="s">
        <v>25</v>
      </c>
      <c r="L39" s="26" t="s">
        <v>25</v>
      </c>
      <c r="M39" s="26" t="s">
        <v>25</v>
      </c>
      <c r="N39" s="26" t="s">
        <v>25</v>
      </c>
    </row>
    <row r="40" ht="15.75" customHeight="1">
      <c r="A40" s="20"/>
      <c r="B40" s="21">
        <v>37.0</v>
      </c>
      <c r="C40" s="22" t="s">
        <v>124</v>
      </c>
      <c r="D40" s="22" t="s">
        <v>125</v>
      </c>
      <c r="E40" s="70" t="str">
        <f t="shared" si="2"/>
        <v>8번 중 8번 참여</v>
      </c>
      <c r="F40" s="71">
        <f t="shared" si="3"/>
        <v>1</v>
      </c>
      <c r="G40" s="26" t="s">
        <v>25</v>
      </c>
      <c r="H40" s="26" t="s">
        <v>25</v>
      </c>
      <c r="I40" s="26" t="s">
        <v>25</v>
      </c>
      <c r="J40" s="26" t="s">
        <v>25</v>
      </c>
      <c r="K40" s="26" t="s">
        <v>25</v>
      </c>
      <c r="L40" s="26" t="s">
        <v>25</v>
      </c>
      <c r="M40" s="26" t="s">
        <v>25</v>
      </c>
      <c r="N40" s="26" t="s">
        <v>25</v>
      </c>
    </row>
    <row r="41" ht="15.75" customHeight="1">
      <c r="A41" s="28"/>
      <c r="B41" s="29">
        <v>38.0</v>
      </c>
      <c r="C41" s="30" t="s">
        <v>128</v>
      </c>
      <c r="D41" s="30" t="s">
        <v>129</v>
      </c>
      <c r="E41" s="70" t="str">
        <f t="shared" si="2"/>
        <v>8번 중 8번 참여</v>
      </c>
      <c r="F41" s="71">
        <f t="shared" si="3"/>
        <v>1</v>
      </c>
      <c r="G41" s="26" t="s">
        <v>25</v>
      </c>
      <c r="H41" s="26" t="s">
        <v>25</v>
      </c>
      <c r="I41" s="26" t="s">
        <v>25</v>
      </c>
      <c r="J41" s="26" t="s">
        <v>25</v>
      </c>
      <c r="K41" s="26" t="s">
        <v>25</v>
      </c>
      <c r="L41" s="26" t="s">
        <v>25</v>
      </c>
      <c r="M41" s="26" t="s">
        <v>25</v>
      </c>
      <c r="N41" s="26" t="s">
        <v>25</v>
      </c>
    </row>
    <row r="42" ht="15.75" customHeight="1">
      <c r="A42" s="20"/>
      <c r="B42" s="21">
        <v>39.0</v>
      </c>
      <c r="C42" s="22" t="s">
        <v>99</v>
      </c>
      <c r="D42" s="22" t="s">
        <v>100</v>
      </c>
      <c r="E42" s="70" t="str">
        <f t="shared" si="2"/>
        <v>8번 중 7번 참여</v>
      </c>
      <c r="F42" s="71">
        <f t="shared" si="3"/>
        <v>0.875</v>
      </c>
      <c r="G42" s="26" t="s">
        <v>25</v>
      </c>
      <c r="H42" s="26"/>
      <c r="I42" s="26" t="s">
        <v>25</v>
      </c>
      <c r="J42" s="26" t="s">
        <v>25</v>
      </c>
      <c r="K42" s="26" t="s">
        <v>25</v>
      </c>
      <c r="L42" s="26" t="s">
        <v>25</v>
      </c>
      <c r="M42" s="26" t="s">
        <v>25</v>
      </c>
      <c r="N42" s="26" t="s">
        <v>25</v>
      </c>
    </row>
    <row r="43" ht="15.75" customHeight="1">
      <c r="A43" s="28"/>
      <c r="B43" s="29">
        <v>40.0</v>
      </c>
      <c r="C43" s="30" t="s">
        <v>349</v>
      </c>
      <c r="D43" s="30" t="s">
        <v>350</v>
      </c>
      <c r="E43" s="70" t="str">
        <f t="shared" si="2"/>
        <v>8번 중 8번 참여</v>
      </c>
      <c r="F43" s="71">
        <f t="shared" si="3"/>
        <v>1</v>
      </c>
      <c r="G43" s="26" t="s">
        <v>25</v>
      </c>
      <c r="H43" s="26" t="s">
        <v>25</v>
      </c>
      <c r="I43" s="26" t="s">
        <v>25</v>
      </c>
      <c r="J43" s="26" t="s">
        <v>25</v>
      </c>
      <c r="K43" s="26" t="s">
        <v>25</v>
      </c>
      <c r="L43" s="26" t="s">
        <v>25</v>
      </c>
      <c r="M43" s="26" t="s">
        <v>25</v>
      </c>
      <c r="N43" s="26" t="s">
        <v>25</v>
      </c>
    </row>
    <row r="44" ht="15.75" customHeight="1">
      <c r="A44" s="20"/>
      <c r="B44" s="21">
        <v>41.0</v>
      </c>
      <c r="C44" s="82" t="s">
        <v>95</v>
      </c>
      <c r="D44" s="82" t="s">
        <v>96</v>
      </c>
      <c r="E44" s="70" t="str">
        <f t="shared" si="2"/>
        <v>8번 중 8번 참여</v>
      </c>
      <c r="F44" s="71">
        <f t="shared" si="3"/>
        <v>1</v>
      </c>
      <c r="G44" s="26" t="s">
        <v>25</v>
      </c>
      <c r="H44" s="26" t="s">
        <v>25</v>
      </c>
      <c r="I44" s="26" t="s">
        <v>25</v>
      </c>
      <c r="J44" s="26" t="s">
        <v>25</v>
      </c>
      <c r="K44" s="26" t="s">
        <v>25</v>
      </c>
      <c r="L44" s="26" t="s">
        <v>25</v>
      </c>
      <c r="M44" s="26" t="s">
        <v>25</v>
      </c>
      <c r="N44" s="26" t="s">
        <v>25</v>
      </c>
    </row>
    <row r="45" ht="15.75" customHeight="1">
      <c r="A45" s="28"/>
      <c r="B45" s="29">
        <v>42.0</v>
      </c>
      <c r="C45" s="30" t="s">
        <v>97</v>
      </c>
      <c r="D45" s="30" t="s">
        <v>98</v>
      </c>
      <c r="E45" s="70" t="str">
        <f t="shared" si="2"/>
        <v>8번 중 8번 참여</v>
      </c>
      <c r="F45" s="71">
        <f t="shared" si="3"/>
        <v>1</v>
      </c>
      <c r="G45" s="26" t="s">
        <v>25</v>
      </c>
      <c r="H45" s="26" t="s">
        <v>25</v>
      </c>
      <c r="I45" s="26" t="s">
        <v>25</v>
      </c>
      <c r="J45" s="26" t="s">
        <v>25</v>
      </c>
      <c r="K45" s="26" t="s">
        <v>25</v>
      </c>
      <c r="L45" s="26" t="s">
        <v>25</v>
      </c>
      <c r="M45" s="26" t="s">
        <v>25</v>
      </c>
      <c r="N45" s="26" t="s">
        <v>25</v>
      </c>
    </row>
    <row r="46" ht="15.75" customHeight="1">
      <c r="A46" s="20"/>
      <c r="B46" s="154">
        <v>43.0</v>
      </c>
      <c r="C46" s="82" t="s">
        <v>351</v>
      </c>
      <c r="D46" s="82" t="s">
        <v>352</v>
      </c>
      <c r="E46" s="70" t="str">
        <f t="shared" si="2"/>
        <v>8번 중 1번 참여</v>
      </c>
      <c r="F46" s="71">
        <f t="shared" si="3"/>
        <v>0.125</v>
      </c>
      <c r="G46" s="26" t="s">
        <v>25</v>
      </c>
      <c r="H46" s="26"/>
      <c r="I46" s="26"/>
      <c r="J46" s="26"/>
      <c r="K46" s="26"/>
      <c r="L46" s="26"/>
      <c r="M46" s="26"/>
      <c r="N46" s="26"/>
    </row>
    <row r="47" ht="15.75" customHeight="1">
      <c r="A47" s="28"/>
      <c r="B47" s="29">
        <v>44.0</v>
      </c>
      <c r="C47" s="22" t="s">
        <v>103</v>
      </c>
      <c r="D47" s="22" t="s">
        <v>104</v>
      </c>
      <c r="E47" s="70" t="str">
        <f t="shared" si="2"/>
        <v>8번 중 8번 참여</v>
      </c>
      <c r="F47" s="71">
        <f t="shared" si="3"/>
        <v>1</v>
      </c>
      <c r="G47" s="26" t="s">
        <v>25</v>
      </c>
      <c r="H47" s="26" t="s">
        <v>25</v>
      </c>
      <c r="I47" s="26" t="s">
        <v>25</v>
      </c>
      <c r="J47" s="26" t="s">
        <v>25</v>
      </c>
      <c r="K47" s="26" t="s">
        <v>25</v>
      </c>
      <c r="L47" s="26" t="s">
        <v>25</v>
      </c>
      <c r="M47" s="26" t="s">
        <v>25</v>
      </c>
      <c r="N47" s="26" t="s">
        <v>25</v>
      </c>
    </row>
    <row r="48" ht="15.75" customHeight="1">
      <c r="A48" s="20"/>
      <c r="B48" s="21">
        <v>45.0</v>
      </c>
      <c r="C48" s="30" t="s">
        <v>353</v>
      </c>
      <c r="D48" s="30" t="s">
        <v>354</v>
      </c>
      <c r="E48" s="70" t="str">
        <f t="shared" si="2"/>
        <v>8번 중 8번 참여</v>
      </c>
      <c r="F48" s="71">
        <f t="shared" si="3"/>
        <v>1</v>
      </c>
      <c r="G48" s="26" t="s">
        <v>25</v>
      </c>
      <c r="H48" s="26" t="s">
        <v>25</v>
      </c>
      <c r="I48" s="26" t="s">
        <v>25</v>
      </c>
      <c r="J48" s="26" t="s">
        <v>25</v>
      </c>
      <c r="K48" s="26" t="s">
        <v>25</v>
      </c>
      <c r="L48" s="26" t="s">
        <v>25</v>
      </c>
      <c r="M48" s="26" t="s">
        <v>25</v>
      </c>
      <c r="N48" s="26" t="s">
        <v>25</v>
      </c>
    </row>
    <row r="49" ht="15.75" customHeight="1">
      <c r="A49" s="28"/>
      <c r="B49" s="29">
        <v>46.0</v>
      </c>
      <c r="C49" s="22" t="s">
        <v>286</v>
      </c>
      <c r="D49" s="22" t="s">
        <v>121</v>
      </c>
      <c r="E49" s="70" t="str">
        <f t="shared" si="2"/>
        <v>8번 중 8번 참여</v>
      </c>
      <c r="F49" s="71">
        <f t="shared" si="3"/>
        <v>1</v>
      </c>
      <c r="G49" s="26" t="s">
        <v>25</v>
      </c>
      <c r="H49" s="26" t="s">
        <v>25</v>
      </c>
      <c r="I49" s="26" t="s">
        <v>25</v>
      </c>
      <c r="J49" s="26" t="s">
        <v>25</v>
      </c>
      <c r="K49" s="26" t="s">
        <v>25</v>
      </c>
      <c r="L49" s="26" t="s">
        <v>25</v>
      </c>
      <c r="M49" s="26" t="s">
        <v>25</v>
      </c>
      <c r="N49" s="26" t="s">
        <v>25</v>
      </c>
    </row>
    <row r="50" ht="15.75" customHeight="1">
      <c r="A50" s="20"/>
      <c r="B50" s="21">
        <v>47.0</v>
      </c>
      <c r="C50" s="30" t="s">
        <v>101</v>
      </c>
      <c r="D50" s="30" t="s">
        <v>102</v>
      </c>
      <c r="E50" s="70" t="str">
        <f t="shared" si="2"/>
        <v>8번 중 7번 참여</v>
      </c>
      <c r="F50" s="71">
        <f t="shared" si="3"/>
        <v>0.875</v>
      </c>
      <c r="G50" s="26" t="s">
        <v>25</v>
      </c>
      <c r="H50" s="26"/>
      <c r="I50" s="26" t="s">
        <v>25</v>
      </c>
      <c r="J50" s="26" t="s">
        <v>25</v>
      </c>
      <c r="K50" s="26" t="s">
        <v>25</v>
      </c>
      <c r="L50" s="26" t="s">
        <v>25</v>
      </c>
      <c r="M50" s="26" t="s">
        <v>25</v>
      </c>
      <c r="N50" s="26" t="s">
        <v>25</v>
      </c>
    </row>
    <row r="51" ht="15.75" customHeight="1">
      <c r="A51" s="28"/>
      <c r="B51" s="29">
        <v>48.0</v>
      </c>
      <c r="C51" s="184" t="s">
        <v>283</v>
      </c>
      <c r="D51" s="185" t="s">
        <v>284</v>
      </c>
      <c r="E51" s="70" t="str">
        <f t="shared" si="2"/>
        <v>8번 중 8번 참여</v>
      </c>
      <c r="F51" s="71">
        <f t="shared" si="3"/>
        <v>1</v>
      </c>
      <c r="G51" s="26" t="s">
        <v>25</v>
      </c>
      <c r="H51" s="26" t="s">
        <v>25</v>
      </c>
      <c r="I51" s="26" t="s">
        <v>25</v>
      </c>
      <c r="J51" s="26" t="s">
        <v>25</v>
      </c>
      <c r="K51" s="26" t="s">
        <v>25</v>
      </c>
      <c r="L51" s="26" t="s">
        <v>25</v>
      </c>
      <c r="M51" s="26" t="s">
        <v>25</v>
      </c>
      <c r="N51" s="26" t="s">
        <v>25</v>
      </c>
    </row>
    <row r="52" ht="15.75" customHeight="1">
      <c r="A52" s="20"/>
      <c r="B52" s="21">
        <v>49.0</v>
      </c>
      <c r="C52" s="155" t="s">
        <v>359</v>
      </c>
      <c r="D52" s="155" t="s">
        <v>360</v>
      </c>
      <c r="E52" s="70" t="str">
        <f t="shared" si="2"/>
        <v/>
      </c>
      <c r="F52" s="71" t="str">
        <f t="shared" si="3"/>
        <v/>
      </c>
      <c r="G52" s="26"/>
      <c r="H52" s="26"/>
      <c r="I52" s="26"/>
      <c r="J52" s="26"/>
      <c r="K52" s="26"/>
      <c r="L52" s="26"/>
      <c r="M52" s="26"/>
      <c r="N52" s="26"/>
    </row>
    <row r="53" ht="15.75" customHeight="1">
      <c r="A53" s="28"/>
      <c r="B53" s="29">
        <v>50.0</v>
      </c>
      <c r="C53" s="22" t="s">
        <v>361</v>
      </c>
      <c r="D53" s="22" t="s">
        <v>362</v>
      </c>
      <c r="E53" s="70" t="str">
        <f t="shared" si="2"/>
        <v>8번 중 7번 참여</v>
      </c>
      <c r="F53" s="71">
        <f t="shared" si="3"/>
        <v>0.875</v>
      </c>
      <c r="G53" s="26" t="s">
        <v>25</v>
      </c>
      <c r="H53" s="26" t="s">
        <v>25</v>
      </c>
      <c r="I53" s="26"/>
      <c r="J53" s="26" t="s">
        <v>25</v>
      </c>
      <c r="K53" s="26" t="s">
        <v>25</v>
      </c>
      <c r="L53" s="26" t="s">
        <v>25</v>
      </c>
      <c r="M53" s="26" t="s">
        <v>25</v>
      </c>
      <c r="N53" s="26" t="s">
        <v>25</v>
      </c>
    </row>
    <row r="54" ht="15.75" customHeight="1">
      <c r="A54" s="20"/>
      <c r="B54" s="21">
        <v>51.0</v>
      </c>
      <c r="C54" s="30" t="s">
        <v>111</v>
      </c>
      <c r="D54" s="30" t="s">
        <v>112</v>
      </c>
      <c r="E54" s="70" t="str">
        <f t="shared" si="2"/>
        <v>8번 중 8번 참여</v>
      </c>
      <c r="F54" s="71">
        <f t="shared" si="3"/>
        <v>1</v>
      </c>
      <c r="G54" s="26" t="s">
        <v>25</v>
      </c>
      <c r="H54" s="26" t="s">
        <v>25</v>
      </c>
      <c r="I54" s="26" t="s">
        <v>25</v>
      </c>
      <c r="J54" s="26" t="s">
        <v>25</v>
      </c>
      <c r="K54" s="26" t="s">
        <v>25</v>
      </c>
      <c r="L54" s="26" t="s">
        <v>25</v>
      </c>
      <c r="M54" s="26" t="s">
        <v>25</v>
      </c>
      <c r="N54" s="26" t="s">
        <v>25</v>
      </c>
    </row>
    <row r="55" ht="15.75" customHeight="1">
      <c r="A55" s="28"/>
      <c r="B55" s="29">
        <v>52.0</v>
      </c>
      <c r="C55" s="22" t="s">
        <v>113</v>
      </c>
      <c r="D55" s="22" t="s">
        <v>114</v>
      </c>
      <c r="E55" s="70" t="str">
        <f t="shared" si="2"/>
        <v>8번 중 8번 참여</v>
      </c>
      <c r="F55" s="71">
        <f t="shared" si="3"/>
        <v>1</v>
      </c>
      <c r="G55" s="26" t="s">
        <v>25</v>
      </c>
      <c r="H55" s="26" t="s">
        <v>25</v>
      </c>
      <c r="I55" s="26" t="s">
        <v>25</v>
      </c>
      <c r="J55" s="26" t="s">
        <v>25</v>
      </c>
      <c r="K55" s="26" t="s">
        <v>25</v>
      </c>
      <c r="L55" s="26" t="s">
        <v>25</v>
      </c>
      <c r="M55" s="26" t="s">
        <v>25</v>
      </c>
      <c r="N55" s="26" t="s">
        <v>25</v>
      </c>
    </row>
    <row r="56" ht="15.75" customHeight="1">
      <c r="A56" s="20"/>
      <c r="B56" s="21">
        <v>53.0</v>
      </c>
      <c r="C56" s="30" t="s">
        <v>363</v>
      </c>
      <c r="D56" s="30" t="s">
        <v>364</v>
      </c>
      <c r="E56" s="70" t="str">
        <f t="shared" si="2"/>
        <v>8번 중 5번 참여</v>
      </c>
      <c r="F56" s="71">
        <f t="shared" si="3"/>
        <v>0.625</v>
      </c>
      <c r="G56" s="26" t="s">
        <v>25</v>
      </c>
      <c r="H56" s="26"/>
      <c r="I56" s="26" t="s">
        <v>25</v>
      </c>
      <c r="J56" s="26" t="s">
        <v>25</v>
      </c>
      <c r="K56" s="26" t="s">
        <v>25</v>
      </c>
      <c r="L56" s="26"/>
      <c r="M56" s="26"/>
      <c r="N56" s="26" t="s">
        <v>25</v>
      </c>
    </row>
    <row r="57" ht="15.75" customHeight="1">
      <c r="A57" s="28"/>
      <c r="B57" s="29">
        <v>54.0</v>
      </c>
      <c r="C57" s="22" t="s">
        <v>132</v>
      </c>
      <c r="D57" s="22" t="s">
        <v>133</v>
      </c>
      <c r="E57" s="70" t="str">
        <f t="shared" si="2"/>
        <v>8번 중 8번 참여</v>
      </c>
      <c r="F57" s="71">
        <f t="shared" si="3"/>
        <v>1</v>
      </c>
      <c r="G57" s="26" t="s">
        <v>25</v>
      </c>
      <c r="H57" s="26" t="s">
        <v>25</v>
      </c>
      <c r="I57" s="26" t="s">
        <v>25</v>
      </c>
      <c r="J57" s="26" t="s">
        <v>25</v>
      </c>
      <c r="K57" s="26" t="s">
        <v>25</v>
      </c>
      <c r="L57" s="26" t="s">
        <v>25</v>
      </c>
      <c r="M57" s="26" t="s">
        <v>25</v>
      </c>
      <c r="N57" s="26" t="s">
        <v>25</v>
      </c>
    </row>
    <row r="58" ht="15.75" customHeight="1">
      <c r="A58" s="20" t="s">
        <v>487</v>
      </c>
      <c r="B58" s="21">
        <v>55.0</v>
      </c>
      <c r="C58" s="30" t="s">
        <v>285</v>
      </c>
      <c r="D58" s="30" t="s">
        <v>119</v>
      </c>
      <c r="E58" s="70" t="str">
        <f t="shared" si="2"/>
        <v>8번 중 8번 참여</v>
      </c>
      <c r="F58" s="71">
        <f t="shared" si="3"/>
        <v>1</v>
      </c>
      <c r="G58" s="26" t="s">
        <v>25</v>
      </c>
      <c r="H58" s="26" t="s">
        <v>25</v>
      </c>
      <c r="I58" s="26" t="s">
        <v>25</v>
      </c>
      <c r="J58" s="26" t="s">
        <v>25</v>
      </c>
      <c r="K58" s="26" t="s">
        <v>25</v>
      </c>
      <c r="L58" s="26" t="s">
        <v>25</v>
      </c>
      <c r="M58" s="26" t="s">
        <v>25</v>
      </c>
      <c r="N58" s="26" t="s">
        <v>25</v>
      </c>
    </row>
    <row r="59" ht="15.75" customHeight="1">
      <c r="A59" s="28"/>
      <c r="B59" s="29">
        <v>56.0</v>
      </c>
      <c r="C59" s="22" t="s">
        <v>365</v>
      </c>
      <c r="D59" s="22" t="s">
        <v>366</v>
      </c>
      <c r="E59" s="70" t="str">
        <f t="shared" si="2"/>
        <v>8번 중 7번 참여</v>
      </c>
      <c r="F59" s="71">
        <f t="shared" si="3"/>
        <v>0.875</v>
      </c>
      <c r="G59" s="26" t="s">
        <v>25</v>
      </c>
      <c r="H59" s="26" t="s">
        <v>25</v>
      </c>
      <c r="I59" s="26" t="s">
        <v>25</v>
      </c>
      <c r="J59" s="26" t="s">
        <v>25</v>
      </c>
      <c r="K59" s="26" t="s">
        <v>25</v>
      </c>
      <c r="L59" s="26"/>
      <c r="M59" s="26" t="s">
        <v>25</v>
      </c>
      <c r="N59" s="26" t="s">
        <v>25</v>
      </c>
    </row>
    <row r="60" ht="15.75" customHeight="1">
      <c r="A60" s="20"/>
      <c r="B60" s="21">
        <v>57.0</v>
      </c>
      <c r="C60" s="42" t="s">
        <v>28</v>
      </c>
      <c r="D60" s="42" t="s">
        <v>70</v>
      </c>
      <c r="E60" s="70" t="str">
        <f t="shared" si="2"/>
        <v>8번 중 8번 참여</v>
      </c>
      <c r="F60" s="71">
        <f t="shared" si="3"/>
        <v>1</v>
      </c>
      <c r="G60" s="26" t="s">
        <v>25</v>
      </c>
      <c r="H60" s="26" t="s">
        <v>25</v>
      </c>
      <c r="I60" s="26" t="s">
        <v>25</v>
      </c>
      <c r="J60" s="26" t="s">
        <v>25</v>
      </c>
      <c r="K60" s="26" t="s">
        <v>25</v>
      </c>
      <c r="L60" s="26" t="s">
        <v>25</v>
      </c>
      <c r="M60" s="26" t="s">
        <v>25</v>
      </c>
      <c r="N60" s="26" t="s">
        <v>25</v>
      </c>
    </row>
    <row r="61" ht="15.75" customHeight="1">
      <c r="A61" s="28"/>
      <c r="B61" s="29">
        <v>58.0</v>
      </c>
      <c r="C61" s="30" t="s">
        <v>371</v>
      </c>
      <c r="D61" s="30" t="s">
        <v>108</v>
      </c>
      <c r="E61" s="70" t="str">
        <f t="shared" si="2"/>
        <v>8번 중 6번 참여</v>
      </c>
      <c r="F61" s="71">
        <f t="shared" si="3"/>
        <v>0.75</v>
      </c>
      <c r="G61" s="26" t="s">
        <v>25</v>
      </c>
      <c r="H61" s="26"/>
      <c r="I61" s="26" t="s">
        <v>25</v>
      </c>
      <c r="J61" s="26" t="s">
        <v>25</v>
      </c>
      <c r="K61" s="26" t="s">
        <v>25</v>
      </c>
      <c r="L61" s="26"/>
      <c r="M61" s="26" t="s">
        <v>25</v>
      </c>
      <c r="N61" s="26" t="s">
        <v>25</v>
      </c>
    </row>
    <row r="62" ht="15.75" customHeight="1">
      <c r="A62" s="20"/>
      <c r="B62" s="21">
        <v>59.0</v>
      </c>
      <c r="C62" s="22" t="s">
        <v>372</v>
      </c>
      <c r="D62" s="22" t="s">
        <v>139</v>
      </c>
      <c r="E62" s="70" t="str">
        <f t="shared" si="2"/>
        <v>8번 중 6번 참여</v>
      </c>
      <c r="F62" s="71">
        <f t="shared" si="3"/>
        <v>0.75</v>
      </c>
      <c r="G62" s="26"/>
      <c r="H62" s="26"/>
      <c r="I62" s="26" t="s">
        <v>25</v>
      </c>
      <c r="J62" s="26" t="s">
        <v>25</v>
      </c>
      <c r="K62" s="26" t="s">
        <v>25</v>
      </c>
      <c r="L62" s="26" t="s">
        <v>25</v>
      </c>
      <c r="M62" s="26" t="s">
        <v>25</v>
      </c>
      <c r="N62" s="26" t="s">
        <v>25</v>
      </c>
    </row>
    <row r="63" ht="15.75" customHeight="1">
      <c r="A63" s="28"/>
      <c r="B63" s="29">
        <v>60.0</v>
      </c>
      <c r="C63" s="30" t="s">
        <v>373</v>
      </c>
      <c r="D63" s="30" t="s">
        <v>137</v>
      </c>
      <c r="E63" s="70" t="str">
        <f t="shared" si="2"/>
        <v>8번 중 6번 참여</v>
      </c>
      <c r="F63" s="71">
        <f t="shared" si="3"/>
        <v>0.75</v>
      </c>
      <c r="G63" s="26"/>
      <c r="H63" s="26"/>
      <c r="I63" s="26" t="s">
        <v>25</v>
      </c>
      <c r="J63" s="26" t="s">
        <v>25</v>
      </c>
      <c r="K63" s="26" t="s">
        <v>25</v>
      </c>
      <c r="L63" s="26" t="s">
        <v>25</v>
      </c>
      <c r="M63" s="26" t="s">
        <v>25</v>
      </c>
      <c r="N63" s="26" t="s">
        <v>25</v>
      </c>
    </row>
    <row r="64" ht="15.75" customHeight="1">
      <c r="A64" s="20"/>
      <c r="B64" s="21">
        <v>61.0</v>
      </c>
      <c r="C64" s="22" t="s">
        <v>142</v>
      </c>
      <c r="D64" s="22" t="s">
        <v>143</v>
      </c>
      <c r="E64" s="70" t="str">
        <f t="shared" si="2"/>
        <v>8번 중 5번 참여</v>
      </c>
      <c r="F64" s="71">
        <f t="shared" si="3"/>
        <v>0.625</v>
      </c>
      <c r="G64" s="26" t="s">
        <v>25</v>
      </c>
      <c r="H64" s="26" t="s">
        <v>25</v>
      </c>
      <c r="I64" s="26" t="s">
        <v>25</v>
      </c>
      <c r="J64" s="26" t="s">
        <v>25</v>
      </c>
      <c r="K64" s="26" t="s">
        <v>25</v>
      </c>
      <c r="L64" s="26"/>
      <c r="M64" s="26"/>
      <c r="N64" s="26"/>
    </row>
    <row r="65" ht="15.75" customHeight="1">
      <c r="A65" s="28"/>
      <c r="B65" s="29">
        <v>62.0</v>
      </c>
      <c r="C65" s="30" t="s">
        <v>144</v>
      </c>
      <c r="D65" s="30" t="s">
        <v>145</v>
      </c>
      <c r="E65" s="70" t="str">
        <f t="shared" si="2"/>
        <v>8번 중 5번 참여</v>
      </c>
      <c r="F65" s="71">
        <f t="shared" si="3"/>
        <v>0.625</v>
      </c>
      <c r="G65" s="26" t="s">
        <v>25</v>
      </c>
      <c r="H65" s="26" t="s">
        <v>25</v>
      </c>
      <c r="I65" s="26" t="s">
        <v>25</v>
      </c>
      <c r="J65" s="26" t="s">
        <v>25</v>
      </c>
      <c r="K65" s="26" t="s">
        <v>25</v>
      </c>
      <c r="L65" s="26"/>
      <c r="M65" s="26"/>
      <c r="N65" s="26"/>
    </row>
    <row r="66" ht="15.75" customHeight="1">
      <c r="A66" s="20"/>
      <c r="B66" s="21">
        <v>63.0</v>
      </c>
      <c r="C66" s="22" t="s">
        <v>146</v>
      </c>
      <c r="D66" s="22" t="s">
        <v>147</v>
      </c>
      <c r="E66" s="70" t="str">
        <f t="shared" si="2"/>
        <v>8번 중 8번 참여</v>
      </c>
      <c r="F66" s="71">
        <f t="shared" si="3"/>
        <v>1</v>
      </c>
      <c r="G66" s="26" t="s">
        <v>25</v>
      </c>
      <c r="H66" s="26" t="s">
        <v>25</v>
      </c>
      <c r="I66" s="26" t="s">
        <v>25</v>
      </c>
      <c r="J66" s="26" t="s">
        <v>25</v>
      </c>
      <c r="K66" s="26" t="s">
        <v>25</v>
      </c>
      <c r="L66" s="26" t="s">
        <v>25</v>
      </c>
      <c r="M66" s="26" t="s">
        <v>25</v>
      </c>
      <c r="N66" s="26" t="s">
        <v>25</v>
      </c>
    </row>
    <row r="67" ht="15.75" customHeight="1">
      <c r="A67" s="28"/>
      <c r="B67" s="29">
        <v>64.0</v>
      </c>
      <c r="C67" s="30" t="s">
        <v>148</v>
      </c>
      <c r="D67" s="30" t="s">
        <v>149</v>
      </c>
      <c r="E67" s="70" t="str">
        <f t="shared" si="2"/>
        <v>8번 중 8번 참여</v>
      </c>
      <c r="F67" s="71">
        <f t="shared" si="3"/>
        <v>1</v>
      </c>
      <c r="G67" s="26" t="s">
        <v>25</v>
      </c>
      <c r="H67" s="26" t="s">
        <v>25</v>
      </c>
      <c r="I67" s="26" t="s">
        <v>25</v>
      </c>
      <c r="J67" s="26" t="s">
        <v>25</v>
      </c>
      <c r="K67" s="26" t="s">
        <v>25</v>
      </c>
      <c r="L67" s="26" t="s">
        <v>25</v>
      </c>
      <c r="M67" s="26" t="s">
        <v>25</v>
      </c>
      <c r="N67" s="26" t="s">
        <v>25</v>
      </c>
    </row>
    <row r="68" ht="15.75" customHeight="1">
      <c r="A68" s="20"/>
      <c r="B68" s="21">
        <v>65.0</v>
      </c>
      <c r="C68" s="22" t="s">
        <v>380</v>
      </c>
      <c r="D68" s="22" t="s">
        <v>381</v>
      </c>
      <c r="E68" s="70" t="str">
        <f t="shared" si="2"/>
        <v>8번 중 5번 참여</v>
      </c>
      <c r="F68" s="71">
        <f t="shared" si="3"/>
        <v>0.625</v>
      </c>
      <c r="G68" s="26" t="s">
        <v>25</v>
      </c>
      <c r="H68" s="26" t="s">
        <v>25</v>
      </c>
      <c r="I68" s="26" t="s">
        <v>25</v>
      </c>
      <c r="J68" s="26"/>
      <c r="K68" s="26" t="s">
        <v>25</v>
      </c>
      <c r="L68" s="26" t="s">
        <v>25</v>
      </c>
      <c r="M68" s="26"/>
      <c r="N68" s="26"/>
    </row>
    <row r="69" ht="15.75" customHeight="1">
      <c r="A69" s="28"/>
      <c r="B69" s="29">
        <v>66.0</v>
      </c>
      <c r="C69" s="30" t="s">
        <v>140</v>
      </c>
      <c r="D69" s="30" t="s">
        <v>141</v>
      </c>
      <c r="E69" s="70" t="str">
        <f t="shared" si="2"/>
        <v>8번 중 8번 참여</v>
      </c>
      <c r="F69" s="71">
        <f t="shared" si="3"/>
        <v>1</v>
      </c>
      <c r="G69" s="26" t="s">
        <v>25</v>
      </c>
      <c r="H69" s="26" t="s">
        <v>25</v>
      </c>
      <c r="I69" s="26" t="s">
        <v>25</v>
      </c>
      <c r="J69" s="26" t="s">
        <v>25</v>
      </c>
      <c r="K69" s="26" t="s">
        <v>25</v>
      </c>
      <c r="L69" s="26" t="s">
        <v>25</v>
      </c>
      <c r="M69" s="26" t="s">
        <v>25</v>
      </c>
      <c r="N69" s="26" t="s">
        <v>25</v>
      </c>
    </row>
    <row r="70" ht="15.75" customHeight="1">
      <c r="A70" s="20"/>
      <c r="B70" s="21">
        <v>67.0</v>
      </c>
      <c r="C70" s="22" t="s">
        <v>150</v>
      </c>
      <c r="D70" s="149" t="s">
        <v>151</v>
      </c>
      <c r="E70" s="70" t="str">
        <f t="shared" si="2"/>
        <v>8번 중 4번 참여</v>
      </c>
      <c r="F70" s="71">
        <f t="shared" si="3"/>
        <v>0.5</v>
      </c>
      <c r="G70" s="26"/>
      <c r="H70" s="26" t="s">
        <v>25</v>
      </c>
      <c r="I70" s="26" t="s">
        <v>25</v>
      </c>
      <c r="J70" s="26"/>
      <c r="K70" s="26" t="s">
        <v>25</v>
      </c>
      <c r="L70" s="26" t="s">
        <v>25</v>
      </c>
      <c r="M70" s="26"/>
      <c r="N70" s="26"/>
    </row>
    <row r="71" ht="15.75" customHeight="1">
      <c r="A71" s="28"/>
      <c r="B71" s="29">
        <v>68.0</v>
      </c>
      <c r="C71" s="30" t="s">
        <v>152</v>
      </c>
      <c r="D71" s="30" t="s">
        <v>153</v>
      </c>
      <c r="E71" s="70" t="str">
        <f t="shared" si="2"/>
        <v>8번 중 7번 참여</v>
      </c>
      <c r="F71" s="71">
        <f t="shared" si="3"/>
        <v>0.875</v>
      </c>
      <c r="G71" s="26" t="s">
        <v>25</v>
      </c>
      <c r="H71" s="26" t="s">
        <v>25</v>
      </c>
      <c r="I71" s="26" t="s">
        <v>25</v>
      </c>
      <c r="J71" s="26"/>
      <c r="K71" s="26" t="s">
        <v>25</v>
      </c>
      <c r="L71" s="26" t="s">
        <v>25</v>
      </c>
      <c r="M71" s="26" t="s">
        <v>25</v>
      </c>
      <c r="N71" s="26" t="s">
        <v>25</v>
      </c>
    </row>
    <row r="72" ht="15.75" customHeight="1">
      <c r="A72" s="20"/>
      <c r="B72" s="21">
        <v>69.0</v>
      </c>
      <c r="C72" s="22" t="s">
        <v>388</v>
      </c>
      <c r="D72" s="30" t="s">
        <v>389</v>
      </c>
      <c r="E72" s="70" t="str">
        <f t="shared" si="2"/>
        <v>8번 중 7번 참여</v>
      </c>
      <c r="F72" s="71">
        <f t="shared" si="3"/>
        <v>0.875</v>
      </c>
      <c r="G72" s="26" t="s">
        <v>25</v>
      </c>
      <c r="H72" s="26" t="s">
        <v>25</v>
      </c>
      <c r="I72" s="26" t="s">
        <v>25</v>
      </c>
      <c r="J72" s="26" t="s">
        <v>25</v>
      </c>
      <c r="K72" s="26" t="s">
        <v>25</v>
      </c>
      <c r="L72" s="26" t="s">
        <v>25</v>
      </c>
      <c r="M72" s="26"/>
      <c r="N72" s="26" t="s">
        <v>25</v>
      </c>
    </row>
    <row r="73" ht="15.75" customHeight="1">
      <c r="A73" s="28"/>
      <c r="B73" s="29">
        <v>70.0</v>
      </c>
      <c r="C73" s="30" t="s">
        <v>156</v>
      </c>
      <c r="D73" s="30" t="s">
        <v>157</v>
      </c>
      <c r="E73" s="70" t="str">
        <f t="shared" si="2"/>
        <v>8번 중 8번 참여</v>
      </c>
      <c r="F73" s="71">
        <f t="shared" si="3"/>
        <v>1</v>
      </c>
      <c r="G73" s="26" t="s">
        <v>25</v>
      </c>
      <c r="H73" s="26" t="s">
        <v>25</v>
      </c>
      <c r="I73" s="26" t="s">
        <v>25</v>
      </c>
      <c r="J73" s="26" t="s">
        <v>25</v>
      </c>
      <c r="K73" s="26" t="s">
        <v>25</v>
      </c>
      <c r="L73" s="26" t="s">
        <v>25</v>
      </c>
      <c r="M73" s="26" t="s">
        <v>25</v>
      </c>
      <c r="N73" s="26" t="s">
        <v>25</v>
      </c>
    </row>
    <row r="74" ht="15.75" customHeight="1">
      <c r="A74" s="20"/>
      <c r="B74" s="21">
        <v>71.0</v>
      </c>
      <c r="C74" s="39" t="s">
        <v>427</v>
      </c>
      <c r="D74" s="39" t="s">
        <v>428</v>
      </c>
      <c r="E74" s="70" t="str">
        <f t="shared" si="2"/>
        <v>8번 중 6번 참여</v>
      </c>
      <c r="F74" s="71">
        <f t="shared" si="3"/>
        <v>0.75</v>
      </c>
      <c r="G74" s="26"/>
      <c r="H74" s="26"/>
      <c r="I74" s="26" t="s">
        <v>25</v>
      </c>
      <c r="J74" s="26" t="s">
        <v>25</v>
      </c>
      <c r="K74" s="26" t="s">
        <v>25</v>
      </c>
      <c r="L74" s="26" t="s">
        <v>25</v>
      </c>
      <c r="M74" s="26" t="s">
        <v>25</v>
      </c>
      <c r="N74" s="26" t="s">
        <v>25</v>
      </c>
    </row>
    <row r="75" ht="15.75" customHeight="1">
      <c r="A75" s="28"/>
      <c r="B75" s="29">
        <v>72.0</v>
      </c>
      <c r="C75" s="155" t="s">
        <v>429</v>
      </c>
      <c r="D75" s="155" t="s">
        <v>430</v>
      </c>
      <c r="E75" s="70" t="str">
        <f t="shared" si="2"/>
        <v/>
      </c>
      <c r="F75" s="71" t="str">
        <f t="shared" si="3"/>
        <v/>
      </c>
      <c r="G75" s="26"/>
      <c r="H75" s="26"/>
      <c r="I75" s="26"/>
      <c r="J75" s="26"/>
      <c r="K75" s="26"/>
      <c r="L75" s="26"/>
      <c r="M75" s="26"/>
      <c r="N75" s="26"/>
    </row>
    <row r="76" ht="15.75" customHeight="1">
      <c r="A76" s="20"/>
      <c r="B76" s="21">
        <v>73.0</v>
      </c>
      <c r="C76" s="22" t="s">
        <v>162</v>
      </c>
      <c r="D76" s="22" t="s">
        <v>163</v>
      </c>
      <c r="E76" s="70" t="str">
        <f t="shared" si="2"/>
        <v>8번 중 8번 참여</v>
      </c>
      <c r="F76" s="71">
        <f t="shared" si="3"/>
        <v>1</v>
      </c>
      <c r="G76" s="26" t="s">
        <v>25</v>
      </c>
      <c r="H76" s="26" t="s">
        <v>25</v>
      </c>
      <c r="I76" s="26" t="s">
        <v>25</v>
      </c>
      <c r="J76" s="26" t="s">
        <v>25</v>
      </c>
      <c r="K76" s="26" t="s">
        <v>25</v>
      </c>
      <c r="L76" s="26" t="s">
        <v>25</v>
      </c>
      <c r="M76" s="26" t="s">
        <v>25</v>
      </c>
      <c r="N76" s="26" t="s">
        <v>25</v>
      </c>
    </row>
    <row r="77" ht="15.75" customHeight="1">
      <c r="A77" s="28"/>
      <c r="B77" s="29">
        <v>74.0</v>
      </c>
      <c r="C77" s="22" t="s">
        <v>164</v>
      </c>
      <c r="D77" s="22" t="s">
        <v>165</v>
      </c>
      <c r="E77" s="70" t="str">
        <f t="shared" si="2"/>
        <v>8번 중 8번 참여</v>
      </c>
      <c r="F77" s="71">
        <f t="shared" si="3"/>
        <v>1</v>
      </c>
      <c r="G77" s="26" t="s">
        <v>25</v>
      </c>
      <c r="H77" s="26" t="s">
        <v>25</v>
      </c>
      <c r="I77" s="26" t="s">
        <v>25</v>
      </c>
      <c r="J77" s="26" t="s">
        <v>25</v>
      </c>
      <c r="K77" s="26" t="s">
        <v>25</v>
      </c>
      <c r="L77" s="26" t="s">
        <v>25</v>
      </c>
      <c r="M77" s="26" t="s">
        <v>25</v>
      </c>
      <c r="N77" s="26" t="s">
        <v>25</v>
      </c>
    </row>
    <row r="78" ht="15.75" customHeight="1">
      <c r="A78" s="20"/>
      <c r="B78" s="21">
        <v>75.0</v>
      </c>
      <c r="C78" s="22" t="s">
        <v>66</v>
      </c>
      <c r="D78" s="30" t="s">
        <v>67</v>
      </c>
      <c r="E78" s="70" t="str">
        <f t="shared" si="2"/>
        <v>8번 중 8번 참여</v>
      </c>
      <c r="F78" s="71">
        <f t="shared" si="3"/>
        <v>1</v>
      </c>
      <c r="G78" s="26" t="s">
        <v>25</v>
      </c>
      <c r="H78" s="26" t="s">
        <v>25</v>
      </c>
      <c r="I78" s="26" t="s">
        <v>25</v>
      </c>
      <c r="J78" s="26" t="s">
        <v>25</v>
      </c>
      <c r="K78" s="26" t="s">
        <v>25</v>
      </c>
      <c r="L78" s="26" t="s">
        <v>25</v>
      </c>
      <c r="M78" s="26" t="s">
        <v>25</v>
      </c>
      <c r="N78" s="26" t="s">
        <v>25</v>
      </c>
    </row>
    <row r="79" ht="15.75" customHeight="1">
      <c r="A79" s="28"/>
      <c r="B79" s="29">
        <v>76.0</v>
      </c>
      <c r="C79" s="30" t="s">
        <v>134</v>
      </c>
      <c r="D79" s="153" t="s">
        <v>431</v>
      </c>
      <c r="E79" s="70" t="str">
        <f t="shared" si="2"/>
        <v>8번 중 8번 참여</v>
      </c>
      <c r="F79" s="71">
        <f t="shared" si="3"/>
        <v>1</v>
      </c>
      <c r="G79" s="85" t="s">
        <v>25</v>
      </c>
      <c r="H79" s="26" t="s">
        <v>25</v>
      </c>
      <c r="I79" s="26" t="s">
        <v>25</v>
      </c>
      <c r="J79" s="26" t="s">
        <v>25</v>
      </c>
      <c r="K79" s="26" t="s">
        <v>25</v>
      </c>
      <c r="L79" s="26" t="s">
        <v>25</v>
      </c>
      <c r="M79" s="26" t="s">
        <v>25</v>
      </c>
      <c r="N79" s="26" t="s">
        <v>25</v>
      </c>
    </row>
    <row r="80" ht="15.75" customHeight="1">
      <c r="A80" s="20"/>
      <c r="B80" s="21">
        <v>77.0</v>
      </c>
      <c r="C80" s="22" t="s">
        <v>154</v>
      </c>
      <c r="D80" s="22" t="s">
        <v>155</v>
      </c>
      <c r="E80" s="70" t="str">
        <f t="shared" si="2"/>
        <v>8번 중 8번 참여</v>
      </c>
      <c r="F80" s="71">
        <f t="shared" si="3"/>
        <v>1</v>
      </c>
      <c r="G80" s="26" t="s">
        <v>25</v>
      </c>
      <c r="H80" s="26" t="s">
        <v>25</v>
      </c>
      <c r="I80" s="26" t="s">
        <v>25</v>
      </c>
      <c r="J80" s="26" t="s">
        <v>25</v>
      </c>
      <c r="K80" s="26" t="s">
        <v>25</v>
      </c>
      <c r="L80" s="26" t="s">
        <v>25</v>
      </c>
      <c r="M80" s="26" t="s">
        <v>25</v>
      </c>
      <c r="N80" s="26" t="s">
        <v>25</v>
      </c>
    </row>
    <row r="81" ht="15.75" customHeight="1">
      <c r="A81" s="28"/>
      <c r="B81" s="29">
        <v>78.0</v>
      </c>
      <c r="C81" s="155" t="s">
        <v>432</v>
      </c>
      <c r="D81" s="155" t="s">
        <v>433</v>
      </c>
      <c r="E81" s="70" t="str">
        <f t="shared" si="2"/>
        <v/>
      </c>
      <c r="F81" s="71" t="str">
        <f t="shared" si="3"/>
        <v/>
      </c>
      <c r="G81" s="26"/>
      <c r="H81" s="26"/>
      <c r="I81" s="26"/>
      <c r="J81" s="26"/>
      <c r="K81" s="26"/>
      <c r="L81" s="26"/>
      <c r="M81" s="26"/>
      <c r="N81" s="26"/>
    </row>
    <row r="82" ht="15.75" customHeight="1">
      <c r="A82" s="20"/>
      <c r="B82" s="21">
        <v>79.0</v>
      </c>
      <c r="C82" s="30" t="s">
        <v>170</v>
      </c>
      <c r="D82" s="30" t="s">
        <v>171</v>
      </c>
      <c r="E82" s="70" t="str">
        <f t="shared" si="2"/>
        <v>8번 중 8번 참여</v>
      </c>
      <c r="F82" s="71">
        <f t="shared" si="3"/>
        <v>1</v>
      </c>
      <c r="G82" s="26" t="s">
        <v>25</v>
      </c>
      <c r="H82" s="26" t="s">
        <v>25</v>
      </c>
      <c r="I82" s="26" t="s">
        <v>25</v>
      </c>
      <c r="J82" s="26" t="s">
        <v>25</v>
      </c>
      <c r="K82" s="26" t="s">
        <v>25</v>
      </c>
      <c r="L82" s="26" t="s">
        <v>25</v>
      </c>
      <c r="M82" s="26" t="s">
        <v>25</v>
      </c>
      <c r="N82" s="26" t="s">
        <v>25</v>
      </c>
    </row>
    <row r="83" ht="15.75" customHeight="1">
      <c r="A83" s="28"/>
      <c r="B83" s="29">
        <v>80.0</v>
      </c>
      <c r="C83" s="30" t="s">
        <v>172</v>
      </c>
      <c r="D83" s="30" t="s">
        <v>173</v>
      </c>
      <c r="E83" s="70" t="str">
        <f t="shared" si="2"/>
        <v>8번 중 8번 참여</v>
      </c>
      <c r="F83" s="71">
        <f t="shared" si="3"/>
        <v>1</v>
      </c>
      <c r="G83" s="26" t="s">
        <v>25</v>
      </c>
      <c r="H83" s="26" t="s">
        <v>25</v>
      </c>
      <c r="I83" s="26" t="s">
        <v>25</v>
      </c>
      <c r="J83" s="26" t="s">
        <v>25</v>
      </c>
      <c r="K83" s="26" t="s">
        <v>25</v>
      </c>
      <c r="L83" s="26" t="s">
        <v>25</v>
      </c>
      <c r="M83" s="26" t="s">
        <v>25</v>
      </c>
      <c r="N83" s="26" t="s">
        <v>25</v>
      </c>
    </row>
    <row r="84" ht="15.75" customHeight="1">
      <c r="A84" s="20"/>
      <c r="B84" s="21">
        <v>81.0</v>
      </c>
      <c r="C84" s="155" t="s">
        <v>424</v>
      </c>
      <c r="D84" s="22" t="s">
        <v>425</v>
      </c>
      <c r="E84" s="70" t="str">
        <f t="shared" si="2"/>
        <v>8번 중 5번 참여</v>
      </c>
      <c r="F84" s="71">
        <f t="shared" si="3"/>
        <v>0.625</v>
      </c>
      <c r="G84" s="26" t="s">
        <v>25</v>
      </c>
      <c r="H84" s="26" t="s">
        <v>25</v>
      </c>
      <c r="I84" s="26" t="s">
        <v>25</v>
      </c>
      <c r="J84" s="26"/>
      <c r="K84" s="26" t="s">
        <v>25</v>
      </c>
      <c r="L84" s="26" t="s">
        <v>25</v>
      </c>
      <c r="M84" s="26"/>
      <c r="N84" s="26"/>
    </row>
    <row r="85" ht="15.75" customHeight="1">
      <c r="A85" s="28"/>
      <c r="B85" s="29">
        <v>82.0</v>
      </c>
      <c r="C85" s="155" t="s">
        <v>341</v>
      </c>
      <c r="D85" s="155" t="s">
        <v>342</v>
      </c>
      <c r="E85" s="70" t="str">
        <f t="shared" si="2"/>
        <v>8번 중 4번 참여</v>
      </c>
      <c r="F85" s="71">
        <f t="shared" si="3"/>
        <v>0.5</v>
      </c>
      <c r="G85" s="26"/>
      <c r="H85" s="26"/>
      <c r="I85" s="26" t="s">
        <v>25</v>
      </c>
      <c r="J85" s="26" t="s">
        <v>25</v>
      </c>
      <c r="K85" s="26"/>
      <c r="L85" s="26" t="s">
        <v>25</v>
      </c>
      <c r="M85" s="26"/>
      <c r="N85" s="26" t="s">
        <v>25</v>
      </c>
    </row>
    <row r="86" ht="15.75" customHeight="1">
      <c r="A86" s="20"/>
      <c r="B86" s="21">
        <v>83.0</v>
      </c>
      <c r="C86" s="22" t="s">
        <v>174</v>
      </c>
      <c r="D86" s="149" t="s">
        <v>175</v>
      </c>
      <c r="E86" s="70" t="str">
        <f t="shared" si="2"/>
        <v>8번 중 5번 참여</v>
      </c>
      <c r="F86" s="71">
        <f t="shared" si="3"/>
        <v>0.625</v>
      </c>
      <c r="G86" s="26" t="s">
        <v>25</v>
      </c>
      <c r="H86" s="26" t="s">
        <v>25</v>
      </c>
      <c r="I86" s="26" t="s">
        <v>25</v>
      </c>
      <c r="J86" s="26" t="s">
        <v>25</v>
      </c>
      <c r="K86" s="26" t="s">
        <v>25</v>
      </c>
      <c r="L86" s="26"/>
      <c r="M86" s="26"/>
      <c r="N86" s="26"/>
    </row>
    <row r="87" ht="15.75" customHeight="1">
      <c r="A87" s="28"/>
      <c r="B87" s="29">
        <v>84.0</v>
      </c>
      <c r="C87" s="30" t="s">
        <v>168</v>
      </c>
      <c r="D87" s="30" t="s">
        <v>169</v>
      </c>
      <c r="E87" s="70" t="str">
        <f t="shared" si="2"/>
        <v>8번 중 5번 참여</v>
      </c>
      <c r="F87" s="71">
        <f t="shared" si="3"/>
        <v>0.625</v>
      </c>
      <c r="G87" s="26" t="s">
        <v>25</v>
      </c>
      <c r="H87" s="26"/>
      <c r="I87" s="26" t="s">
        <v>25</v>
      </c>
      <c r="J87" s="26" t="s">
        <v>25</v>
      </c>
      <c r="K87" s="26" t="s">
        <v>25</v>
      </c>
      <c r="L87" s="26" t="s">
        <v>25</v>
      </c>
      <c r="M87" s="26"/>
      <c r="N87" s="26" t="s">
        <v>80</v>
      </c>
    </row>
    <row r="88" ht="15.75" customHeight="1">
      <c r="A88" s="20"/>
      <c r="B88" s="21">
        <v>85.0</v>
      </c>
      <c r="C88" s="22" t="s">
        <v>386</v>
      </c>
      <c r="D88" s="22" t="s">
        <v>387</v>
      </c>
      <c r="E88" s="70" t="str">
        <f t="shared" si="2"/>
        <v>8번 중 6번 참여</v>
      </c>
      <c r="F88" s="71">
        <f t="shared" si="3"/>
        <v>0.75</v>
      </c>
      <c r="G88" s="26" t="s">
        <v>25</v>
      </c>
      <c r="H88" s="26" t="s">
        <v>25</v>
      </c>
      <c r="I88" s="26" t="s">
        <v>25</v>
      </c>
      <c r="J88" s="26"/>
      <c r="K88" s="26" t="s">
        <v>25</v>
      </c>
      <c r="L88" s="26" t="s">
        <v>25</v>
      </c>
      <c r="M88" s="26" t="s">
        <v>25</v>
      </c>
      <c r="N88" s="26"/>
    </row>
    <row r="89" ht="15.75" customHeight="1">
      <c r="A89" s="28"/>
      <c r="B89" s="29">
        <v>86.0</v>
      </c>
      <c r="C89" s="30" t="s">
        <v>458</v>
      </c>
      <c r="D89" s="30" t="s">
        <v>459</v>
      </c>
      <c r="E89" s="70" t="s">
        <v>488</v>
      </c>
      <c r="F89" s="71">
        <f t="shared" si="3"/>
        <v>0.375</v>
      </c>
      <c r="G89" s="26" t="s">
        <v>25</v>
      </c>
      <c r="H89" s="26"/>
      <c r="I89" s="26"/>
      <c r="J89" s="26" t="s">
        <v>25</v>
      </c>
      <c r="K89" s="26" t="s">
        <v>25</v>
      </c>
      <c r="L89" s="26"/>
      <c r="M89" s="26"/>
      <c r="N89" s="26"/>
    </row>
    <row r="90" ht="15.75" customHeight="1">
      <c r="A90" s="20"/>
      <c r="B90" s="21">
        <v>87.0</v>
      </c>
      <c r="C90" s="22" t="s">
        <v>461</v>
      </c>
      <c r="D90" s="22" t="s">
        <v>377</v>
      </c>
      <c r="E90" s="70" t="str">
        <f t="shared" ref="E90:E123" si="4">IF(COUNTIF(G90:N90, "완료")=0, "", COUNTIF($G$4:$N$4, "완료") &amp; "번 중 " &amp; COUNTIF(G90:N90, "완료") &amp; "번 참여")
</f>
        <v>8번 중 5번 참여</v>
      </c>
      <c r="F90" s="71">
        <f t="shared" si="3"/>
        <v>0.625</v>
      </c>
      <c r="G90" s="26" t="s">
        <v>25</v>
      </c>
      <c r="H90" s="26" t="s">
        <v>25</v>
      </c>
      <c r="I90" s="26" t="s">
        <v>25</v>
      </c>
      <c r="J90" s="26" t="s">
        <v>25</v>
      </c>
      <c r="K90" s="26" t="s">
        <v>25</v>
      </c>
      <c r="L90" s="26"/>
      <c r="M90" s="26"/>
      <c r="N90" s="26"/>
    </row>
    <row r="91" ht="15.75" customHeight="1">
      <c r="A91" s="28"/>
      <c r="B91" s="29">
        <v>88.0</v>
      </c>
      <c r="C91" s="166" t="s">
        <v>180</v>
      </c>
      <c r="D91" s="166" t="s">
        <v>181</v>
      </c>
      <c r="E91" s="70" t="str">
        <f t="shared" si="4"/>
        <v>8번 중 8번 참여</v>
      </c>
      <c r="F91" s="71">
        <f t="shared" si="3"/>
        <v>1</v>
      </c>
      <c r="G91" s="26" t="s">
        <v>25</v>
      </c>
      <c r="H91" s="26" t="s">
        <v>25</v>
      </c>
      <c r="I91" s="26" t="s">
        <v>25</v>
      </c>
      <c r="J91" s="26" t="s">
        <v>25</v>
      </c>
      <c r="K91" s="26" t="s">
        <v>25</v>
      </c>
      <c r="L91" s="26" t="s">
        <v>25</v>
      </c>
      <c r="M91" s="26" t="s">
        <v>25</v>
      </c>
      <c r="N91" s="26" t="s">
        <v>25</v>
      </c>
    </row>
    <row r="92" ht="15.75" customHeight="1">
      <c r="A92" s="20"/>
      <c r="B92" s="21">
        <v>89.0</v>
      </c>
      <c r="C92" s="167" t="s">
        <v>462</v>
      </c>
      <c r="D92" s="167" t="s">
        <v>463</v>
      </c>
      <c r="E92" s="70" t="str">
        <f t="shared" si="4"/>
        <v>8번 중 6번 참여</v>
      </c>
      <c r="F92" s="71">
        <f t="shared" si="3"/>
        <v>0.75</v>
      </c>
      <c r="G92" s="26"/>
      <c r="H92" s="26"/>
      <c r="I92" s="26" t="s">
        <v>25</v>
      </c>
      <c r="J92" s="26" t="s">
        <v>25</v>
      </c>
      <c r="K92" s="26" t="s">
        <v>25</v>
      </c>
      <c r="L92" s="26" t="s">
        <v>25</v>
      </c>
      <c r="M92" s="26" t="s">
        <v>25</v>
      </c>
      <c r="N92" s="26" t="s">
        <v>25</v>
      </c>
    </row>
    <row r="93" ht="15.75" customHeight="1">
      <c r="A93" s="28"/>
      <c r="B93" s="29">
        <v>90.0</v>
      </c>
      <c r="C93" s="168" t="s">
        <v>464</v>
      </c>
      <c r="D93" s="169" t="s">
        <v>465</v>
      </c>
      <c r="E93" s="70" t="str">
        <f t="shared" si="4"/>
        <v>8번 중 4번 참여</v>
      </c>
      <c r="F93" s="71">
        <f t="shared" si="3"/>
        <v>0.5</v>
      </c>
      <c r="G93" s="26" t="s">
        <v>25</v>
      </c>
      <c r="H93" s="26" t="s">
        <v>25</v>
      </c>
      <c r="I93" s="26"/>
      <c r="J93" s="26"/>
      <c r="K93" s="26"/>
      <c r="L93" s="26" t="s">
        <v>25</v>
      </c>
      <c r="M93" s="26"/>
      <c r="N93" s="26" t="s">
        <v>25</v>
      </c>
    </row>
    <row r="94" ht="15.75" customHeight="1">
      <c r="A94" s="20"/>
      <c r="B94" s="21">
        <v>91.0</v>
      </c>
      <c r="C94" s="167" t="s">
        <v>466</v>
      </c>
      <c r="D94" s="167" t="s">
        <v>467</v>
      </c>
      <c r="E94" s="70" t="str">
        <f t="shared" si="4"/>
        <v>8번 중 1번 참여</v>
      </c>
      <c r="F94" s="71">
        <f t="shared" si="3"/>
        <v>0.125</v>
      </c>
      <c r="G94" s="26"/>
      <c r="H94" s="26"/>
      <c r="I94" s="26" t="s">
        <v>25</v>
      </c>
      <c r="J94" s="26" t="s">
        <v>80</v>
      </c>
      <c r="K94" s="26"/>
      <c r="L94" s="26"/>
      <c r="M94" s="26"/>
      <c r="N94" s="26"/>
    </row>
    <row r="95" ht="15.75" customHeight="1">
      <c r="A95" s="28"/>
      <c r="B95" s="29">
        <v>92.0</v>
      </c>
      <c r="C95" s="155" t="s">
        <v>489</v>
      </c>
      <c r="D95" s="155" t="s">
        <v>490</v>
      </c>
      <c r="E95" s="70" t="str">
        <f t="shared" si="4"/>
        <v/>
      </c>
      <c r="F95" s="71" t="str">
        <f t="shared" si="3"/>
        <v/>
      </c>
      <c r="G95" s="26"/>
      <c r="H95" s="26"/>
      <c r="I95" s="26"/>
      <c r="J95" s="26"/>
      <c r="K95" s="26"/>
      <c r="L95" s="26"/>
      <c r="M95" s="26"/>
      <c r="N95" s="26"/>
    </row>
    <row r="96" ht="15.75" customHeight="1">
      <c r="A96" s="20"/>
      <c r="B96" s="21">
        <v>93.0</v>
      </c>
      <c r="C96" s="43" t="s">
        <v>491</v>
      </c>
      <c r="D96" s="186" t="s">
        <v>492</v>
      </c>
      <c r="E96" s="70" t="str">
        <f t="shared" si="4"/>
        <v>8번 중 8번 참여</v>
      </c>
      <c r="F96" s="71">
        <f t="shared" si="3"/>
        <v>1</v>
      </c>
      <c r="G96" s="26" t="s">
        <v>25</v>
      </c>
      <c r="H96" s="26" t="s">
        <v>25</v>
      </c>
      <c r="I96" s="26" t="s">
        <v>25</v>
      </c>
      <c r="J96" s="26" t="s">
        <v>25</v>
      </c>
      <c r="K96" s="26" t="s">
        <v>25</v>
      </c>
      <c r="L96" s="26" t="s">
        <v>25</v>
      </c>
      <c r="M96" s="26" t="s">
        <v>25</v>
      </c>
      <c r="N96" s="26" t="s">
        <v>25</v>
      </c>
    </row>
    <row r="97" ht="15.75" customHeight="1">
      <c r="A97" s="28"/>
      <c r="B97" s="29">
        <v>94.0</v>
      </c>
      <c r="C97" s="44" t="s">
        <v>493</v>
      </c>
      <c r="D97" s="187" t="s">
        <v>494</v>
      </c>
      <c r="E97" s="70" t="str">
        <f t="shared" si="4"/>
        <v>8번 중 5번 참여</v>
      </c>
      <c r="F97" s="71">
        <f t="shared" si="3"/>
        <v>0.625</v>
      </c>
      <c r="G97" s="26" t="s">
        <v>25</v>
      </c>
      <c r="H97" s="26"/>
      <c r="I97" s="26" t="s">
        <v>25</v>
      </c>
      <c r="J97" s="26" t="s">
        <v>25</v>
      </c>
      <c r="K97" s="26" t="s">
        <v>25</v>
      </c>
      <c r="L97" s="26" t="s">
        <v>25</v>
      </c>
      <c r="M97" s="26"/>
      <c r="N97" s="26"/>
    </row>
    <row r="98" ht="15.75" customHeight="1">
      <c r="A98" s="20"/>
      <c r="B98" s="21">
        <v>95.0</v>
      </c>
      <c r="C98" s="43" t="s">
        <v>126</v>
      </c>
      <c r="D98" s="87" t="s">
        <v>127</v>
      </c>
      <c r="E98" s="70" t="str">
        <f t="shared" si="4"/>
        <v>8번 중 8번 참여</v>
      </c>
      <c r="F98" s="71">
        <f t="shared" si="3"/>
        <v>1</v>
      </c>
      <c r="G98" s="26" t="s">
        <v>25</v>
      </c>
      <c r="H98" s="26" t="s">
        <v>25</v>
      </c>
      <c r="I98" s="26" t="s">
        <v>25</v>
      </c>
      <c r="J98" s="26" t="s">
        <v>25</v>
      </c>
      <c r="K98" s="26" t="s">
        <v>25</v>
      </c>
      <c r="L98" s="26" t="s">
        <v>25</v>
      </c>
      <c r="M98" s="26" t="s">
        <v>25</v>
      </c>
      <c r="N98" s="26" t="s">
        <v>25</v>
      </c>
    </row>
    <row r="99" ht="15.75" customHeight="1">
      <c r="A99" s="28"/>
      <c r="B99" s="29">
        <v>96.0</v>
      </c>
      <c r="C99" s="168" t="s">
        <v>495</v>
      </c>
      <c r="D99" s="168" t="s">
        <v>208</v>
      </c>
      <c r="E99" s="70" t="str">
        <f t="shared" si="4"/>
        <v>8번 중 3번 참여</v>
      </c>
      <c r="F99" s="71">
        <f t="shared" si="3"/>
        <v>0.375</v>
      </c>
      <c r="G99" s="26" t="s">
        <v>25</v>
      </c>
      <c r="H99" s="26" t="s">
        <v>25</v>
      </c>
      <c r="I99" s="26" t="s">
        <v>25</v>
      </c>
      <c r="J99" s="26"/>
      <c r="K99" s="26"/>
      <c r="L99" s="26"/>
      <c r="M99" s="26"/>
      <c r="N99" s="26"/>
    </row>
    <row r="100" ht="15.75" customHeight="1">
      <c r="A100" s="20"/>
      <c r="B100" s="21">
        <v>97.0</v>
      </c>
      <c r="C100" s="167" t="s">
        <v>182</v>
      </c>
      <c r="D100" s="167" t="s">
        <v>183</v>
      </c>
      <c r="E100" s="70" t="str">
        <f t="shared" si="4"/>
        <v>8번 중 7번 참여</v>
      </c>
      <c r="F100" s="71">
        <f t="shared" si="3"/>
        <v>0.875</v>
      </c>
      <c r="G100" s="26"/>
      <c r="H100" s="26" t="s">
        <v>25</v>
      </c>
      <c r="I100" s="26" t="s">
        <v>25</v>
      </c>
      <c r="J100" s="26" t="s">
        <v>25</v>
      </c>
      <c r="K100" s="26" t="s">
        <v>25</v>
      </c>
      <c r="L100" s="26" t="s">
        <v>25</v>
      </c>
      <c r="M100" s="26" t="s">
        <v>25</v>
      </c>
      <c r="N100" s="26" t="s">
        <v>25</v>
      </c>
    </row>
    <row r="101" ht="15.75" customHeight="1">
      <c r="A101" s="28"/>
      <c r="B101" s="29">
        <v>98.0</v>
      </c>
      <c r="C101" s="188"/>
      <c r="D101" s="188"/>
      <c r="E101" s="70" t="str">
        <f t="shared" si="4"/>
        <v/>
      </c>
      <c r="F101" s="71" t="str">
        <f t="shared" si="3"/>
        <v/>
      </c>
      <c r="G101" s="26"/>
      <c r="H101" s="26"/>
      <c r="I101" s="26"/>
      <c r="J101" s="26"/>
      <c r="K101" s="26"/>
      <c r="L101" s="26"/>
      <c r="M101" s="26"/>
      <c r="N101" s="26"/>
    </row>
    <row r="102" ht="15.75" customHeight="1">
      <c r="A102" s="20"/>
      <c r="B102" s="21">
        <v>99.0</v>
      </c>
      <c r="C102" s="189"/>
      <c r="D102" s="189"/>
      <c r="E102" s="70" t="str">
        <f t="shared" si="4"/>
        <v/>
      </c>
      <c r="F102" s="71" t="str">
        <f t="shared" si="3"/>
        <v/>
      </c>
      <c r="G102" s="26"/>
      <c r="H102" s="26"/>
      <c r="I102" s="26"/>
      <c r="J102" s="26"/>
      <c r="K102" s="26"/>
      <c r="L102" s="26"/>
      <c r="M102" s="26"/>
      <c r="N102" s="26"/>
    </row>
    <row r="103" ht="15.75" customHeight="1">
      <c r="A103" s="28"/>
      <c r="B103" s="29">
        <v>100.0</v>
      </c>
      <c r="C103" s="188"/>
      <c r="D103" s="188"/>
      <c r="E103" s="70" t="str">
        <f t="shared" si="4"/>
        <v/>
      </c>
      <c r="F103" s="71" t="str">
        <f t="shared" si="3"/>
        <v/>
      </c>
      <c r="G103" s="26"/>
      <c r="H103" s="26"/>
      <c r="I103" s="26"/>
      <c r="J103" s="26"/>
      <c r="K103" s="26"/>
      <c r="L103" s="26"/>
      <c r="M103" s="26"/>
      <c r="N103" s="26"/>
    </row>
    <row r="104" ht="15.75" customHeight="1">
      <c r="A104" s="20"/>
      <c r="B104" s="21">
        <v>101.0</v>
      </c>
      <c r="C104" s="189"/>
      <c r="D104" s="189"/>
      <c r="E104" s="70" t="str">
        <f t="shared" si="4"/>
        <v/>
      </c>
      <c r="F104" s="71" t="str">
        <f t="shared" si="3"/>
        <v/>
      </c>
      <c r="G104" s="26"/>
      <c r="H104" s="26"/>
      <c r="I104" s="26"/>
      <c r="J104" s="26"/>
      <c r="K104" s="26"/>
      <c r="L104" s="26"/>
      <c r="M104" s="26"/>
      <c r="N104" s="26"/>
    </row>
    <row r="105" ht="15.75" customHeight="1">
      <c r="A105" s="28"/>
      <c r="B105" s="29">
        <v>102.0</v>
      </c>
      <c r="C105" s="188"/>
      <c r="D105" s="188"/>
      <c r="E105" s="70" t="str">
        <f t="shared" si="4"/>
        <v/>
      </c>
      <c r="F105" s="71" t="str">
        <f t="shared" si="3"/>
        <v/>
      </c>
      <c r="G105" s="26"/>
      <c r="H105" s="26"/>
      <c r="I105" s="26"/>
      <c r="J105" s="26"/>
      <c r="K105" s="26"/>
      <c r="L105" s="26"/>
      <c r="M105" s="26"/>
      <c r="N105" s="26"/>
    </row>
    <row r="106" ht="15.75" customHeight="1">
      <c r="A106" s="20"/>
      <c r="B106" s="21">
        <v>103.0</v>
      </c>
      <c r="C106" s="33"/>
      <c r="D106" s="33"/>
      <c r="E106" s="70" t="str">
        <f t="shared" si="4"/>
        <v/>
      </c>
      <c r="F106" s="71" t="str">
        <f t="shared" si="3"/>
        <v/>
      </c>
      <c r="G106" s="26"/>
      <c r="H106" s="26"/>
      <c r="I106" s="26"/>
      <c r="J106" s="26"/>
      <c r="K106" s="26"/>
      <c r="L106" s="26"/>
      <c r="M106" s="26"/>
      <c r="N106" s="26"/>
    </row>
    <row r="107" ht="15.75" customHeight="1">
      <c r="A107" s="28"/>
      <c r="B107" s="29">
        <v>104.0</v>
      </c>
      <c r="C107" s="35"/>
      <c r="D107" s="35"/>
      <c r="E107" s="70" t="str">
        <f t="shared" si="4"/>
        <v/>
      </c>
      <c r="F107" s="71" t="str">
        <f t="shared" si="3"/>
        <v/>
      </c>
      <c r="G107" s="26"/>
      <c r="H107" s="26"/>
      <c r="I107" s="26"/>
      <c r="J107" s="26"/>
      <c r="K107" s="26"/>
      <c r="L107" s="26"/>
      <c r="M107" s="26"/>
      <c r="N107" s="26"/>
    </row>
    <row r="108" ht="15.75" customHeight="1">
      <c r="A108" s="20"/>
      <c r="B108" s="21">
        <v>105.0</v>
      </c>
      <c r="C108" s="33"/>
      <c r="D108" s="33"/>
      <c r="E108" s="70" t="str">
        <f t="shared" si="4"/>
        <v/>
      </c>
      <c r="F108" s="71" t="str">
        <f t="shared" si="3"/>
        <v/>
      </c>
      <c r="G108" s="26"/>
      <c r="H108" s="26"/>
      <c r="I108" s="26"/>
      <c r="J108" s="26"/>
      <c r="K108" s="26"/>
      <c r="L108" s="26"/>
      <c r="M108" s="26"/>
      <c r="N108" s="26"/>
    </row>
    <row r="109" ht="15.75" customHeight="1">
      <c r="A109" s="28"/>
      <c r="B109" s="29">
        <v>106.0</v>
      </c>
      <c r="C109" s="35"/>
      <c r="D109" s="35"/>
      <c r="E109" s="70" t="str">
        <f t="shared" si="4"/>
        <v/>
      </c>
      <c r="F109" s="71" t="str">
        <f t="shared" si="3"/>
        <v/>
      </c>
      <c r="G109" s="26"/>
      <c r="H109" s="26"/>
      <c r="I109" s="26"/>
      <c r="J109" s="26"/>
      <c r="K109" s="26"/>
      <c r="L109" s="26"/>
      <c r="M109" s="26"/>
      <c r="N109" s="26"/>
    </row>
    <row r="110" ht="15.75" customHeight="1">
      <c r="A110" s="20"/>
      <c r="B110" s="21">
        <v>107.0</v>
      </c>
      <c r="C110" s="33"/>
      <c r="D110" s="33"/>
      <c r="E110" s="70" t="str">
        <f t="shared" si="4"/>
        <v/>
      </c>
      <c r="F110" s="71" t="str">
        <f t="shared" si="3"/>
        <v/>
      </c>
      <c r="G110" s="26"/>
      <c r="H110" s="26"/>
      <c r="I110" s="26"/>
      <c r="J110" s="26"/>
      <c r="K110" s="26"/>
      <c r="L110" s="26"/>
      <c r="M110" s="26"/>
      <c r="N110" s="26"/>
    </row>
    <row r="111" ht="15.75" customHeight="1">
      <c r="A111" s="28"/>
      <c r="B111" s="29">
        <v>108.0</v>
      </c>
      <c r="C111" s="35"/>
      <c r="D111" s="35"/>
      <c r="E111" s="70" t="str">
        <f t="shared" si="4"/>
        <v/>
      </c>
      <c r="F111" s="71" t="str">
        <f t="shared" si="3"/>
        <v/>
      </c>
      <c r="G111" s="26"/>
      <c r="H111" s="26"/>
      <c r="I111" s="26"/>
      <c r="J111" s="26"/>
      <c r="K111" s="26"/>
      <c r="L111" s="26"/>
      <c r="M111" s="26"/>
      <c r="N111" s="26"/>
    </row>
    <row r="112" ht="15.75" customHeight="1">
      <c r="A112" s="20"/>
      <c r="B112" s="21">
        <v>109.0</v>
      </c>
      <c r="C112" s="33"/>
      <c r="D112" s="33"/>
      <c r="E112" s="70" t="str">
        <f t="shared" si="4"/>
        <v/>
      </c>
      <c r="F112" s="71" t="str">
        <f t="shared" si="3"/>
        <v/>
      </c>
      <c r="G112" s="26"/>
      <c r="H112" s="26"/>
      <c r="I112" s="26"/>
      <c r="J112" s="26"/>
      <c r="K112" s="26"/>
      <c r="L112" s="26"/>
      <c r="M112" s="26"/>
      <c r="N112" s="26"/>
    </row>
    <row r="113" ht="15.75" customHeight="1">
      <c r="A113" s="28"/>
      <c r="B113" s="29">
        <v>110.0</v>
      </c>
      <c r="C113" s="35"/>
      <c r="D113" s="35"/>
      <c r="E113" s="70" t="str">
        <f t="shared" si="4"/>
        <v/>
      </c>
      <c r="F113" s="71" t="str">
        <f t="shared" si="3"/>
        <v/>
      </c>
      <c r="G113" s="26"/>
      <c r="H113" s="26"/>
      <c r="I113" s="26"/>
      <c r="J113" s="26"/>
      <c r="K113" s="26"/>
      <c r="L113" s="26"/>
      <c r="M113" s="26"/>
      <c r="N113" s="26"/>
    </row>
    <row r="114" ht="15.75" customHeight="1">
      <c r="A114" s="20"/>
      <c r="B114" s="21">
        <v>111.0</v>
      </c>
      <c r="C114" s="33"/>
      <c r="D114" s="33"/>
      <c r="E114" s="70" t="str">
        <f t="shared" si="4"/>
        <v/>
      </c>
      <c r="F114" s="71" t="str">
        <f t="shared" si="3"/>
        <v/>
      </c>
      <c r="G114" s="26"/>
      <c r="H114" s="26"/>
      <c r="I114" s="26"/>
      <c r="J114" s="26"/>
      <c r="K114" s="26"/>
      <c r="L114" s="26"/>
      <c r="M114" s="26"/>
      <c r="N114" s="26"/>
    </row>
    <row r="115" ht="15.75" customHeight="1">
      <c r="A115" s="28"/>
      <c r="B115" s="29">
        <v>112.0</v>
      </c>
      <c r="C115" s="35"/>
      <c r="D115" s="35"/>
      <c r="E115" s="70" t="str">
        <f t="shared" si="4"/>
        <v/>
      </c>
      <c r="F115" s="71" t="str">
        <f t="shared" si="3"/>
        <v/>
      </c>
      <c r="G115" s="26"/>
      <c r="H115" s="26"/>
      <c r="I115" s="26"/>
      <c r="J115" s="26"/>
      <c r="K115" s="26"/>
      <c r="L115" s="26"/>
      <c r="M115" s="26"/>
      <c r="N115" s="26"/>
    </row>
    <row r="116" ht="15.75" customHeight="1">
      <c r="A116" s="20"/>
      <c r="B116" s="21">
        <v>113.0</v>
      </c>
      <c r="C116" s="33"/>
      <c r="D116" s="33"/>
      <c r="E116" s="70" t="str">
        <f t="shared" si="4"/>
        <v/>
      </c>
      <c r="F116" s="71" t="str">
        <f t="shared" si="3"/>
        <v/>
      </c>
      <c r="G116" s="26"/>
      <c r="H116" s="26"/>
      <c r="I116" s="26"/>
      <c r="J116" s="26"/>
      <c r="K116" s="26"/>
      <c r="L116" s="26"/>
      <c r="M116" s="26"/>
      <c r="N116" s="26"/>
    </row>
    <row r="117" ht="15.75" customHeight="1">
      <c r="A117" s="28"/>
      <c r="B117" s="29">
        <v>114.0</v>
      </c>
      <c r="C117" s="35"/>
      <c r="D117" s="35"/>
      <c r="E117" s="70" t="str">
        <f t="shared" si="4"/>
        <v/>
      </c>
      <c r="F117" s="71" t="str">
        <f t="shared" si="3"/>
        <v/>
      </c>
      <c r="G117" s="26"/>
      <c r="H117" s="26"/>
      <c r="I117" s="26"/>
      <c r="J117" s="26"/>
      <c r="K117" s="26"/>
      <c r="L117" s="26"/>
      <c r="M117" s="26"/>
      <c r="N117" s="26"/>
    </row>
    <row r="118" ht="15.75" customHeight="1">
      <c r="A118" s="20"/>
      <c r="B118" s="21">
        <v>115.0</v>
      </c>
      <c r="C118" s="33"/>
      <c r="D118" s="33"/>
      <c r="E118" s="70" t="str">
        <f t="shared" si="4"/>
        <v/>
      </c>
      <c r="F118" s="71" t="str">
        <f t="shared" si="3"/>
        <v/>
      </c>
      <c r="G118" s="26"/>
      <c r="H118" s="26"/>
      <c r="I118" s="26"/>
      <c r="J118" s="26"/>
      <c r="K118" s="26"/>
      <c r="L118" s="26"/>
      <c r="M118" s="26"/>
      <c r="N118" s="26"/>
    </row>
    <row r="119" ht="15.75" customHeight="1">
      <c r="A119" s="28"/>
      <c r="B119" s="29">
        <v>116.0</v>
      </c>
      <c r="C119" s="35"/>
      <c r="D119" s="35"/>
      <c r="E119" s="70" t="str">
        <f t="shared" si="4"/>
        <v/>
      </c>
      <c r="F119" s="71" t="str">
        <f t="shared" si="3"/>
        <v/>
      </c>
      <c r="G119" s="26"/>
      <c r="H119" s="26"/>
      <c r="I119" s="26"/>
      <c r="J119" s="26"/>
      <c r="K119" s="26"/>
      <c r="L119" s="26"/>
      <c r="M119" s="26"/>
      <c r="N119" s="26"/>
    </row>
    <row r="120" ht="15.75" customHeight="1">
      <c r="A120" s="20"/>
      <c r="B120" s="21">
        <v>117.0</v>
      </c>
      <c r="C120" s="33"/>
      <c r="D120" s="33"/>
      <c r="E120" s="70" t="str">
        <f t="shared" si="4"/>
        <v/>
      </c>
      <c r="F120" s="71" t="str">
        <f t="shared" si="3"/>
        <v/>
      </c>
      <c r="G120" s="26"/>
      <c r="H120" s="26"/>
      <c r="I120" s="26"/>
      <c r="J120" s="26"/>
      <c r="K120" s="26"/>
      <c r="L120" s="26"/>
      <c r="M120" s="26"/>
      <c r="N120" s="26"/>
    </row>
    <row r="121" ht="15.75" customHeight="1">
      <c r="A121" s="13"/>
      <c r="B121" s="55">
        <v>118.0</v>
      </c>
      <c r="C121" s="56"/>
      <c r="D121" s="56"/>
      <c r="E121" s="92" t="str">
        <f t="shared" si="4"/>
        <v/>
      </c>
      <c r="F121" s="93" t="str">
        <f t="shared" si="3"/>
        <v/>
      </c>
      <c r="G121" s="17"/>
      <c r="H121" s="17"/>
      <c r="I121" s="17"/>
      <c r="J121" s="17"/>
      <c r="K121" s="17"/>
      <c r="L121" s="17"/>
      <c r="M121" s="17"/>
      <c r="N121" s="17"/>
    </row>
    <row r="122" ht="15.75" customHeight="1">
      <c r="A122" s="13"/>
      <c r="B122" s="55">
        <v>119.0</v>
      </c>
      <c r="C122" s="56"/>
      <c r="D122" s="56"/>
      <c r="E122" s="92" t="str">
        <f t="shared" si="4"/>
        <v/>
      </c>
      <c r="F122" s="93" t="str">
        <f t="shared" si="3"/>
        <v/>
      </c>
      <c r="G122" s="17"/>
      <c r="H122" s="17"/>
      <c r="I122" s="17"/>
      <c r="J122" s="17"/>
      <c r="K122" s="17"/>
      <c r="L122" s="17"/>
      <c r="M122" s="17"/>
      <c r="N122" s="17"/>
    </row>
    <row r="123" ht="15.75" customHeight="1">
      <c r="A123" s="13"/>
      <c r="B123" s="55">
        <v>120.0</v>
      </c>
      <c r="C123" s="56"/>
      <c r="D123" s="56"/>
      <c r="E123" s="92" t="str">
        <f t="shared" si="4"/>
        <v/>
      </c>
      <c r="F123" s="93" t="str">
        <f t="shared" si="3"/>
        <v/>
      </c>
      <c r="G123" s="17"/>
      <c r="H123" s="17"/>
      <c r="I123" s="17"/>
      <c r="J123" s="17"/>
      <c r="K123" s="17"/>
      <c r="L123" s="17"/>
      <c r="M123" s="17"/>
      <c r="N123" s="17"/>
    </row>
    <row r="124" ht="15.75" customHeight="1">
      <c r="A124" s="13"/>
      <c r="B124" s="13"/>
      <c r="C124" s="13"/>
      <c r="D124" s="13"/>
      <c r="E124" s="13"/>
      <c r="F124" s="13"/>
      <c r="G124" s="13"/>
      <c r="H124" s="13"/>
      <c r="I124" s="13"/>
      <c r="J124" s="13"/>
      <c r="K124" s="13"/>
      <c r="L124" s="13"/>
      <c r="M124" s="13"/>
      <c r="N124" s="13"/>
    </row>
    <row r="125" ht="15.75" customHeight="1">
      <c r="A125" s="13"/>
      <c r="B125" s="13"/>
      <c r="C125" s="13"/>
      <c r="D125" s="13"/>
      <c r="E125" s="13"/>
      <c r="F125" s="13"/>
      <c r="G125" s="13"/>
      <c r="H125" s="13"/>
      <c r="I125" s="13"/>
      <c r="J125" s="13"/>
      <c r="K125" s="13"/>
      <c r="L125" s="13"/>
      <c r="M125" s="13"/>
      <c r="N125" s="13"/>
    </row>
    <row r="126" ht="15.75" customHeight="1">
      <c r="A126" s="13"/>
      <c r="B126" s="13"/>
      <c r="C126" s="13"/>
      <c r="D126" s="13"/>
      <c r="E126" s="13"/>
      <c r="F126" s="13"/>
      <c r="G126" s="13"/>
      <c r="H126" s="13"/>
      <c r="I126" s="13"/>
      <c r="J126" s="13"/>
      <c r="K126" s="13"/>
      <c r="L126" s="13"/>
      <c r="M126" s="13"/>
      <c r="N126" s="13"/>
    </row>
    <row r="127" ht="15.75" customHeight="1">
      <c r="A127" s="13"/>
      <c r="B127" s="13"/>
      <c r="C127" s="13"/>
      <c r="D127" s="13"/>
      <c r="E127" s="13"/>
      <c r="F127" s="13"/>
      <c r="G127" s="13"/>
      <c r="H127" s="13"/>
      <c r="I127" s="13"/>
      <c r="J127" s="13"/>
      <c r="K127" s="13"/>
      <c r="L127" s="13"/>
      <c r="M127" s="13"/>
      <c r="N127" s="13"/>
    </row>
    <row r="128" ht="15.75" customHeight="1">
      <c r="A128" s="13"/>
      <c r="B128" s="13"/>
      <c r="C128" s="13"/>
      <c r="D128" s="13"/>
      <c r="E128" s="13"/>
      <c r="F128" s="13"/>
      <c r="G128" s="13"/>
      <c r="H128" s="13"/>
      <c r="I128" s="13"/>
      <c r="J128" s="13"/>
      <c r="K128" s="13"/>
      <c r="L128" s="13"/>
      <c r="M128" s="13"/>
      <c r="N128" s="13"/>
    </row>
    <row r="129" ht="15.75" customHeight="1">
      <c r="A129" s="13"/>
      <c r="B129" s="13"/>
      <c r="C129" s="13"/>
      <c r="D129" s="13"/>
      <c r="E129" s="13"/>
      <c r="F129" s="13"/>
      <c r="G129" s="13"/>
      <c r="H129" s="13"/>
      <c r="I129" s="13"/>
      <c r="J129" s="13"/>
      <c r="K129" s="13"/>
      <c r="L129" s="13"/>
      <c r="M129" s="13"/>
      <c r="N129" s="13"/>
    </row>
    <row r="130" ht="15.75" customHeight="1">
      <c r="A130" s="13"/>
      <c r="B130" s="13"/>
      <c r="C130" s="13"/>
      <c r="D130" s="13"/>
      <c r="E130" s="13"/>
      <c r="F130" s="13"/>
      <c r="G130" s="13"/>
      <c r="H130" s="13"/>
      <c r="I130" s="13"/>
      <c r="J130" s="13"/>
      <c r="K130" s="13"/>
      <c r="L130" s="13"/>
      <c r="M130" s="13"/>
      <c r="N130" s="13"/>
    </row>
    <row r="131" ht="15.75" customHeight="1">
      <c r="A131" s="13"/>
      <c r="B131" s="13"/>
      <c r="C131" s="13"/>
      <c r="D131" s="13"/>
      <c r="E131" s="13"/>
      <c r="F131" s="13"/>
      <c r="G131" s="13"/>
      <c r="H131" s="13"/>
      <c r="I131" s="13"/>
      <c r="J131" s="13"/>
      <c r="K131" s="13"/>
      <c r="L131" s="13"/>
      <c r="M131" s="13"/>
      <c r="N131" s="13"/>
    </row>
    <row r="132" ht="15.75" customHeight="1">
      <c r="A132" s="13"/>
      <c r="B132" s="13"/>
      <c r="C132" s="13"/>
      <c r="D132" s="13"/>
      <c r="E132" s="13"/>
      <c r="F132" s="13"/>
      <c r="G132" s="13"/>
      <c r="H132" s="13"/>
      <c r="I132" s="13"/>
      <c r="J132" s="13"/>
      <c r="K132" s="13"/>
      <c r="L132" s="13"/>
      <c r="M132" s="13"/>
      <c r="N132" s="13"/>
    </row>
    <row r="133" ht="15.75" customHeight="1">
      <c r="A133" s="13"/>
      <c r="B133" s="13"/>
      <c r="C133" s="13"/>
      <c r="D133" s="13"/>
      <c r="E133" s="13"/>
      <c r="F133" s="13"/>
      <c r="G133" s="13"/>
      <c r="H133" s="13"/>
      <c r="I133" s="13"/>
      <c r="J133" s="13"/>
      <c r="K133" s="13"/>
      <c r="L133" s="13"/>
      <c r="M133" s="13"/>
      <c r="N133" s="13"/>
    </row>
    <row r="134" ht="15.75" customHeight="1">
      <c r="A134" s="13"/>
      <c r="B134" s="13"/>
      <c r="C134" s="13"/>
      <c r="D134" s="13"/>
      <c r="E134" s="13"/>
      <c r="F134" s="13"/>
      <c r="G134" s="13"/>
      <c r="H134" s="13"/>
      <c r="I134" s="13"/>
      <c r="J134" s="13"/>
      <c r="K134" s="13"/>
      <c r="L134" s="13"/>
      <c r="M134" s="13"/>
      <c r="N134" s="13"/>
    </row>
    <row r="135" ht="15.75" customHeight="1">
      <c r="A135" s="13"/>
      <c r="B135" s="13"/>
      <c r="C135" s="13"/>
      <c r="D135" s="13"/>
      <c r="E135" s="13"/>
      <c r="F135" s="13"/>
      <c r="G135" s="13"/>
      <c r="H135" s="13"/>
      <c r="I135" s="13"/>
      <c r="J135" s="13"/>
      <c r="K135" s="13"/>
      <c r="L135" s="13"/>
      <c r="M135" s="13"/>
      <c r="N135" s="13"/>
    </row>
    <row r="136" ht="15.75" customHeight="1">
      <c r="A136" s="13"/>
      <c r="B136" s="13"/>
      <c r="C136" s="13"/>
      <c r="D136" s="13"/>
      <c r="E136" s="13"/>
      <c r="F136" s="13"/>
      <c r="G136" s="13"/>
      <c r="H136" s="13"/>
      <c r="I136" s="13"/>
      <c r="J136" s="13"/>
      <c r="K136" s="13"/>
      <c r="L136" s="13"/>
      <c r="M136" s="13"/>
      <c r="N136" s="13"/>
    </row>
    <row r="137" ht="15.75" customHeight="1">
      <c r="A137" s="13"/>
      <c r="B137" s="13"/>
      <c r="C137" s="13"/>
      <c r="D137" s="13"/>
      <c r="E137" s="13"/>
      <c r="F137" s="13"/>
      <c r="G137" s="13"/>
      <c r="H137" s="13"/>
      <c r="I137" s="13"/>
      <c r="J137" s="13"/>
      <c r="K137" s="13"/>
      <c r="L137" s="13"/>
      <c r="M137" s="13"/>
      <c r="N137" s="13"/>
    </row>
    <row r="138" ht="15.75" customHeight="1">
      <c r="A138" s="13"/>
      <c r="B138" s="13"/>
      <c r="C138" s="13"/>
      <c r="D138" s="13"/>
      <c r="E138" s="13"/>
      <c r="F138" s="13"/>
      <c r="G138" s="13"/>
      <c r="H138" s="13"/>
      <c r="I138" s="13"/>
      <c r="J138" s="13"/>
      <c r="K138" s="13"/>
      <c r="L138" s="13"/>
      <c r="M138" s="13"/>
      <c r="N138" s="13"/>
    </row>
    <row r="139" ht="15.75" customHeight="1">
      <c r="A139" s="13"/>
      <c r="B139" s="13"/>
      <c r="C139" s="13"/>
      <c r="D139" s="13"/>
      <c r="E139" s="13"/>
      <c r="F139" s="13"/>
      <c r="G139" s="13"/>
      <c r="H139" s="13"/>
      <c r="I139" s="13"/>
      <c r="J139" s="13"/>
      <c r="K139" s="13"/>
      <c r="L139" s="13"/>
      <c r="M139" s="13"/>
      <c r="N139" s="13"/>
    </row>
    <row r="140" ht="15.75" customHeight="1">
      <c r="A140" s="13"/>
      <c r="B140" s="13"/>
      <c r="C140" s="13"/>
      <c r="D140" s="13"/>
      <c r="E140" s="13"/>
      <c r="F140" s="13"/>
      <c r="G140" s="13"/>
      <c r="H140" s="13"/>
      <c r="I140" s="13"/>
      <c r="J140" s="13"/>
      <c r="K140" s="13"/>
      <c r="L140" s="13"/>
      <c r="M140" s="13"/>
      <c r="N140" s="13"/>
    </row>
    <row r="141" ht="15.75" customHeight="1">
      <c r="A141" s="13"/>
      <c r="B141" s="13"/>
      <c r="C141" s="13"/>
      <c r="D141" s="13"/>
      <c r="E141" s="13"/>
      <c r="F141" s="13"/>
      <c r="G141" s="13"/>
      <c r="H141" s="13"/>
      <c r="I141" s="13"/>
      <c r="J141" s="13"/>
      <c r="K141" s="13"/>
      <c r="L141" s="13"/>
      <c r="M141" s="13"/>
      <c r="N141" s="13"/>
    </row>
    <row r="142" ht="15.75" customHeight="1">
      <c r="A142" s="13"/>
      <c r="B142" s="13"/>
      <c r="C142" s="13"/>
      <c r="D142" s="13"/>
      <c r="E142" s="13"/>
      <c r="F142" s="13"/>
      <c r="G142" s="13"/>
      <c r="H142" s="13"/>
      <c r="I142" s="13"/>
      <c r="J142" s="13"/>
      <c r="K142" s="13"/>
      <c r="L142" s="13"/>
      <c r="M142" s="13"/>
      <c r="N142" s="13"/>
    </row>
    <row r="143" ht="15.75" customHeight="1">
      <c r="A143" s="13"/>
      <c r="B143" s="13"/>
      <c r="C143" s="13"/>
      <c r="D143" s="13"/>
      <c r="E143" s="13"/>
      <c r="F143" s="13"/>
      <c r="G143" s="13"/>
      <c r="H143" s="13"/>
      <c r="I143" s="13"/>
      <c r="J143" s="13"/>
      <c r="K143" s="13"/>
      <c r="L143" s="13"/>
      <c r="M143" s="13"/>
      <c r="N143" s="13"/>
    </row>
    <row r="144" ht="15.75" customHeight="1">
      <c r="A144" s="13"/>
      <c r="B144" s="13"/>
      <c r="C144" s="13"/>
      <c r="D144" s="13"/>
      <c r="E144" s="13"/>
      <c r="F144" s="13"/>
      <c r="G144" s="13"/>
      <c r="H144" s="13"/>
      <c r="I144" s="13"/>
      <c r="J144" s="13"/>
      <c r="K144" s="13"/>
      <c r="L144" s="13"/>
      <c r="M144" s="13"/>
      <c r="N144" s="13"/>
    </row>
    <row r="145" ht="15.75" customHeight="1">
      <c r="A145" s="13"/>
      <c r="B145" s="13"/>
      <c r="C145" s="13"/>
      <c r="D145" s="13"/>
      <c r="E145" s="13"/>
      <c r="F145" s="13"/>
      <c r="G145" s="13"/>
      <c r="H145" s="13"/>
      <c r="I145" s="13"/>
      <c r="J145" s="13"/>
      <c r="K145" s="13"/>
      <c r="L145" s="13"/>
      <c r="M145" s="13"/>
      <c r="N145" s="13"/>
    </row>
    <row r="146" ht="15.75" customHeight="1">
      <c r="A146" s="13"/>
      <c r="B146" s="13"/>
      <c r="C146" s="13"/>
      <c r="D146" s="13"/>
      <c r="E146" s="13"/>
      <c r="F146" s="13"/>
      <c r="G146" s="13"/>
      <c r="H146" s="13"/>
      <c r="I146" s="13"/>
      <c r="J146" s="13"/>
      <c r="K146" s="13"/>
      <c r="L146" s="13"/>
      <c r="M146" s="13"/>
      <c r="N146" s="13"/>
    </row>
    <row r="147" ht="15.75" customHeight="1">
      <c r="A147" s="13"/>
      <c r="B147" s="13"/>
      <c r="C147" s="13"/>
      <c r="D147" s="13"/>
      <c r="E147" s="13"/>
      <c r="F147" s="13"/>
      <c r="G147" s="13"/>
      <c r="H147" s="13"/>
      <c r="I147" s="13"/>
      <c r="J147" s="13"/>
      <c r="K147" s="13"/>
      <c r="L147" s="13"/>
      <c r="M147" s="13"/>
      <c r="N147" s="13"/>
    </row>
    <row r="148" ht="15.75" customHeight="1">
      <c r="A148" s="13"/>
      <c r="B148" s="13"/>
      <c r="C148" s="13"/>
      <c r="D148" s="13"/>
      <c r="E148" s="13"/>
      <c r="F148" s="13"/>
      <c r="G148" s="13"/>
      <c r="H148" s="13"/>
      <c r="I148" s="13"/>
      <c r="J148" s="13"/>
      <c r="K148" s="13"/>
      <c r="L148" s="13"/>
      <c r="M148" s="13"/>
      <c r="N148" s="13"/>
    </row>
    <row r="149" ht="15.75" customHeight="1">
      <c r="A149" s="13"/>
      <c r="B149" s="13"/>
      <c r="C149" s="13"/>
      <c r="D149" s="13"/>
      <c r="E149" s="13"/>
      <c r="F149" s="13"/>
      <c r="G149" s="13"/>
      <c r="H149" s="13"/>
      <c r="I149" s="13"/>
      <c r="J149" s="13"/>
      <c r="K149" s="13"/>
      <c r="L149" s="13"/>
      <c r="M149" s="13"/>
      <c r="N149" s="13"/>
    </row>
    <row r="150" ht="15.75" customHeight="1">
      <c r="A150" s="13"/>
      <c r="B150" s="13"/>
      <c r="C150" s="13"/>
      <c r="D150" s="13"/>
      <c r="E150" s="13"/>
      <c r="F150" s="13"/>
      <c r="G150" s="13"/>
      <c r="H150" s="13"/>
      <c r="I150" s="13"/>
      <c r="J150" s="13"/>
      <c r="K150" s="13"/>
      <c r="L150" s="13"/>
      <c r="M150" s="13"/>
      <c r="N150" s="13"/>
    </row>
    <row r="151" ht="15.75" customHeight="1">
      <c r="A151" s="13"/>
      <c r="B151" s="13"/>
      <c r="C151" s="13"/>
      <c r="D151" s="13"/>
      <c r="E151" s="13"/>
      <c r="F151" s="13"/>
      <c r="G151" s="13"/>
      <c r="H151" s="13"/>
      <c r="I151" s="13"/>
      <c r="J151" s="13"/>
      <c r="K151" s="13"/>
      <c r="L151" s="13"/>
      <c r="M151" s="13"/>
      <c r="N151" s="13"/>
    </row>
    <row r="152" ht="15.75" customHeight="1">
      <c r="A152" s="13"/>
      <c r="B152" s="13"/>
      <c r="C152" s="13"/>
      <c r="D152" s="13"/>
      <c r="E152" s="13"/>
      <c r="F152" s="13"/>
      <c r="G152" s="13"/>
      <c r="H152" s="13"/>
      <c r="I152" s="13"/>
      <c r="J152" s="13"/>
      <c r="K152" s="13"/>
      <c r="L152" s="13"/>
      <c r="M152" s="13"/>
      <c r="N152" s="13"/>
    </row>
    <row r="153" ht="15.75" customHeight="1">
      <c r="A153" s="13"/>
      <c r="B153" s="13"/>
      <c r="C153" s="13"/>
      <c r="D153" s="13"/>
      <c r="E153" s="13"/>
      <c r="F153" s="13"/>
      <c r="G153" s="13"/>
      <c r="H153" s="13"/>
      <c r="I153" s="13"/>
      <c r="J153" s="13"/>
      <c r="K153" s="13"/>
      <c r="L153" s="13"/>
      <c r="M153" s="13"/>
      <c r="N153" s="13"/>
    </row>
    <row r="154" ht="15.75" customHeight="1">
      <c r="A154" s="13"/>
      <c r="B154" s="13"/>
      <c r="C154" s="13"/>
      <c r="D154" s="13"/>
      <c r="E154" s="13"/>
      <c r="F154" s="13"/>
      <c r="G154" s="13"/>
      <c r="H154" s="13"/>
      <c r="I154" s="13"/>
      <c r="J154" s="13"/>
      <c r="K154" s="13"/>
      <c r="L154" s="13"/>
      <c r="M154" s="13"/>
      <c r="N154" s="13"/>
    </row>
    <row r="155" ht="15.75" customHeight="1">
      <c r="A155" s="13"/>
      <c r="B155" s="13"/>
      <c r="C155" s="13"/>
      <c r="D155" s="13"/>
      <c r="E155" s="13"/>
      <c r="F155" s="13"/>
      <c r="G155" s="13"/>
      <c r="H155" s="13"/>
      <c r="I155" s="13"/>
      <c r="J155" s="13"/>
      <c r="K155" s="13"/>
      <c r="L155" s="13"/>
      <c r="M155" s="13"/>
      <c r="N155" s="13"/>
    </row>
    <row r="156" ht="15.75" customHeight="1">
      <c r="A156" s="13"/>
      <c r="B156" s="13"/>
      <c r="C156" s="13"/>
      <c r="D156" s="13"/>
      <c r="E156" s="13"/>
      <c r="F156" s="13"/>
      <c r="G156" s="13"/>
      <c r="H156" s="13"/>
      <c r="I156" s="13"/>
      <c r="J156" s="13"/>
      <c r="K156" s="13"/>
      <c r="L156" s="13"/>
      <c r="M156" s="13"/>
      <c r="N156" s="13"/>
    </row>
    <row r="157" ht="15.75" customHeight="1">
      <c r="A157" s="13"/>
      <c r="B157" s="13"/>
      <c r="C157" s="13"/>
      <c r="D157" s="13"/>
      <c r="E157" s="13"/>
      <c r="F157" s="13"/>
      <c r="G157" s="13"/>
      <c r="H157" s="13"/>
      <c r="I157" s="13"/>
      <c r="J157" s="13"/>
      <c r="K157" s="13"/>
      <c r="L157" s="13"/>
      <c r="M157" s="13"/>
      <c r="N157" s="13"/>
    </row>
    <row r="158" ht="15.75" customHeight="1">
      <c r="A158" s="13"/>
      <c r="B158" s="13"/>
      <c r="C158" s="13"/>
      <c r="D158" s="13"/>
      <c r="E158" s="13"/>
      <c r="F158" s="13"/>
      <c r="G158" s="13"/>
      <c r="H158" s="13"/>
      <c r="I158" s="13"/>
      <c r="J158" s="13"/>
      <c r="K158" s="13"/>
      <c r="L158" s="13"/>
      <c r="M158" s="13"/>
      <c r="N158" s="13"/>
    </row>
    <row r="159" ht="15.75" customHeight="1">
      <c r="A159" s="13"/>
      <c r="B159" s="13"/>
      <c r="C159" s="13"/>
      <c r="D159" s="13"/>
      <c r="E159" s="13"/>
      <c r="F159" s="13"/>
      <c r="G159" s="13"/>
      <c r="H159" s="13"/>
      <c r="I159" s="13"/>
      <c r="J159" s="13"/>
      <c r="K159" s="13"/>
      <c r="L159" s="13"/>
      <c r="M159" s="13"/>
      <c r="N159" s="13"/>
    </row>
    <row r="160" ht="15.75" customHeight="1">
      <c r="A160" s="13"/>
      <c r="B160" s="13"/>
      <c r="C160" s="13"/>
      <c r="D160" s="13"/>
      <c r="E160" s="13"/>
      <c r="F160" s="13"/>
      <c r="G160" s="13"/>
      <c r="H160" s="13"/>
      <c r="I160" s="13"/>
      <c r="J160" s="13"/>
      <c r="K160" s="13"/>
      <c r="L160" s="13"/>
      <c r="M160" s="13"/>
      <c r="N160" s="13"/>
    </row>
    <row r="161" ht="15.75" customHeight="1">
      <c r="A161" s="13"/>
      <c r="B161" s="13"/>
      <c r="C161" s="13"/>
      <c r="D161" s="13"/>
      <c r="E161" s="13"/>
      <c r="F161" s="13"/>
      <c r="G161" s="13"/>
      <c r="H161" s="13"/>
      <c r="I161" s="13"/>
      <c r="J161" s="13"/>
      <c r="K161" s="13"/>
      <c r="L161" s="13"/>
      <c r="M161" s="13"/>
      <c r="N161" s="13"/>
    </row>
    <row r="162" ht="15.75" customHeight="1">
      <c r="A162" s="13"/>
      <c r="B162" s="13"/>
      <c r="C162" s="13"/>
      <c r="D162" s="13"/>
      <c r="E162" s="13"/>
      <c r="F162" s="13"/>
      <c r="G162" s="13"/>
      <c r="H162" s="13"/>
      <c r="I162" s="13"/>
      <c r="J162" s="13"/>
      <c r="K162" s="13"/>
      <c r="L162" s="13"/>
      <c r="M162" s="13"/>
      <c r="N162" s="13"/>
    </row>
    <row r="163" ht="15.75" customHeight="1">
      <c r="A163" s="13"/>
      <c r="B163" s="13"/>
      <c r="C163" s="13"/>
      <c r="D163" s="13"/>
      <c r="E163" s="13"/>
      <c r="F163" s="13"/>
      <c r="G163" s="13"/>
      <c r="H163" s="13"/>
      <c r="I163" s="13"/>
      <c r="J163" s="13"/>
      <c r="K163" s="13"/>
      <c r="L163" s="13"/>
      <c r="M163" s="13"/>
      <c r="N163" s="13"/>
    </row>
    <row r="164" ht="15.75" customHeight="1">
      <c r="A164" s="13"/>
      <c r="B164" s="13"/>
      <c r="C164" s="13"/>
      <c r="D164" s="13"/>
      <c r="E164" s="13"/>
      <c r="F164" s="13"/>
      <c r="G164" s="13"/>
      <c r="H164" s="13"/>
      <c r="I164" s="13"/>
      <c r="J164" s="13"/>
      <c r="K164" s="13"/>
      <c r="L164" s="13"/>
      <c r="M164" s="13"/>
      <c r="N164" s="13"/>
    </row>
    <row r="165" ht="15.75" customHeight="1">
      <c r="A165" s="13"/>
      <c r="B165" s="13"/>
      <c r="C165" s="13"/>
      <c r="D165" s="13"/>
      <c r="E165" s="13"/>
      <c r="F165" s="13"/>
      <c r="G165" s="13"/>
      <c r="H165" s="13"/>
      <c r="I165" s="13"/>
      <c r="J165" s="13"/>
      <c r="K165" s="13"/>
      <c r="L165" s="13"/>
      <c r="M165" s="13"/>
      <c r="N165" s="13"/>
    </row>
    <row r="166" ht="15.75" customHeight="1">
      <c r="A166" s="13"/>
      <c r="B166" s="13"/>
      <c r="C166" s="13"/>
      <c r="D166" s="13"/>
      <c r="E166" s="13"/>
      <c r="F166" s="13"/>
      <c r="G166" s="13"/>
      <c r="H166" s="13"/>
      <c r="I166" s="13"/>
      <c r="J166" s="13"/>
      <c r="K166" s="13"/>
      <c r="L166" s="13"/>
      <c r="M166" s="13"/>
      <c r="N166" s="13"/>
    </row>
    <row r="167" ht="15.75" customHeight="1">
      <c r="A167" s="13"/>
      <c r="B167" s="13"/>
      <c r="C167" s="13"/>
      <c r="D167" s="13"/>
      <c r="E167" s="13"/>
      <c r="F167" s="13"/>
      <c r="G167" s="13"/>
      <c r="H167" s="13"/>
      <c r="I167" s="13"/>
      <c r="J167" s="13"/>
      <c r="K167" s="13"/>
      <c r="L167" s="13"/>
      <c r="M167" s="13"/>
      <c r="N167" s="13"/>
    </row>
    <row r="168" ht="15.75" customHeight="1">
      <c r="A168" s="13"/>
      <c r="B168" s="13"/>
      <c r="C168" s="13"/>
      <c r="D168" s="13"/>
      <c r="E168" s="13"/>
      <c r="F168" s="13"/>
      <c r="G168" s="13"/>
      <c r="H168" s="13"/>
      <c r="I168" s="13"/>
      <c r="J168" s="13"/>
      <c r="K168" s="13"/>
      <c r="L168" s="13"/>
      <c r="M168" s="13"/>
      <c r="N168" s="13"/>
    </row>
    <row r="169" ht="15.75" customHeight="1">
      <c r="A169" s="13"/>
      <c r="B169" s="13"/>
      <c r="C169" s="13"/>
      <c r="D169" s="13"/>
      <c r="E169" s="13"/>
      <c r="F169" s="13"/>
      <c r="G169" s="13"/>
      <c r="H169" s="13"/>
      <c r="I169" s="13"/>
      <c r="J169" s="13"/>
      <c r="K169" s="13"/>
      <c r="L169" s="13"/>
      <c r="M169" s="13"/>
      <c r="N169" s="13"/>
    </row>
    <row r="170" ht="15.75" customHeight="1">
      <c r="A170" s="13"/>
      <c r="B170" s="13"/>
      <c r="C170" s="13"/>
      <c r="D170" s="13"/>
      <c r="E170" s="13"/>
      <c r="F170" s="13"/>
      <c r="G170" s="13"/>
      <c r="H170" s="13"/>
      <c r="I170" s="13"/>
      <c r="J170" s="13"/>
      <c r="K170" s="13"/>
      <c r="L170" s="13"/>
      <c r="M170" s="13"/>
      <c r="N170" s="13"/>
    </row>
    <row r="171" ht="15.75" customHeight="1">
      <c r="A171" s="13"/>
      <c r="B171" s="13"/>
      <c r="C171" s="13"/>
      <c r="D171" s="13"/>
      <c r="E171" s="13"/>
      <c r="F171" s="13"/>
      <c r="G171" s="13"/>
      <c r="H171" s="13"/>
      <c r="I171" s="13"/>
      <c r="J171" s="13"/>
      <c r="K171" s="13"/>
      <c r="L171" s="13"/>
      <c r="M171" s="13"/>
      <c r="N171" s="13"/>
    </row>
    <row r="172" ht="15.75" customHeight="1">
      <c r="A172" s="13"/>
      <c r="B172" s="13"/>
      <c r="C172" s="13"/>
      <c r="D172" s="13"/>
      <c r="E172" s="13"/>
      <c r="F172" s="13"/>
      <c r="G172" s="13"/>
      <c r="H172" s="13"/>
      <c r="I172" s="13"/>
      <c r="J172" s="13"/>
      <c r="K172" s="13"/>
      <c r="L172" s="13"/>
      <c r="M172" s="13"/>
      <c r="N172" s="13"/>
    </row>
    <row r="173" ht="15.75" customHeight="1">
      <c r="A173" s="13"/>
      <c r="B173" s="13"/>
      <c r="C173" s="13"/>
      <c r="D173" s="13"/>
      <c r="E173" s="13"/>
      <c r="F173" s="13"/>
      <c r="G173" s="13"/>
      <c r="H173" s="13"/>
      <c r="I173" s="13"/>
      <c r="J173" s="13"/>
      <c r="K173" s="13"/>
      <c r="L173" s="13"/>
      <c r="M173" s="13"/>
      <c r="N173" s="13"/>
    </row>
    <row r="174" ht="15.75" customHeight="1">
      <c r="A174" s="13"/>
      <c r="B174" s="13"/>
      <c r="C174" s="13"/>
      <c r="D174" s="13"/>
      <c r="E174" s="13"/>
      <c r="F174" s="13"/>
      <c r="G174" s="13"/>
      <c r="H174" s="13"/>
      <c r="I174" s="13"/>
      <c r="J174" s="13"/>
      <c r="K174" s="13"/>
      <c r="L174" s="13"/>
      <c r="M174" s="13"/>
      <c r="N174" s="13"/>
    </row>
    <row r="175" ht="15.75" customHeight="1">
      <c r="A175" s="13"/>
      <c r="B175" s="13"/>
      <c r="C175" s="13"/>
      <c r="D175" s="13"/>
      <c r="E175" s="13"/>
      <c r="F175" s="13"/>
      <c r="G175" s="13"/>
      <c r="H175" s="13"/>
      <c r="I175" s="13"/>
      <c r="J175" s="13"/>
      <c r="K175" s="13"/>
      <c r="L175" s="13"/>
      <c r="M175" s="13"/>
      <c r="N175" s="13"/>
    </row>
    <row r="176" ht="15.75" customHeight="1">
      <c r="A176" s="13"/>
      <c r="B176" s="13"/>
      <c r="C176" s="13"/>
      <c r="D176" s="13"/>
      <c r="E176" s="13"/>
      <c r="F176" s="13"/>
      <c r="G176" s="13"/>
      <c r="H176" s="13"/>
      <c r="I176" s="13"/>
      <c r="J176" s="13"/>
      <c r="K176" s="13"/>
      <c r="L176" s="13"/>
      <c r="M176" s="13"/>
      <c r="N176" s="13"/>
    </row>
    <row r="177" ht="15.75" customHeight="1">
      <c r="A177" s="13"/>
      <c r="B177" s="13"/>
      <c r="C177" s="13"/>
      <c r="D177" s="13"/>
      <c r="E177" s="13"/>
      <c r="F177" s="13"/>
      <c r="G177" s="13"/>
      <c r="H177" s="13"/>
      <c r="I177" s="13"/>
      <c r="J177" s="13"/>
      <c r="K177" s="13"/>
      <c r="L177" s="13"/>
      <c r="M177" s="13"/>
      <c r="N177" s="13"/>
    </row>
    <row r="178" ht="15.75" customHeight="1">
      <c r="A178" s="13"/>
      <c r="B178" s="13"/>
      <c r="C178" s="13"/>
      <c r="D178" s="13"/>
      <c r="E178" s="13"/>
      <c r="F178" s="13"/>
      <c r="G178" s="13"/>
      <c r="H178" s="13"/>
      <c r="I178" s="13"/>
      <c r="J178" s="13"/>
      <c r="K178" s="13"/>
      <c r="L178" s="13"/>
      <c r="M178" s="13"/>
      <c r="N178" s="13"/>
    </row>
    <row r="179" ht="15.75" customHeight="1">
      <c r="A179" s="13"/>
      <c r="B179" s="13"/>
      <c r="C179" s="13"/>
      <c r="D179" s="13"/>
      <c r="E179" s="13"/>
      <c r="F179" s="13"/>
      <c r="G179" s="13"/>
      <c r="H179" s="13"/>
      <c r="I179" s="13"/>
      <c r="J179" s="13"/>
      <c r="K179" s="13"/>
      <c r="L179" s="13"/>
      <c r="M179" s="13"/>
      <c r="N179" s="13"/>
    </row>
    <row r="180" ht="15.75" customHeight="1">
      <c r="A180" s="13"/>
      <c r="B180" s="13"/>
      <c r="C180" s="13"/>
      <c r="D180" s="13"/>
      <c r="E180" s="13"/>
      <c r="F180" s="13"/>
      <c r="G180" s="13"/>
      <c r="H180" s="13"/>
      <c r="I180" s="13"/>
      <c r="J180" s="13"/>
      <c r="K180" s="13"/>
      <c r="L180" s="13"/>
      <c r="M180" s="13"/>
      <c r="N180" s="13"/>
    </row>
    <row r="181" ht="15.75" customHeight="1">
      <c r="A181" s="13"/>
      <c r="B181" s="13"/>
      <c r="C181" s="13"/>
      <c r="D181" s="13"/>
      <c r="E181" s="13"/>
      <c r="F181" s="13"/>
      <c r="G181" s="13"/>
      <c r="H181" s="13"/>
      <c r="I181" s="13"/>
      <c r="J181" s="13"/>
      <c r="K181" s="13"/>
      <c r="L181" s="13"/>
      <c r="M181" s="13"/>
      <c r="N181" s="13"/>
    </row>
    <row r="182" ht="15.75" customHeight="1">
      <c r="A182" s="13"/>
      <c r="B182" s="13"/>
      <c r="C182" s="13"/>
      <c r="D182" s="13"/>
      <c r="E182" s="13"/>
      <c r="F182" s="13"/>
      <c r="G182" s="13"/>
      <c r="H182" s="13"/>
      <c r="I182" s="13"/>
      <c r="J182" s="13"/>
      <c r="K182" s="13"/>
      <c r="L182" s="13"/>
      <c r="M182" s="13"/>
      <c r="N182" s="13"/>
    </row>
    <row r="183" ht="15.75" customHeight="1">
      <c r="A183" s="13"/>
      <c r="B183" s="13"/>
      <c r="C183" s="13"/>
      <c r="D183" s="13"/>
      <c r="E183" s="13"/>
      <c r="F183" s="13"/>
      <c r="G183" s="13"/>
      <c r="H183" s="13"/>
      <c r="I183" s="13"/>
      <c r="J183" s="13"/>
      <c r="K183" s="13"/>
      <c r="L183" s="13"/>
      <c r="M183" s="13"/>
      <c r="N183" s="13"/>
    </row>
    <row r="184" ht="15.75" customHeight="1">
      <c r="A184" s="13"/>
      <c r="B184" s="13"/>
      <c r="C184" s="13"/>
      <c r="D184" s="13"/>
      <c r="E184" s="13"/>
      <c r="F184" s="13"/>
      <c r="G184" s="13"/>
      <c r="H184" s="13"/>
      <c r="I184" s="13"/>
      <c r="J184" s="13"/>
      <c r="K184" s="13"/>
      <c r="L184" s="13"/>
      <c r="M184" s="13"/>
      <c r="N184" s="13"/>
    </row>
    <row r="185" ht="15.75" customHeight="1">
      <c r="A185" s="13"/>
      <c r="B185" s="13"/>
      <c r="C185" s="13"/>
      <c r="D185" s="13"/>
      <c r="E185" s="13"/>
      <c r="F185" s="13"/>
      <c r="G185" s="13"/>
      <c r="H185" s="13"/>
      <c r="I185" s="13"/>
      <c r="J185" s="13"/>
      <c r="K185" s="13"/>
      <c r="L185" s="13"/>
      <c r="M185" s="13"/>
      <c r="N185" s="13"/>
    </row>
    <row r="186" ht="15.75" customHeight="1">
      <c r="A186" s="13"/>
      <c r="B186" s="13"/>
      <c r="C186" s="13"/>
      <c r="D186" s="13"/>
      <c r="E186" s="13"/>
      <c r="F186" s="13"/>
      <c r="G186" s="13"/>
      <c r="H186" s="13"/>
      <c r="I186" s="13"/>
      <c r="J186" s="13"/>
      <c r="K186" s="13"/>
      <c r="L186" s="13"/>
      <c r="M186" s="13"/>
      <c r="N186" s="13"/>
    </row>
    <row r="187" ht="15.75" customHeight="1">
      <c r="A187" s="13"/>
      <c r="B187" s="13"/>
      <c r="C187" s="13"/>
      <c r="D187" s="13"/>
      <c r="E187" s="13"/>
      <c r="F187" s="13"/>
      <c r="G187" s="13"/>
      <c r="H187" s="13"/>
      <c r="I187" s="13"/>
      <c r="J187" s="13"/>
      <c r="K187" s="13"/>
      <c r="L187" s="13"/>
      <c r="M187" s="13"/>
      <c r="N187" s="13"/>
    </row>
    <row r="188" ht="15.75" customHeight="1">
      <c r="A188" s="13"/>
      <c r="B188" s="13"/>
      <c r="C188" s="13"/>
      <c r="D188" s="13"/>
      <c r="E188" s="13"/>
      <c r="F188" s="13"/>
      <c r="G188" s="13"/>
      <c r="H188" s="13"/>
      <c r="I188" s="13"/>
      <c r="J188" s="13"/>
      <c r="K188" s="13"/>
      <c r="L188" s="13"/>
      <c r="M188" s="13"/>
      <c r="N188" s="13"/>
    </row>
    <row r="189" ht="15.75" customHeight="1">
      <c r="A189" s="13"/>
      <c r="B189" s="13"/>
      <c r="C189" s="13"/>
      <c r="D189" s="13"/>
      <c r="E189" s="13"/>
      <c r="F189" s="13"/>
      <c r="G189" s="13"/>
      <c r="H189" s="13"/>
      <c r="I189" s="13"/>
      <c r="J189" s="13"/>
      <c r="K189" s="13"/>
      <c r="L189" s="13"/>
      <c r="M189" s="13"/>
      <c r="N189" s="13"/>
    </row>
    <row r="190" ht="15.75" customHeight="1">
      <c r="A190" s="13"/>
      <c r="B190" s="13"/>
      <c r="C190" s="13"/>
      <c r="D190" s="13"/>
      <c r="E190" s="13"/>
      <c r="F190" s="13"/>
      <c r="G190" s="13"/>
      <c r="H190" s="13"/>
      <c r="I190" s="13"/>
      <c r="J190" s="13"/>
      <c r="K190" s="13"/>
      <c r="L190" s="13"/>
      <c r="M190" s="13"/>
      <c r="N190" s="13"/>
    </row>
    <row r="191" ht="15.75" customHeight="1">
      <c r="A191" s="13"/>
      <c r="B191" s="13"/>
      <c r="C191" s="13"/>
      <c r="D191" s="13"/>
      <c r="E191" s="13"/>
      <c r="F191" s="13"/>
      <c r="G191" s="13"/>
      <c r="H191" s="13"/>
      <c r="I191" s="13"/>
      <c r="J191" s="13"/>
      <c r="K191" s="13"/>
      <c r="L191" s="13"/>
      <c r="M191" s="13"/>
      <c r="N191" s="13"/>
    </row>
    <row r="192" ht="15.75" customHeight="1">
      <c r="A192" s="13"/>
      <c r="B192" s="13"/>
      <c r="C192" s="13"/>
      <c r="D192" s="13"/>
      <c r="E192" s="13"/>
      <c r="F192" s="13"/>
      <c r="G192" s="13"/>
      <c r="H192" s="13"/>
      <c r="I192" s="13"/>
      <c r="J192" s="13"/>
      <c r="K192" s="13"/>
      <c r="L192" s="13"/>
      <c r="M192" s="13"/>
      <c r="N192" s="13"/>
    </row>
    <row r="193" ht="15.75" customHeight="1">
      <c r="A193" s="13"/>
      <c r="B193" s="13"/>
      <c r="C193" s="13"/>
      <c r="D193" s="13"/>
      <c r="E193" s="13"/>
      <c r="F193" s="13"/>
      <c r="G193" s="13"/>
      <c r="H193" s="13"/>
      <c r="I193" s="13"/>
      <c r="J193" s="13"/>
      <c r="K193" s="13"/>
      <c r="L193" s="13"/>
      <c r="M193" s="13"/>
      <c r="N193" s="13"/>
    </row>
    <row r="194" ht="15.75" customHeight="1">
      <c r="A194" s="13"/>
      <c r="B194" s="13"/>
      <c r="C194" s="13"/>
      <c r="D194" s="13"/>
      <c r="E194" s="13"/>
      <c r="F194" s="13"/>
      <c r="G194" s="13"/>
      <c r="H194" s="13"/>
      <c r="I194" s="13"/>
      <c r="J194" s="13"/>
      <c r="K194" s="13"/>
      <c r="L194" s="13"/>
      <c r="M194" s="13"/>
      <c r="N194" s="13"/>
    </row>
    <row r="195" ht="15.75" customHeight="1">
      <c r="A195" s="13"/>
      <c r="B195" s="13"/>
      <c r="C195" s="13"/>
      <c r="D195" s="13"/>
      <c r="E195" s="13"/>
      <c r="F195" s="13"/>
      <c r="G195" s="13"/>
      <c r="H195" s="13"/>
      <c r="I195" s="13"/>
      <c r="J195" s="13"/>
      <c r="K195" s="13"/>
      <c r="L195" s="13"/>
      <c r="M195" s="13"/>
      <c r="N195" s="13"/>
    </row>
    <row r="196" ht="15.75" customHeight="1">
      <c r="A196" s="13"/>
      <c r="B196" s="13"/>
      <c r="C196" s="13"/>
      <c r="D196" s="13"/>
      <c r="E196" s="13"/>
      <c r="F196" s="13"/>
      <c r="G196" s="13"/>
      <c r="H196" s="13"/>
      <c r="I196" s="13"/>
      <c r="J196" s="13"/>
      <c r="K196" s="13"/>
      <c r="L196" s="13"/>
      <c r="M196" s="13"/>
      <c r="N196" s="13"/>
    </row>
    <row r="197" ht="15.75" customHeight="1">
      <c r="A197" s="13"/>
      <c r="B197" s="13"/>
      <c r="C197" s="13"/>
      <c r="D197" s="13"/>
      <c r="E197" s="13"/>
      <c r="F197" s="13"/>
      <c r="G197" s="13"/>
      <c r="H197" s="13"/>
      <c r="I197" s="13"/>
      <c r="J197" s="13"/>
      <c r="K197" s="13"/>
      <c r="L197" s="13"/>
      <c r="M197" s="13"/>
      <c r="N197" s="13"/>
    </row>
    <row r="198" ht="15.75" customHeight="1">
      <c r="A198" s="13"/>
      <c r="B198" s="13"/>
      <c r="C198" s="13"/>
      <c r="D198" s="13"/>
      <c r="E198" s="13"/>
      <c r="F198" s="13"/>
      <c r="G198" s="13"/>
      <c r="H198" s="13"/>
      <c r="I198" s="13"/>
      <c r="J198" s="13"/>
      <c r="K198" s="13"/>
      <c r="L198" s="13"/>
      <c r="M198" s="13"/>
      <c r="N198" s="13"/>
    </row>
    <row r="199" ht="15.75" customHeight="1">
      <c r="A199" s="13"/>
      <c r="B199" s="13"/>
      <c r="C199" s="13"/>
      <c r="D199" s="13"/>
      <c r="E199" s="13"/>
      <c r="F199" s="13"/>
      <c r="G199" s="13"/>
      <c r="H199" s="13"/>
      <c r="I199" s="13"/>
      <c r="J199" s="13"/>
      <c r="K199" s="13"/>
      <c r="L199" s="13"/>
      <c r="M199" s="13"/>
      <c r="N199" s="13"/>
    </row>
    <row r="200" ht="15.75" customHeight="1">
      <c r="A200" s="13"/>
      <c r="B200" s="13"/>
      <c r="C200" s="13"/>
      <c r="D200" s="13"/>
      <c r="E200" s="13"/>
      <c r="F200" s="13"/>
      <c r="G200" s="13"/>
      <c r="H200" s="13"/>
      <c r="I200" s="13"/>
      <c r="J200" s="13"/>
      <c r="K200" s="13"/>
      <c r="L200" s="13"/>
      <c r="M200" s="13"/>
      <c r="N200" s="13"/>
    </row>
    <row r="201" ht="15.75" customHeight="1">
      <c r="A201" s="13"/>
      <c r="B201" s="13"/>
      <c r="C201" s="13"/>
      <c r="D201" s="13"/>
      <c r="E201" s="13"/>
      <c r="F201" s="13"/>
      <c r="G201" s="13"/>
      <c r="H201" s="13"/>
      <c r="I201" s="13"/>
      <c r="J201" s="13"/>
      <c r="K201" s="13"/>
      <c r="L201" s="13"/>
      <c r="M201" s="13"/>
      <c r="N201" s="13"/>
    </row>
    <row r="202" ht="15.75" customHeight="1">
      <c r="A202" s="13"/>
      <c r="B202" s="13"/>
      <c r="C202" s="13"/>
      <c r="D202" s="13"/>
      <c r="E202" s="13"/>
      <c r="F202" s="13"/>
      <c r="G202" s="13"/>
      <c r="H202" s="13"/>
      <c r="I202" s="13"/>
      <c r="J202" s="13"/>
      <c r="K202" s="13"/>
      <c r="L202" s="13"/>
      <c r="M202" s="13"/>
      <c r="N202" s="13"/>
    </row>
    <row r="203" ht="15.75" customHeight="1">
      <c r="A203" s="13"/>
      <c r="B203" s="13"/>
      <c r="C203" s="13"/>
      <c r="D203" s="13"/>
      <c r="E203" s="13"/>
      <c r="F203" s="13"/>
      <c r="G203" s="13"/>
      <c r="H203" s="13"/>
      <c r="I203" s="13"/>
      <c r="J203" s="13"/>
      <c r="K203" s="13"/>
      <c r="L203" s="13"/>
      <c r="M203" s="13"/>
      <c r="N203" s="13"/>
    </row>
    <row r="204" ht="15.75" customHeight="1">
      <c r="A204" s="13"/>
      <c r="B204" s="13"/>
      <c r="C204" s="13"/>
      <c r="D204" s="13"/>
      <c r="E204" s="13"/>
      <c r="F204" s="13"/>
      <c r="G204" s="13"/>
      <c r="H204" s="13"/>
      <c r="I204" s="13"/>
      <c r="J204" s="13"/>
      <c r="K204" s="13"/>
      <c r="L204" s="13"/>
      <c r="M204" s="13"/>
      <c r="N204" s="13"/>
    </row>
    <row r="205" ht="15.75" customHeight="1">
      <c r="A205" s="13"/>
      <c r="B205" s="13"/>
      <c r="C205" s="13"/>
      <c r="D205" s="13"/>
      <c r="E205" s="13"/>
      <c r="F205" s="13"/>
      <c r="G205" s="13"/>
      <c r="H205" s="13"/>
      <c r="I205" s="13"/>
      <c r="J205" s="13"/>
      <c r="K205" s="13"/>
      <c r="L205" s="13"/>
      <c r="M205" s="13"/>
      <c r="N205" s="13"/>
    </row>
    <row r="206" ht="15.75" customHeight="1">
      <c r="A206" s="13"/>
      <c r="B206" s="13"/>
      <c r="C206" s="13"/>
      <c r="D206" s="13"/>
      <c r="E206" s="13"/>
      <c r="F206" s="13"/>
      <c r="G206" s="13"/>
      <c r="H206" s="13"/>
      <c r="I206" s="13"/>
      <c r="J206" s="13"/>
      <c r="K206" s="13"/>
      <c r="L206" s="13"/>
      <c r="M206" s="13"/>
      <c r="N206" s="13"/>
    </row>
    <row r="207" ht="15.75" customHeight="1">
      <c r="A207" s="13"/>
      <c r="B207" s="13"/>
      <c r="C207" s="13"/>
      <c r="D207" s="13"/>
      <c r="E207" s="13"/>
      <c r="F207" s="13"/>
      <c r="G207" s="13"/>
      <c r="H207" s="13"/>
      <c r="I207" s="13"/>
      <c r="J207" s="13"/>
      <c r="K207" s="13"/>
      <c r="L207" s="13"/>
      <c r="M207" s="13"/>
      <c r="N207" s="13"/>
    </row>
    <row r="208" ht="15.75" customHeight="1">
      <c r="A208" s="13"/>
      <c r="B208" s="13"/>
      <c r="C208" s="13"/>
      <c r="D208" s="13"/>
      <c r="E208" s="13"/>
      <c r="F208" s="13"/>
      <c r="G208" s="13"/>
      <c r="H208" s="13"/>
      <c r="I208" s="13"/>
      <c r="J208" s="13"/>
      <c r="K208" s="13"/>
      <c r="L208" s="13"/>
      <c r="M208" s="13"/>
      <c r="N208" s="13"/>
    </row>
    <row r="209" ht="15.75" customHeight="1">
      <c r="A209" s="13"/>
      <c r="B209" s="13"/>
      <c r="C209" s="13"/>
      <c r="D209" s="13"/>
      <c r="E209" s="13"/>
      <c r="F209" s="13"/>
      <c r="G209" s="13"/>
      <c r="H209" s="13"/>
      <c r="I209" s="13"/>
      <c r="J209" s="13"/>
      <c r="K209" s="13"/>
      <c r="L209" s="13"/>
      <c r="M209" s="13"/>
      <c r="N209" s="13"/>
    </row>
    <row r="210" ht="15.75" customHeight="1">
      <c r="A210" s="13"/>
      <c r="B210" s="13"/>
      <c r="C210" s="13"/>
      <c r="D210" s="13"/>
      <c r="E210" s="13"/>
      <c r="F210" s="13"/>
      <c r="G210" s="13"/>
      <c r="H210" s="13"/>
      <c r="I210" s="13"/>
      <c r="J210" s="13"/>
      <c r="K210" s="13"/>
      <c r="L210" s="13"/>
      <c r="M210" s="13"/>
      <c r="N210" s="13"/>
    </row>
    <row r="211" ht="15.75" customHeight="1">
      <c r="A211" s="13"/>
      <c r="B211" s="13"/>
      <c r="C211" s="13"/>
      <c r="D211" s="13"/>
      <c r="E211" s="13"/>
      <c r="F211" s="13"/>
      <c r="G211" s="13"/>
      <c r="H211" s="13"/>
      <c r="I211" s="13"/>
      <c r="J211" s="13"/>
      <c r="K211" s="13"/>
      <c r="L211" s="13"/>
      <c r="M211" s="13"/>
      <c r="N211" s="13"/>
    </row>
    <row r="212" ht="15.75" customHeight="1">
      <c r="A212" s="13"/>
      <c r="B212" s="13"/>
      <c r="C212" s="13"/>
      <c r="D212" s="13"/>
      <c r="E212" s="13"/>
      <c r="F212" s="13"/>
      <c r="G212" s="13"/>
      <c r="H212" s="13"/>
      <c r="I212" s="13"/>
      <c r="J212" s="13"/>
      <c r="K212" s="13"/>
      <c r="L212" s="13"/>
      <c r="M212" s="13"/>
      <c r="N212" s="13"/>
    </row>
    <row r="213" ht="15.75" customHeight="1">
      <c r="A213" s="13"/>
      <c r="B213" s="13"/>
      <c r="C213" s="13"/>
      <c r="D213" s="13"/>
      <c r="E213" s="13"/>
      <c r="F213" s="13"/>
      <c r="G213" s="13"/>
      <c r="H213" s="13"/>
      <c r="I213" s="13"/>
      <c r="J213" s="13"/>
      <c r="K213" s="13"/>
      <c r="L213" s="13"/>
      <c r="M213" s="13"/>
      <c r="N213" s="13"/>
    </row>
    <row r="214" ht="15.75" customHeight="1">
      <c r="A214" s="13"/>
      <c r="B214" s="13"/>
      <c r="C214" s="13"/>
      <c r="D214" s="13"/>
      <c r="E214" s="13"/>
      <c r="F214" s="13"/>
      <c r="G214" s="13"/>
      <c r="H214" s="13"/>
      <c r="I214" s="13"/>
      <c r="J214" s="13"/>
      <c r="K214" s="13"/>
      <c r="L214" s="13"/>
      <c r="M214" s="13"/>
      <c r="N214" s="13"/>
    </row>
    <row r="215" ht="15.75" customHeight="1">
      <c r="A215" s="13"/>
      <c r="B215" s="13"/>
      <c r="C215" s="13"/>
      <c r="D215" s="13"/>
      <c r="E215" s="13"/>
      <c r="F215" s="13"/>
      <c r="G215" s="13"/>
      <c r="H215" s="13"/>
      <c r="I215" s="13"/>
      <c r="J215" s="13"/>
      <c r="K215" s="13"/>
      <c r="L215" s="13"/>
      <c r="M215" s="13"/>
      <c r="N215" s="13"/>
    </row>
    <row r="216" ht="15.75" customHeight="1">
      <c r="A216" s="13"/>
      <c r="B216" s="13"/>
      <c r="C216" s="13"/>
      <c r="D216" s="13"/>
      <c r="E216" s="13"/>
      <c r="F216" s="13"/>
      <c r="G216" s="13"/>
      <c r="H216" s="13"/>
      <c r="I216" s="13"/>
      <c r="J216" s="13"/>
      <c r="K216" s="13"/>
      <c r="L216" s="13"/>
      <c r="M216" s="13"/>
      <c r="N216" s="13"/>
    </row>
    <row r="217" ht="15.75" customHeight="1">
      <c r="A217" s="13"/>
      <c r="B217" s="13"/>
      <c r="C217" s="13"/>
      <c r="D217" s="13"/>
      <c r="E217" s="13"/>
      <c r="F217" s="13"/>
      <c r="G217" s="13"/>
      <c r="H217" s="13"/>
      <c r="I217" s="13"/>
      <c r="J217" s="13"/>
      <c r="K217" s="13"/>
      <c r="L217" s="13"/>
      <c r="M217" s="13"/>
      <c r="N217" s="13"/>
    </row>
    <row r="218" ht="15.75" customHeight="1">
      <c r="A218" s="13"/>
      <c r="B218" s="13"/>
      <c r="C218" s="13"/>
      <c r="D218" s="13"/>
      <c r="E218" s="13"/>
      <c r="F218" s="13"/>
      <c r="G218" s="13"/>
      <c r="H218" s="13"/>
      <c r="I218" s="13"/>
      <c r="J218" s="13"/>
      <c r="K218" s="13"/>
      <c r="L218" s="13"/>
      <c r="M218" s="13"/>
      <c r="N218" s="13"/>
    </row>
    <row r="219" ht="15.75" customHeight="1">
      <c r="A219" s="13"/>
      <c r="B219" s="13"/>
      <c r="C219" s="13"/>
      <c r="D219" s="13"/>
      <c r="E219" s="13"/>
      <c r="F219" s="13"/>
      <c r="G219" s="13"/>
      <c r="H219" s="13"/>
      <c r="I219" s="13"/>
      <c r="J219" s="13"/>
      <c r="K219" s="13"/>
      <c r="L219" s="13"/>
      <c r="M219" s="13"/>
      <c r="N219" s="13"/>
    </row>
    <row r="220" ht="15.75" customHeight="1">
      <c r="A220" s="13"/>
      <c r="B220" s="13"/>
      <c r="C220" s="13"/>
      <c r="D220" s="13"/>
      <c r="E220" s="13"/>
      <c r="F220" s="13"/>
      <c r="G220" s="13"/>
      <c r="H220" s="13"/>
      <c r="I220" s="13"/>
      <c r="J220" s="13"/>
      <c r="K220" s="13"/>
      <c r="L220" s="13"/>
      <c r="M220" s="13"/>
      <c r="N220" s="13"/>
    </row>
    <row r="221" ht="15.75" customHeight="1">
      <c r="A221" s="13"/>
      <c r="B221" s="13"/>
      <c r="C221" s="13"/>
      <c r="D221" s="13"/>
      <c r="E221" s="13"/>
      <c r="F221" s="13"/>
      <c r="G221" s="13"/>
      <c r="H221" s="13"/>
      <c r="I221" s="13"/>
      <c r="J221" s="13"/>
      <c r="K221" s="13"/>
      <c r="L221" s="13"/>
      <c r="M221" s="13"/>
      <c r="N221" s="13"/>
    </row>
    <row r="222" ht="15.75" customHeight="1">
      <c r="A222" s="13"/>
      <c r="B222" s="13"/>
      <c r="C222" s="13"/>
      <c r="D222" s="13"/>
      <c r="E222" s="13"/>
      <c r="F222" s="13"/>
      <c r="G222" s="13"/>
      <c r="H222" s="13"/>
      <c r="I222" s="13"/>
      <c r="J222" s="13"/>
      <c r="K222" s="13"/>
      <c r="L222" s="13"/>
      <c r="M222" s="13"/>
      <c r="N222" s="13"/>
    </row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B1:D2"/>
    <mergeCell ref="E1:F2"/>
  </mergeCells>
  <dataValidations>
    <dataValidation type="list" allowBlank="1" showErrorMessage="1" sqref="G4:N123">
      <formula1>"선택,완료"</formula1>
    </dataValidation>
  </dataValidations>
  <hyperlinks>
    <hyperlink r:id="rId1" ref="D5"/>
    <hyperlink r:id="rId2" ref="D24"/>
    <hyperlink r:id="rId3" ref="D30"/>
    <hyperlink r:id="rId4" ref="D36"/>
    <hyperlink r:id="rId5" ref="D51"/>
    <hyperlink r:id="rId6" ref="D70"/>
    <hyperlink r:id="rId7" ref="D86"/>
    <hyperlink r:id="rId8" ref="D93"/>
    <hyperlink r:id="rId9" ref="D96"/>
    <hyperlink r:id="rId10" ref="D97"/>
  </hyperlinks>
  <drawing r:id="rId11"/>
  <tableParts count="1">
    <tablePart r:id="rId13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8.0" topLeftCell="A9" activePane="bottomLeft" state="frozen"/>
      <selection activeCell="B10" sqref="B10" pane="bottomLeft"/>
    </sheetView>
  </sheetViews>
  <sheetFormatPr customHeight="1" defaultColWidth="12.63" defaultRowHeight="15.0"/>
  <cols>
    <col customWidth="1" min="1" max="1" width="3.25"/>
    <col customWidth="1" min="2" max="2" width="8.13"/>
    <col customWidth="1" min="3" max="3" width="18.63"/>
    <col customWidth="1" min="4" max="4" width="21.13"/>
    <col customWidth="1" min="5" max="5" width="15.38"/>
    <col customWidth="1" min="6" max="6" width="10.13"/>
  </cols>
  <sheetData>
    <row r="1" ht="15.75" customHeight="1">
      <c r="A1" s="1"/>
      <c r="B1" s="59"/>
      <c r="C1" s="60" t="s">
        <v>0</v>
      </c>
      <c r="E1" s="3" t="s">
        <v>1</v>
      </c>
      <c r="G1" s="5" t="s">
        <v>496</v>
      </c>
      <c r="H1" s="5" t="s">
        <v>497</v>
      </c>
      <c r="I1" s="5" t="s">
        <v>498</v>
      </c>
      <c r="J1" s="5" t="s">
        <v>499</v>
      </c>
      <c r="K1" s="5" t="s">
        <v>500</v>
      </c>
      <c r="L1" s="5" t="s">
        <v>501</v>
      </c>
      <c r="M1" s="5" t="s">
        <v>502</v>
      </c>
      <c r="N1" s="5" t="s">
        <v>503</v>
      </c>
      <c r="O1" s="5" t="s">
        <v>504</v>
      </c>
    </row>
    <row r="2" ht="15.75" customHeight="1">
      <c r="A2" s="1"/>
      <c r="G2" s="7" t="s">
        <v>505</v>
      </c>
      <c r="H2" s="7" t="s">
        <v>506</v>
      </c>
      <c r="I2" s="7" t="s">
        <v>507</v>
      </c>
      <c r="J2" s="7" t="s">
        <v>508</v>
      </c>
      <c r="K2" s="7" t="s">
        <v>509</v>
      </c>
      <c r="L2" s="7" t="s">
        <v>510</v>
      </c>
      <c r="M2" s="7" t="s">
        <v>511</v>
      </c>
      <c r="N2" s="7" t="s">
        <v>512</v>
      </c>
      <c r="O2" s="7" t="s">
        <v>513</v>
      </c>
    </row>
    <row r="3" ht="21.75" customHeight="1">
      <c r="A3" s="1"/>
      <c r="B3" s="1"/>
      <c r="C3" s="190" t="s">
        <v>514</v>
      </c>
      <c r="E3" s="8"/>
      <c r="F3" s="8"/>
      <c r="G3" s="191" t="str">
        <f t="shared" ref="G3:O3" si="1">COUNTIF(G5:G200, "완료") &amp; "명 완료"
</f>
        <v>79명 완료</v>
      </c>
      <c r="H3" s="191" t="str">
        <f t="shared" si="1"/>
        <v>78명 완료</v>
      </c>
      <c r="I3" s="191" t="str">
        <f t="shared" si="1"/>
        <v>73명 완료</v>
      </c>
      <c r="J3" s="191" t="str">
        <f t="shared" si="1"/>
        <v>73명 완료</v>
      </c>
      <c r="K3" s="191" t="str">
        <f t="shared" si="1"/>
        <v>72명 완료</v>
      </c>
      <c r="L3" s="191" t="str">
        <f t="shared" si="1"/>
        <v>69명 완료</v>
      </c>
      <c r="M3" s="191" t="str">
        <f t="shared" si="1"/>
        <v>67명 완료</v>
      </c>
      <c r="N3" s="191" t="str">
        <f t="shared" si="1"/>
        <v>67명 완료</v>
      </c>
      <c r="O3" s="191" t="str">
        <f t="shared" si="1"/>
        <v>64명 완료</v>
      </c>
    </row>
    <row r="4" ht="15.75" customHeight="1">
      <c r="A4" s="192"/>
      <c r="B4" s="63" t="s">
        <v>20</v>
      </c>
      <c r="C4" s="64" t="s">
        <v>21</v>
      </c>
      <c r="D4" s="64" t="s">
        <v>22</v>
      </c>
      <c r="E4" s="65" t="s">
        <v>23</v>
      </c>
      <c r="F4" s="65" t="s">
        <v>24</v>
      </c>
      <c r="G4" s="66" t="s">
        <v>25</v>
      </c>
      <c r="H4" s="66" t="s">
        <v>25</v>
      </c>
      <c r="I4" s="66" t="s">
        <v>25</v>
      </c>
      <c r="J4" s="66" t="s">
        <v>25</v>
      </c>
      <c r="K4" s="66" t="s">
        <v>25</v>
      </c>
      <c r="L4" s="66" t="s">
        <v>25</v>
      </c>
      <c r="M4" s="66" t="s">
        <v>25</v>
      </c>
      <c r="N4" s="66" t="s">
        <v>25</v>
      </c>
      <c r="O4" s="66" t="s">
        <v>25</v>
      </c>
    </row>
    <row r="5" ht="15.75" customHeight="1">
      <c r="A5" s="20"/>
      <c r="B5" s="21">
        <v>1.0</v>
      </c>
      <c r="C5" s="22" t="s">
        <v>26</v>
      </c>
      <c r="D5" s="149" t="s">
        <v>27</v>
      </c>
      <c r="E5" s="70" t="str">
        <f t="shared" ref="E5:E124" si="2">IF(COUNTIF(G5:O5, "완료")=0, "", COUNTIF($G$4:$O$4, "완료") &amp; "번 중 " &amp; COUNTIF(G5:O5, "완료") &amp; "번 참여")
</f>
        <v>9번 중 9번 참여</v>
      </c>
      <c r="F5" s="71">
        <f t="shared" ref="F5:F124" si="3">IF(COUNTIF($G$4:$CP$4, "완료")=0, "", IF(COUNTIF(G5:O5, "완료")=0, "", COUNTIF(G5:O5, "완료") / COUNTIF($G$4:$O$4, "완료")))
</f>
        <v>1</v>
      </c>
      <c r="G5" s="26" t="s">
        <v>25</v>
      </c>
      <c r="H5" s="26" t="s">
        <v>25</v>
      </c>
      <c r="I5" s="26" t="s">
        <v>25</v>
      </c>
      <c r="J5" s="26" t="s">
        <v>25</v>
      </c>
      <c r="K5" s="26" t="s">
        <v>25</v>
      </c>
      <c r="L5" s="26" t="s">
        <v>25</v>
      </c>
      <c r="M5" s="26" t="s">
        <v>25</v>
      </c>
      <c r="N5" s="26" t="s">
        <v>25</v>
      </c>
      <c r="O5" s="26" t="s">
        <v>25</v>
      </c>
    </row>
    <row r="6" ht="15.75" customHeight="1">
      <c r="A6" s="28"/>
      <c r="B6" s="29">
        <v>2.0</v>
      </c>
      <c r="C6" s="22" t="s">
        <v>28</v>
      </c>
      <c r="D6" s="22" t="s">
        <v>29</v>
      </c>
      <c r="E6" s="70" t="str">
        <f t="shared" si="2"/>
        <v>9번 중 9번 참여</v>
      </c>
      <c r="F6" s="71">
        <f t="shared" si="3"/>
        <v>1</v>
      </c>
      <c r="G6" s="26" t="s">
        <v>25</v>
      </c>
      <c r="H6" s="26" t="s">
        <v>25</v>
      </c>
      <c r="I6" s="26" t="s">
        <v>25</v>
      </c>
      <c r="J6" s="26" t="s">
        <v>25</v>
      </c>
      <c r="K6" s="26" t="s">
        <v>25</v>
      </c>
      <c r="L6" s="26" t="s">
        <v>25</v>
      </c>
      <c r="M6" s="26" t="s">
        <v>25</v>
      </c>
      <c r="N6" s="26" t="s">
        <v>25</v>
      </c>
      <c r="O6" s="26" t="s">
        <v>25</v>
      </c>
    </row>
    <row r="7" ht="15.75" customHeight="1">
      <c r="A7" s="20"/>
      <c r="B7" s="21">
        <v>3.0</v>
      </c>
      <c r="C7" s="30" t="s">
        <v>30</v>
      </c>
      <c r="D7" s="30" t="s">
        <v>31</v>
      </c>
      <c r="E7" s="70" t="str">
        <f t="shared" si="2"/>
        <v>9번 중 9번 참여</v>
      </c>
      <c r="F7" s="71">
        <f t="shared" si="3"/>
        <v>1</v>
      </c>
      <c r="G7" s="26" t="s">
        <v>25</v>
      </c>
      <c r="H7" s="26" t="s">
        <v>25</v>
      </c>
      <c r="I7" s="26" t="s">
        <v>25</v>
      </c>
      <c r="J7" s="26" t="s">
        <v>25</v>
      </c>
      <c r="K7" s="26" t="s">
        <v>25</v>
      </c>
      <c r="L7" s="26" t="s">
        <v>25</v>
      </c>
      <c r="M7" s="26" t="s">
        <v>25</v>
      </c>
      <c r="N7" s="26" t="s">
        <v>25</v>
      </c>
      <c r="O7" s="26" t="s">
        <v>25</v>
      </c>
    </row>
    <row r="8" ht="15.75" customHeight="1">
      <c r="A8" s="28"/>
      <c r="B8" s="29">
        <v>4.0</v>
      </c>
      <c r="C8" s="22" t="s">
        <v>32</v>
      </c>
      <c r="D8" s="22" t="s">
        <v>33</v>
      </c>
      <c r="E8" s="70" t="str">
        <f t="shared" si="2"/>
        <v>9번 중 9번 참여</v>
      </c>
      <c r="F8" s="71">
        <f t="shared" si="3"/>
        <v>1</v>
      </c>
      <c r="G8" s="26" t="s">
        <v>25</v>
      </c>
      <c r="H8" s="26" t="s">
        <v>25</v>
      </c>
      <c r="I8" s="26" t="s">
        <v>25</v>
      </c>
      <c r="J8" s="26" t="s">
        <v>25</v>
      </c>
      <c r="K8" s="26" t="s">
        <v>25</v>
      </c>
      <c r="L8" s="26" t="s">
        <v>25</v>
      </c>
      <c r="M8" s="26" t="s">
        <v>25</v>
      </c>
      <c r="N8" s="26" t="s">
        <v>25</v>
      </c>
      <c r="O8" s="26" t="s">
        <v>25</v>
      </c>
    </row>
    <row r="9" ht="15.75" customHeight="1">
      <c r="A9" s="20"/>
      <c r="B9" s="21">
        <v>5.0</v>
      </c>
      <c r="C9" s="30" t="s">
        <v>34</v>
      </c>
      <c r="D9" s="30" t="s">
        <v>35</v>
      </c>
      <c r="E9" s="70" t="str">
        <f t="shared" si="2"/>
        <v>9번 중 9번 참여</v>
      </c>
      <c r="F9" s="71">
        <f t="shared" si="3"/>
        <v>1</v>
      </c>
      <c r="G9" s="26" t="s">
        <v>25</v>
      </c>
      <c r="H9" s="26" t="s">
        <v>25</v>
      </c>
      <c r="I9" s="26" t="s">
        <v>25</v>
      </c>
      <c r="J9" s="26" t="s">
        <v>25</v>
      </c>
      <c r="K9" s="26" t="s">
        <v>25</v>
      </c>
      <c r="L9" s="26" t="s">
        <v>25</v>
      </c>
      <c r="M9" s="26" t="s">
        <v>25</v>
      </c>
      <c r="N9" s="26" t="s">
        <v>25</v>
      </c>
      <c r="O9" s="26" t="s">
        <v>25</v>
      </c>
    </row>
    <row r="10" ht="15.75" customHeight="1">
      <c r="A10" s="28"/>
      <c r="B10" s="29">
        <v>6.0</v>
      </c>
      <c r="C10" s="22" t="s">
        <v>36</v>
      </c>
      <c r="D10" s="22" t="s">
        <v>72</v>
      </c>
      <c r="E10" s="70" t="str">
        <f t="shared" si="2"/>
        <v>9번 중 9번 참여</v>
      </c>
      <c r="F10" s="71">
        <f t="shared" si="3"/>
        <v>1</v>
      </c>
      <c r="G10" s="26" t="s">
        <v>25</v>
      </c>
      <c r="H10" s="26" t="s">
        <v>25</v>
      </c>
      <c r="I10" s="26" t="s">
        <v>25</v>
      </c>
      <c r="J10" s="26" t="s">
        <v>25</v>
      </c>
      <c r="K10" s="26" t="s">
        <v>25</v>
      </c>
      <c r="L10" s="26" t="s">
        <v>25</v>
      </c>
      <c r="M10" s="26" t="s">
        <v>25</v>
      </c>
      <c r="N10" s="26" t="s">
        <v>25</v>
      </c>
      <c r="O10" s="26" t="s">
        <v>25</v>
      </c>
    </row>
    <row r="11" ht="15.75" customHeight="1">
      <c r="A11" s="20"/>
      <c r="B11" s="21">
        <v>7.0</v>
      </c>
      <c r="C11" s="30" t="s">
        <v>38</v>
      </c>
      <c r="D11" s="30" t="s">
        <v>39</v>
      </c>
      <c r="E11" s="70" t="str">
        <f t="shared" si="2"/>
        <v>9번 중 9번 참여</v>
      </c>
      <c r="F11" s="71">
        <f t="shared" si="3"/>
        <v>1</v>
      </c>
      <c r="G11" s="26" t="s">
        <v>25</v>
      </c>
      <c r="H11" s="26" t="s">
        <v>25</v>
      </c>
      <c r="I11" s="26" t="s">
        <v>25</v>
      </c>
      <c r="J11" s="26" t="s">
        <v>25</v>
      </c>
      <c r="K11" s="26" t="s">
        <v>25</v>
      </c>
      <c r="L11" s="26" t="s">
        <v>25</v>
      </c>
      <c r="M11" s="26" t="s">
        <v>25</v>
      </c>
      <c r="N11" s="26" t="s">
        <v>25</v>
      </c>
      <c r="O11" s="26" t="s">
        <v>25</v>
      </c>
    </row>
    <row r="12" ht="15.75" customHeight="1">
      <c r="A12" s="28"/>
      <c r="B12" s="29">
        <v>8.0</v>
      </c>
      <c r="C12" s="22" t="s">
        <v>40</v>
      </c>
      <c r="D12" s="22" t="s">
        <v>41</v>
      </c>
      <c r="E12" s="70" t="str">
        <f t="shared" si="2"/>
        <v>9번 중 9번 참여</v>
      </c>
      <c r="F12" s="71">
        <f t="shared" si="3"/>
        <v>1</v>
      </c>
      <c r="G12" s="26" t="s">
        <v>25</v>
      </c>
      <c r="H12" s="26" t="s">
        <v>25</v>
      </c>
      <c r="I12" s="26" t="s">
        <v>25</v>
      </c>
      <c r="J12" s="26" t="s">
        <v>25</v>
      </c>
      <c r="K12" s="26" t="s">
        <v>25</v>
      </c>
      <c r="L12" s="26" t="s">
        <v>25</v>
      </c>
      <c r="M12" s="26" t="s">
        <v>25</v>
      </c>
      <c r="N12" s="26" t="s">
        <v>25</v>
      </c>
      <c r="O12" s="26" t="s">
        <v>25</v>
      </c>
    </row>
    <row r="13" ht="15.75" customHeight="1">
      <c r="A13" s="20"/>
      <c r="B13" s="21">
        <v>9.0</v>
      </c>
      <c r="C13" s="30" t="s">
        <v>42</v>
      </c>
      <c r="D13" s="30" t="s">
        <v>43</v>
      </c>
      <c r="E13" s="70" t="str">
        <f t="shared" si="2"/>
        <v>9번 중 6번 참여</v>
      </c>
      <c r="F13" s="71">
        <f t="shared" si="3"/>
        <v>0.6666666667</v>
      </c>
      <c r="G13" s="26" t="s">
        <v>25</v>
      </c>
      <c r="H13" s="26" t="s">
        <v>25</v>
      </c>
      <c r="I13" s="26" t="s">
        <v>25</v>
      </c>
      <c r="J13" s="26" t="s">
        <v>25</v>
      </c>
      <c r="K13" s="26" t="s">
        <v>25</v>
      </c>
      <c r="L13" s="26"/>
      <c r="M13" s="26" t="s">
        <v>25</v>
      </c>
      <c r="N13" s="26"/>
      <c r="O13" s="26"/>
    </row>
    <row r="14" ht="15.75" customHeight="1">
      <c r="A14" s="28"/>
      <c r="B14" s="29">
        <v>10.0</v>
      </c>
      <c r="C14" s="22" t="s">
        <v>420</v>
      </c>
      <c r="D14" s="22" t="s">
        <v>329</v>
      </c>
      <c r="E14" s="70" t="str">
        <f t="shared" si="2"/>
        <v>9번 중 9번 참여</v>
      </c>
      <c r="F14" s="71">
        <f t="shared" si="3"/>
        <v>1</v>
      </c>
      <c r="G14" s="26" t="s">
        <v>25</v>
      </c>
      <c r="H14" s="26" t="s">
        <v>25</v>
      </c>
      <c r="I14" s="26" t="s">
        <v>25</v>
      </c>
      <c r="J14" s="26" t="s">
        <v>25</v>
      </c>
      <c r="K14" s="26" t="s">
        <v>25</v>
      </c>
      <c r="L14" s="26" t="s">
        <v>25</v>
      </c>
      <c r="M14" s="26" t="s">
        <v>25</v>
      </c>
      <c r="N14" s="26" t="s">
        <v>25</v>
      </c>
      <c r="O14" s="26" t="s">
        <v>25</v>
      </c>
    </row>
    <row r="15" ht="15.75" customHeight="1">
      <c r="A15" s="20"/>
      <c r="B15" s="21">
        <v>11.0</v>
      </c>
      <c r="C15" s="30" t="s">
        <v>421</v>
      </c>
      <c r="D15" s="30" t="s">
        <v>330</v>
      </c>
      <c r="E15" s="70" t="str">
        <f t="shared" si="2"/>
        <v>9번 중 9번 참여</v>
      </c>
      <c r="F15" s="71">
        <f t="shared" si="3"/>
        <v>1</v>
      </c>
      <c r="G15" s="26" t="s">
        <v>25</v>
      </c>
      <c r="H15" s="26" t="s">
        <v>25</v>
      </c>
      <c r="I15" s="26" t="s">
        <v>25</v>
      </c>
      <c r="J15" s="26" t="s">
        <v>25</v>
      </c>
      <c r="K15" s="26" t="s">
        <v>25</v>
      </c>
      <c r="L15" s="26" t="s">
        <v>25</v>
      </c>
      <c r="M15" s="26" t="s">
        <v>25</v>
      </c>
      <c r="N15" s="26" t="s">
        <v>25</v>
      </c>
      <c r="O15" s="26" t="s">
        <v>25</v>
      </c>
    </row>
    <row r="16" ht="15.75" customHeight="1">
      <c r="A16" s="28"/>
      <c r="B16" s="29">
        <v>12.0</v>
      </c>
      <c r="C16" s="22" t="s">
        <v>44</v>
      </c>
      <c r="D16" s="22" t="s">
        <v>45</v>
      </c>
      <c r="E16" s="70" t="str">
        <f t="shared" si="2"/>
        <v>9번 중 9번 참여</v>
      </c>
      <c r="F16" s="71">
        <f t="shared" si="3"/>
        <v>1</v>
      </c>
      <c r="G16" s="26" t="s">
        <v>25</v>
      </c>
      <c r="H16" s="26" t="s">
        <v>25</v>
      </c>
      <c r="I16" s="26" t="s">
        <v>25</v>
      </c>
      <c r="J16" s="26" t="s">
        <v>25</v>
      </c>
      <c r="K16" s="26" t="s">
        <v>25</v>
      </c>
      <c r="L16" s="26" t="s">
        <v>25</v>
      </c>
      <c r="M16" s="26" t="s">
        <v>25</v>
      </c>
      <c r="N16" s="26" t="s">
        <v>25</v>
      </c>
      <c r="O16" s="26" t="s">
        <v>25</v>
      </c>
    </row>
    <row r="17" ht="15.75" customHeight="1">
      <c r="A17" s="20"/>
      <c r="B17" s="21">
        <v>13.0</v>
      </c>
      <c r="C17" s="30" t="s">
        <v>46</v>
      </c>
      <c r="D17" s="30" t="s">
        <v>47</v>
      </c>
      <c r="E17" s="70" t="str">
        <f t="shared" si="2"/>
        <v>9번 중 9번 참여</v>
      </c>
      <c r="F17" s="71">
        <f t="shared" si="3"/>
        <v>1</v>
      </c>
      <c r="G17" s="26" t="s">
        <v>25</v>
      </c>
      <c r="H17" s="26" t="s">
        <v>25</v>
      </c>
      <c r="I17" s="26" t="s">
        <v>25</v>
      </c>
      <c r="J17" s="26" t="s">
        <v>25</v>
      </c>
      <c r="K17" s="26" t="s">
        <v>25</v>
      </c>
      <c r="L17" s="26" t="s">
        <v>25</v>
      </c>
      <c r="M17" s="26" t="s">
        <v>25</v>
      </c>
      <c r="N17" s="26" t="s">
        <v>25</v>
      </c>
      <c r="O17" s="26" t="s">
        <v>25</v>
      </c>
    </row>
    <row r="18" ht="15.75" customHeight="1">
      <c r="A18" s="28"/>
      <c r="B18" s="29">
        <v>14.0</v>
      </c>
      <c r="C18" s="22" t="s">
        <v>48</v>
      </c>
      <c r="D18" s="22" t="s">
        <v>49</v>
      </c>
      <c r="E18" s="70" t="str">
        <f t="shared" si="2"/>
        <v>9번 중 8번 참여</v>
      </c>
      <c r="F18" s="71">
        <f t="shared" si="3"/>
        <v>0.8888888889</v>
      </c>
      <c r="G18" s="26" t="s">
        <v>25</v>
      </c>
      <c r="H18" s="26" t="s">
        <v>25</v>
      </c>
      <c r="I18" s="26" t="s">
        <v>25</v>
      </c>
      <c r="J18" s="26" t="s">
        <v>25</v>
      </c>
      <c r="K18" s="26" t="s">
        <v>25</v>
      </c>
      <c r="L18" s="26" t="s">
        <v>25</v>
      </c>
      <c r="M18" s="26" t="s">
        <v>25</v>
      </c>
      <c r="N18" s="26"/>
      <c r="O18" s="26" t="s">
        <v>25</v>
      </c>
    </row>
    <row r="19" ht="15.75" customHeight="1">
      <c r="A19" s="20"/>
      <c r="B19" s="21">
        <v>15.0</v>
      </c>
      <c r="C19" s="30" t="s">
        <v>50</v>
      </c>
      <c r="D19" s="30" t="s">
        <v>51</v>
      </c>
      <c r="E19" s="70" t="str">
        <f t="shared" si="2"/>
        <v>9번 중 9번 참여</v>
      </c>
      <c r="F19" s="71">
        <f t="shared" si="3"/>
        <v>1</v>
      </c>
      <c r="G19" s="26" t="s">
        <v>25</v>
      </c>
      <c r="H19" s="26" t="s">
        <v>25</v>
      </c>
      <c r="I19" s="26" t="s">
        <v>25</v>
      </c>
      <c r="J19" s="26" t="s">
        <v>25</v>
      </c>
      <c r="K19" s="26" t="s">
        <v>25</v>
      </c>
      <c r="L19" s="26" t="s">
        <v>25</v>
      </c>
      <c r="M19" s="26" t="s">
        <v>25</v>
      </c>
      <c r="N19" s="26" t="s">
        <v>25</v>
      </c>
      <c r="O19" s="26" t="s">
        <v>25</v>
      </c>
    </row>
    <row r="20" ht="15.75" customHeight="1">
      <c r="A20" s="28"/>
      <c r="B20" s="29">
        <v>16.0</v>
      </c>
      <c r="C20" s="22" t="s">
        <v>52</v>
      </c>
      <c r="D20" s="22" t="s">
        <v>53</v>
      </c>
      <c r="E20" s="70" t="str">
        <f t="shared" si="2"/>
        <v>9번 중 7번 참여</v>
      </c>
      <c r="F20" s="71">
        <f t="shared" si="3"/>
        <v>0.7777777778</v>
      </c>
      <c r="G20" s="26" t="s">
        <v>25</v>
      </c>
      <c r="H20" s="26" t="s">
        <v>25</v>
      </c>
      <c r="I20" s="26" t="s">
        <v>25</v>
      </c>
      <c r="J20" s="26" t="s">
        <v>25</v>
      </c>
      <c r="K20" s="26" t="s">
        <v>25</v>
      </c>
      <c r="L20" s="26" t="s">
        <v>25</v>
      </c>
      <c r="M20" s="26" t="s">
        <v>25</v>
      </c>
      <c r="N20" s="26"/>
      <c r="O20" s="26"/>
    </row>
    <row r="21" ht="15.75" customHeight="1">
      <c r="A21" s="20"/>
      <c r="B21" s="21">
        <v>17.0</v>
      </c>
      <c r="C21" s="30" t="s">
        <v>331</v>
      </c>
      <c r="D21" s="30" t="s">
        <v>332</v>
      </c>
      <c r="E21" s="70" t="str">
        <f t="shared" si="2"/>
        <v>9번 중 9번 참여</v>
      </c>
      <c r="F21" s="71">
        <f t="shared" si="3"/>
        <v>1</v>
      </c>
      <c r="G21" s="26" t="s">
        <v>25</v>
      </c>
      <c r="H21" s="26" t="s">
        <v>25</v>
      </c>
      <c r="I21" s="26" t="s">
        <v>25</v>
      </c>
      <c r="J21" s="26" t="s">
        <v>25</v>
      </c>
      <c r="K21" s="26" t="s">
        <v>25</v>
      </c>
      <c r="L21" s="26" t="s">
        <v>25</v>
      </c>
      <c r="M21" s="26" t="s">
        <v>25</v>
      </c>
      <c r="N21" s="26" t="s">
        <v>25</v>
      </c>
      <c r="O21" s="26" t="s">
        <v>25</v>
      </c>
    </row>
    <row r="22" ht="15.75" customHeight="1">
      <c r="A22" s="28"/>
      <c r="B22" s="29">
        <v>18.0</v>
      </c>
      <c r="C22" s="22" t="s">
        <v>56</v>
      </c>
      <c r="D22" s="22" t="s">
        <v>57</v>
      </c>
      <c r="E22" s="70" t="str">
        <f t="shared" si="2"/>
        <v>9번 중 9번 참여</v>
      </c>
      <c r="F22" s="71">
        <f t="shared" si="3"/>
        <v>1</v>
      </c>
      <c r="G22" s="26" t="s">
        <v>25</v>
      </c>
      <c r="H22" s="26" t="s">
        <v>25</v>
      </c>
      <c r="I22" s="26" t="s">
        <v>25</v>
      </c>
      <c r="J22" s="26" t="s">
        <v>25</v>
      </c>
      <c r="K22" s="26" t="s">
        <v>25</v>
      </c>
      <c r="L22" s="26" t="s">
        <v>25</v>
      </c>
      <c r="M22" s="26" t="s">
        <v>25</v>
      </c>
      <c r="N22" s="26" t="s">
        <v>25</v>
      </c>
      <c r="O22" s="26" t="s">
        <v>25</v>
      </c>
    </row>
    <row r="23" ht="15.75" customHeight="1">
      <c r="A23" s="20"/>
      <c r="B23" s="21">
        <v>19.0</v>
      </c>
      <c r="C23" s="30" t="s">
        <v>58</v>
      </c>
      <c r="D23" s="30" t="s">
        <v>59</v>
      </c>
      <c r="E23" s="70" t="str">
        <f t="shared" si="2"/>
        <v>9번 중 7번 참여</v>
      </c>
      <c r="F23" s="71">
        <f t="shared" si="3"/>
        <v>0.7777777778</v>
      </c>
      <c r="G23" s="26" t="s">
        <v>25</v>
      </c>
      <c r="H23" s="26" t="s">
        <v>25</v>
      </c>
      <c r="I23" s="26" t="s">
        <v>25</v>
      </c>
      <c r="J23" s="26" t="s">
        <v>25</v>
      </c>
      <c r="K23" s="26" t="s">
        <v>25</v>
      </c>
      <c r="L23" s="26" t="s">
        <v>25</v>
      </c>
      <c r="M23" s="26" t="s">
        <v>25</v>
      </c>
      <c r="N23" s="26"/>
      <c r="O23" s="26"/>
    </row>
    <row r="24" ht="15.75" customHeight="1">
      <c r="A24" s="28"/>
      <c r="B24" s="29">
        <v>20.0</v>
      </c>
      <c r="C24" s="22" t="s">
        <v>60</v>
      </c>
      <c r="D24" s="23" t="s">
        <v>61</v>
      </c>
      <c r="E24" s="70" t="str">
        <f t="shared" si="2"/>
        <v>9번 중 7번 참여</v>
      </c>
      <c r="F24" s="71">
        <f t="shared" si="3"/>
        <v>0.7777777778</v>
      </c>
      <c r="G24" s="26" t="s">
        <v>25</v>
      </c>
      <c r="H24" s="26" t="s">
        <v>25</v>
      </c>
      <c r="I24" s="26" t="s">
        <v>25</v>
      </c>
      <c r="J24" s="26" t="s">
        <v>25</v>
      </c>
      <c r="K24" s="26"/>
      <c r="L24" s="26"/>
      <c r="M24" s="26" t="s">
        <v>25</v>
      </c>
      <c r="N24" s="26" t="s">
        <v>25</v>
      </c>
      <c r="O24" s="26" t="s">
        <v>25</v>
      </c>
    </row>
    <row r="25" ht="15.75" customHeight="1">
      <c r="A25" s="20"/>
      <c r="B25" s="21">
        <v>21.0</v>
      </c>
      <c r="C25" s="42" t="s">
        <v>62</v>
      </c>
      <c r="D25" s="42" t="s">
        <v>63</v>
      </c>
      <c r="E25" s="70" t="str">
        <f t="shared" si="2"/>
        <v>9번 중 9번 참여</v>
      </c>
      <c r="F25" s="71">
        <f t="shared" si="3"/>
        <v>1</v>
      </c>
      <c r="G25" s="26" t="s">
        <v>25</v>
      </c>
      <c r="H25" s="26" t="s">
        <v>25</v>
      </c>
      <c r="I25" s="26" t="s">
        <v>25</v>
      </c>
      <c r="J25" s="26" t="s">
        <v>25</v>
      </c>
      <c r="K25" s="26" t="s">
        <v>25</v>
      </c>
      <c r="L25" s="26" t="s">
        <v>25</v>
      </c>
      <c r="M25" s="26" t="s">
        <v>25</v>
      </c>
      <c r="N25" s="26" t="s">
        <v>25</v>
      </c>
      <c r="O25" s="26" t="s">
        <v>25</v>
      </c>
    </row>
    <row r="26" ht="15.75" customHeight="1">
      <c r="A26" s="28"/>
      <c r="B26" s="29">
        <v>22.0</v>
      </c>
      <c r="C26" s="22" t="s">
        <v>64</v>
      </c>
      <c r="D26" s="22" t="s">
        <v>65</v>
      </c>
      <c r="E26" s="70" t="str">
        <f t="shared" si="2"/>
        <v>9번 중 9번 참여</v>
      </c>
      <c r="F26" s="71">
        <f t="shared" si="3"/>
        <v>1</v>
      </c>
      <c r="G26" s="26" t="s">
        <v>25</v>
      </c>
      <c r="H26" s="26" t="s">
        <v>25</v>
      </c>
      <c r="I26" s="26" t="s">
        <v>25</v>
      </c>
      <c r="J26" s="26" t="s">
        <v>25</v>
      </c>
      <c r="K26" s="26" t="s">
        <v>25</v>
      </c>
      <c r="L26" s="26" t="s">
        <v>25</v>
      </c>
      <c r="M26" s="26" t="s">
        <v>25</v>
      </c>
      <c r="N26" s="26" t="s">
        <v>25</v>
      </c>
      <c r="O26" s="26" t="s">
        <v>25</v>
      </c>
    </row>
    <row r="27" ht="15.75" customHeight="1">
      <c r="A27" s="20"/>
      <c r="B27" s="21">
        <v>23.0</v>
      </c>
      <c r="C27" s="30" t="s">
        <v>515</v>
      </c>
      <c r="D27" s="30" t="s">
        <v>516</v>
      </c>
      <c r="E27" s="70" t="str">
        <f t="shared" si="2"/>
        <v/>
      </c>
      <c r="F27" s="71" t="str">
        <f t="shared" si="3"/>
        <v/>
      </c>
      <c r="G27" s="26"/>
      <c r="H27" s="26"/>
      <c r="I27" s="26"/>
      <c r="J27" s="26"/>
      <c r="K27" s="26"/>
      <c r="L27" s="26"/>
      <c r="M27" s="26"/>
      <c r="N27" s="26"/>
      <c r="O27" s="26"/>
    </row>
    <row r="28" ht="15.75" customHeight="1">
      <c r="A28" s="28"/>
      <c r="B28" s="29">
        <v>24.0</v>
      </c>
      <c r="C28" s="22"/>
      <c r="D28" s="22"/>
      <c r="E28" s="70" t="str">
        <f t="shared" si="2"/>
        <v/>
      </c>
      <c r="F28" s="71" t="str">
        <f t="shared" si="3"/>
        <v/>
      </c>
      <c r="G28" s="26"/>
      <c r="H28" s="26"/>
      <c r="I28" s="26"/>
      <c r="J28" s="26"/>
      <c r="K28" s="26"/>
      <c r="L28" s="26"/>
      <c r="M28" s="26"/>
      <c r="N28" s="26"/>
      <c r="O28" s="26"/>
    </row>
    <row r="29" ht="15.75" customHeight="1">
      <c r="A29" s="20"/>
      <c r="B29" s="21">
        <v>25.0</v>
      </c>
      <c r="C29" s="30" t="s">
        <v>74</v>
      </c>
      <c r="D29" s="30" t="s">
        <v>75</v>
      </c>
      <c r="E29" s="70" t="str">
        <f t="shared" si="2"/>
        <v>9번 중 8번 참여</v>
      </c>
      <c r="F29" s="71">
        <f t="shared" si="3"/>
        <v>0.8888888889</v>
      </c>
      <c r="G29" s="26" t="s">
        <v>25</v>
      </c>
      <c r="H29" s="26" t="s">
        <v>25</v>
      </c>
      <c r="I29" s="26" t="s">
        <v>25</v>
      </c>
      <c r="J29" s="26" t="s">
        <v>25</v>
      </c>
      <c r="K29" s="26" t="s">
        <v>25</v>
      </c>
      <c r="L29" s="26" t="s">
        <v>25</v>
      </c>
      <c r="M29" s="26"/>
      <c r="N29" s="26" t="s">
        <v>25</v>
      </c>
      <c r="O29" s="26" t="s">
        <v>25</v>
      </c>
    </row>
    <row r="30" ht="15.75" customHeight="1">
      <c r="A30" s="28"/>
      <c r="B30" s="29">
        <v>26.0</v>
      </c>
      <c r="C30" s="22" t="s">
        <v>76</v>
      </c>
      <c r="D30" s="23" t="s">
        <v>77</v>
      </c>
      <c r="E30" s="70" t="str">
        <f t="shared" si="2"/>
        <v>9번 중 9번 참여</v>
      </c>
      <c r="F30" s="71">
        <f t="shared" si="3"/>
        <v>1</v>
      </c>
      <c r="G30" s="26" t="s">
        <v>25</v>
      </c>
      <c r="H30" s="26" t="s">
        <v>25</v>
      </c>
      <c r="I30" s="26" t="s">
        <v>25</v>
      </c>
      <c r="J30" s="26" t="s">
        <v>25</v>
      </c>
      <c r="K30" s="26" t="s">
        <v>25</v>
      </c>
      <c r="L30" s="26" t="s">
        <v>25</v>
      </c>
      <c r="M30" s="26" t="s">
        <v>25</v>
      </c>
      <c r="N30" s="26" t="s">
        <v>25</v>
      </c>
      <c r="O30" s="26" t="s">
        <v>25</v>
      </c>
    </row>
    <row r="31" ht="15.75" customHeight="1">
      <c r="A31" s="20"/>
      <c r="B31" s="21">
        <v>27.0</v>
      </c>
      <c r="C31" s="30" t="s">
        <v>78</v>
      </c>
      <c r="D31" s="30" t="s">
        <v>79</v>
      </c>
      <c r="E31" s="70" t="str">
        <f t="shared" si="2"/>
        <v>9번 중 9번 참여</v>
      </c>
      <c r="F31" s="71">
        <f t="shared" si="3"/>
        <v>1</v>
      </c>
      <c r="G31" s="26" t="s">
        <v>25</v>
      </c>
      <c r="H31" s="26" t="s">
        <v>25</v>
      </c>
      <c r="I31" s="26" t="s">
        <v>25</v>
      </c>
      <c r="J31" s="26" t="s">
        <v>25</v>
      </c>
      <c r="K31" s="26" t="s">
        <v>25</v>
      </c>
      <c r="L31" s="26" t="s">
        <v>25</v>
      </c>
      <c r="M31" s="26" t="s">
        <v>25</v>
      </c>
      <c r="N31" s="26" t="s">
        <v>25</v>
      </c>
      <c r="O31" s="26" t="s">
        <v>25</v>
      </c>
    </row>
    <row r="32" ht="15.75" customHeight="1">
      <c r="A32" s="28"/>
      <c r="B32" s="29">
        <v>28.0</v>
      </c>
      <c r="C32" s="22" t="s">
        <v>130</v>
      </c>
      <c r="D32" s="22" t="s">
        <v>340</v>
      </c>
      <c r="E32" s="70" t="str">
        <f t="shared" si="2"/>
        <v/>
      </c>
      <c r="F32" s="71" t="str">
        <f t="shared" si="3"/>
        <v/>
      </c>
      <c r="G32" s="26"/>
      <c r="H32" s="26"/>
      <c r="I32" s="26"/>
      <c r="J32" s="26"/>
      <c r="K32" s="26"/>
      <c r="L32" s="26"/>
      <c r="M32" s="26"/>
      <c r="N32" s="26"/>
      <c r="O32" s="26"/>
    </row>
    <row r="33" ht="15.75" customHeight="1">
      <c r="A33" s="20"/>
      <c r="B33" s="21">
        <v>29.0</v>
      </c>
      <c r="C33" s="30" t="s">
        <v>81</v>
      </c>
      <c r="D33" s="30" t="s">
        <v>82</v>
      </c>
      <c r="E33" s="70" t="str">
        <f t="shared" si="2"/>
        <v>9번 중 8번 참여</v>
      </c>
      <c r="F33" s="71">
        <f t="shared" si="3"/>
        <v>0.8888888889</v>
      </c>
      <c r="G33" s="26" t="s">
        <v>25</v>
      </c>
      <c r="H33" s="26" t="s">
        <v>25</v>
      </c>
      <c r="I33" s="26" t="s">
        <v>25</v>
      </c>
      <c r="J33" s="26" t="s">
        <v>25</v>
      </c>
      <c r="K33" s="26" t="s">
        <v>25</v>
      </c>
      <c r="L33" s="26" t="s">
        <v>25</v>
      </c>
      <c r="M33" s="26"/>
      <c r="N33" s="26" t="s">
        <v>25</v>
      </c>
      <c r="O33" s="26" t="s">
        <v>25</v>
      </c>
    </row>
    <row r="34" ht="15.75" customHeight="1">
      <c r="A34" s="28"/>
      <c r="B34" s="29">
        <v>30.0</v>
      </c>
      <c r="C34" s="22" t="s">
        <v>83</v>
      </c>
      <c r="D34" s="22" t="s">
        <v>84</v>
      </c>
      <c r="E34" s="70" t="str">
        <f t="shared" si="2"/>
        <v>9번 중 7번 참여</v>
      </c>
      <c r="F34" s="71">
        <f t="shared" si="3"/>
        <v>0.7777777778</v>
      </c>
      <c r="G34" s="26" t="s">
        <v>25</v>
      </c>
      <c r="H34" s="26" t="s">
        <v>25</v>
      </c>
      <c r="I34" s="26" t="s">
        <v>25</v>
      </c>
      <c r="J34" s="26" t="s">
        <v>25</v>
      </c>
      <c r="K34" s="26" t="s">
        <v>25</v>
      </c>
      <c r="L34" s="26" t="s">
        <v>25</v>
      </c>
      <c r="M34" s="26"/>
      <c r="N34" s="26" t="s">
        <v>25</v>
      </c>
      <c r="O34" s="26"/>
    </row>
    <row r="35" ht="15.75" customHeight="1">
      <c r="A35" s="20"/>
      <c r="B35" s="21">
        <v>31.0</v>
      </c>
      <c r="C35" s="30" t="s">
        <v>85</v>
      </c>
      <c r="D35" s="30" t="s">
        <v>86</v>
      </c>
      <c r="E35" s="70" t="str">
        <f t="shared" si="2"/>
        <v>9번 중 8번 참여</v>
      </c>
      <c r="F35" s="71">
        <f t="shared" si="3"/>
        <v>0.8888888889</v>
      </c>
      <c r="G35" s="26" t="s">
        <v>25</v>
      </c>
      <c r="H35" s="26" t="s">
        <v>25</v>
      </c>
      <c r="I35" s="26" t="s">
        <v>25</v>
      </c>
      <c r="J35" s="26" t="s">
        <v>25</v>
      </c>
      <c r="K35" s="26" t="s">
        <v>25</v>
      </c>
      <c r="L35" s="26" t="s">
        <v>25</v>
      </c>
      <c r="M35" s="26" t="s">
        <v>25</v>
      </c>
      <c r="N35" s="26" t="s">
        <v>25</v>
      </c>
      <c r="O35" s="26"/>
    </row>
    <row r="36" ht="15.75" customHeight="1">
      <c r="A36" s="28"/>
      <c r="B36" s="29">
        <v>32.0</v>
      </c>
      <c r="C36" s="22" t="s">
        <v>87</v>
      </c>
      <c r="D36" s="23" t="s">
        <v>88</v>
      </c>
      <c r="E36" s="70" t="str">
        <f t="shared" si="2"/>
        <v>9번 중 7번 참여</v>
      </c>
      <c r="F36" s="71">
        <f t="shared" si="3"/>
        <v>0.7777777778</v>
      </c>
      <c r="G36" s="26"/>
      <c r="H36" s="26" t="s">
        <v>25</v>
      </c>
      <c r="I36" s="26" t="s">
        <v>25</v>
      </c>
      <c r="J36" s="26" t="s">
        <v>25</v>
      </c>
      <c r="K36" s="26" t="s">
        <v>25</v>
      </c>
      <c r="L36" s="26"/>
      <c r="M36" s="26" t="s">
        <v>25</v>
      </c>
      <c r="N36" s="26" t="s">
        <v>25</v>
      </c>
      <c r="O36" s="26" t="s">
        <v>25</v>
      </c>
    </row>
    <row r="37" ht="15.75" customHeight="1">
      <c r="A37" s="20"/>
      <c r="B37" s="21">
        <v>33.0</v>
      </c>
      <c r="C37" s="30" t="s">
        <v>423</v>
      </c>
      <c r="D37" s="30" t="s">
        <v>391</v>
      </c>
      <c r="E37" s="70" t="str">
        <f t="shared" si="2"/>
        <v/>
      </c>
      <c r="F37" s="71" t="str">
        <f t="shared" si="3"/>
        <v/>
      </c>
      <c r="G37" s="26"/>
      <c r="H37" s="26"/>
      <c r="I37" s="26"/>
      <c r="J37" s="26"/>
      <c r="K37" s="26"/>
      <c r="L37" s="26"/>
      <c r="M37" s="26"/>
      <c r="N37" s="26"/>
      <c r="O37" s="26"/>
    </row>
    <row r="38" ht="15.75" customHeight="1">
      <c r="A38" s="28"/>
      <c r="B38" s="29">
        <v>34.0</v>
      </c>
      <c r="C38" s="44" t="s">
        <v>91</v>
      </c>
      <c r="D38" s="44" t="s">
        <v>92</v>
      </c>
      <c r="E38" s="70" t="str">
        <f t="shared" si="2"/>
        <v>9번 중 9번 참여</v>
      </c>
      <c r="F38" s="71">
        <f t="shared" si="3"/>
        <v>1</v>
      </c>
      <c r="G38" s="26" t="s">
        <v>25</v>
      </c>
      <c r="H38" s="26" t="s">
        <v>25</v>
      </c>
      <c r="I38" s="26" t="s">
        <v>25</v>
      </c>
      <c r="J38" s="26" t="s">
        <v>25</v>
      </c>
      <c r="K38" s="26" t="s">
        <v>25</v>
      </c>
      <c r="L38" s="26" t="s">
        <v>25</v>
      </c>
      <c r="M38" s="26" t="s">
        <v>25</v>
      </c>
      <c r="N38" s="26" t="s">
        <v>25</v>
      </c>
      <c r="O38" s="26" t="s">
        <v>25</v>
      </c>
    </row>
    <row r="39" ht="15.75" customHeight="1">
      <c r="A39" s="20"/>
      <c r="B39" s="21">
        <v>35.0</v>
      </c>
      <c r="C39" s="151" t="s">
        <v>93</v>
      </c>
      <c r="D39" s="151" t="s">
        <v>94</v>
      </c>
      <c r="E39" s="70" t="str">
        <f t="shared" si="2"/>
        <v>9번 중 9번 참여</v>
      </c>
      <c r="F39" s="71">
        <f t="shared" si="3"/>
        <v>1</v>
      </c>
      <c r="G39" s="26" t="s">
        <v>25</v>
      </c>
      <c r="H39" s="26" t="s">
        <v>25</v>
      </c>
      <c r="I39" s="26" t="s">
        <v>25</v>
      </c>
      <c r="J39" s="26" t="s">
        <v>25</v>
      </c>
      <c r="K39" s="26" t="s">
        <v>25</v>
      </c>
      <c r="L39" s="26" t="s">
        <v>25</v>
      </c>
      <c r="M39" s="26" t="s">
        <v>25</v>
      </c>
      <c r="N39" s="26" t="s">
        <v>25</v>
      </c>
      <c r="O39" s="26" t="s">
        <v>25</v>
      </c>
    </row>
    <row r="40" ht="15.75" customHeight="1">
      <c r="A40" s="28"/>
      <c r="B40" s="29">
        <v>36.0</v>
      </c>
      <c r="C40" s="22" t="s">
        <v>124</v>
      </c>
      <c r="D40" s="22" t="s">
        <v>125</v>
      </c>
      <c r="E40" s="70" t="str">
        <f t="shared" si="2"/>
        <v>9번 중 9번 참여</v>
      </c>
      <c r="F40" s="71">
        <f t="shared" si="3"/>
        <v>1</v>
      </c>
      <c r="G40" s="26" t="s">
        <v>25</v>
      </c>
      <c r="H40" s="26" t="s">
        <v>25</v>
      </c>
      <c r="I40" s="26" t="s">
        <v>25</v>
      </c>
      <c r="J40" s="26" t="s">
        <v>25</v>
      </c>
      <c r="K40" s="26" t="s">
        <v>25</v>
      </c>
      <c r="L40" s="26" t="s">
        <v>25</v>
      </c>
      <c r="M40" s="26" t="s">
        <v>25</v>
      </c>
      <c r="N40" s="26" t="s">
        <v>25</v>
      </c>
      <c r="O40" s="26" t="s">
        <v>25</v>
      </c>
    </row>
    <row r="41" ht="15.75" customHeight="1">
      <c r="A41" s="20"/>
      <c r="B41" s="21">
        <v>37.0</v>
      </c>
      <c r="C41" s="30" t="s">
        <v>128</v>
      </c>
      <c r="D41" s="30" t="s">
        <v>129</v>
      </c>
      <c r="E41" s="70" t="str">
        <f t="shared" si="2"/>
        <v>9번 중 9번 참여</v>
      </c>
      <c r="F41" s="71">
        <f t="shared" si="3"/>
        <v>1</v>
      </c>
      <c r="G41" s="26" t="s">
        <v>25</v>
      </c>
      <c r="H41" s="26" t="s">
        <v>25</v>
      </c>
      <c r="I41" s="26" t="s">
        <v>25</v>
      </c>
      <c r="J41" s="26" t="s">
        <v>25</v>
      </c>
      <c r="K41" s="26" t="s">
        <v>25</v>
      </c>
      <c r="L41" s="26" t="s">
        <v>25</v>
      </c>
      <c r="M41" s="26" t="s">
        <v>25</v>
      </c>
      <c r="N41" s="26" t="s">
        <v>25</v>
      </c>
      <c r="O41" s="26" t="s">
        <v>25</v>
      </c>
    </row>
    <row r="42" ht="15.75" customHeight="1">
      <c r="A42" s="28"/>
      <c r="B42" s="29">
        <v>38.0</v>
      </c>
      <c r="C42" s="22" t="s">
        <v>99</v>
      </c>
      <c r="D42" s="22" t="s">
        <v>100</v>
      </c>
      <c r="E42" s="70" t="str">
        <f t="shared" si="2"/>
        <v>9번 중 7번 참여</v>
      </c>
      <c r="F42" s="71">
        <f t="shared" si="3"/>
        <v>0.7777777778</v>
      </c>
      <c r="G42" s="26" t="s">
        <v>25</v>
      </c>
      <c r="H42" s="26" t="s">
        <v>25</v>
      </c>
      <c r="I42" s="26"/>
      <c r="J42" s="26" t="s">
        <v>25</v>
      </c>
      <c r="K42" s="26"/>
      <c r="L42" s="26" t="s">
        <v>25</v>
      </c>
      <c r="M42" s="26" t="s">
        <v>25</v>
      </c>
      <c r="N42" s="26" t="s">
        <v>25</v>
      </c>
      <c r="O42" s="26" t="s">
        <v>25</v>
      </c>
    </row>
    <row r="43" ht="15.75" customHeight="1">
      <c r="A43" s="20"/>
      <c r="B43" s="21">
        <v>39.0</v>
      </c>
      <c r="C43" s="30" t="s">
        <v>349</v>
      </c>
      <c r="D43" s="30" t="s">
        <v>350</v>
      </c>
      <c r="E43" s="70" t="str">
        <f t="shared" si="2"/>
        <v>9번 중 9번 참여</v>
      </c>
      <c r="F43" s="71">
        <f t="shared" si="3"/>
        <v>1</v>
      </c>
      <c r="G43" s="26" t="s">
        <v>25</v>
      </c>
      <c r="H43" s="26" t="s">
        <v>25</v>
      </c>
      <c r="I43" s="26" t="s">
        <v>25</v>
      </c>
      <c r="J43" s="26" t="s">
        <v>25</v>
      </c>
      <c r="K43" s="26" t="s">
        <v>25</v>
      </c>
      <c r="L43" s="26" t="s">
        <v>25</v>
      </c>
      <c r="M43" s="26" t="s">
        <v>25</v>
      </c>
      <c r="N43" s="26" t="s">
        <v>25</v>
      </c>
      <c r="O43" s="26" t="s">
        <v>25</v>
      </c>
    </row>
    <row r="44" ht="15.75" customHeight="1">
      <c r="A44" s="28"/>
      <c r="B44" s="29">
        <v>40.0</v>
      </c>
      <c r="C44" s="82" t="s">
        <v>95</v>
      </c>
      <c r="D44" s="82" t="s">
        <v>96</v>
      </c>
      <c r="E44" s="70" t="str">
        <f t="shared" si="2"/>
        <v>9번 중 9번 참여</v>
      </c>
      <c r="F44" s="71">
        <f t="shared" si="3"/>
        <v>1</v>
      </c>
      <c r="G44" s="26" t="s">
        <v>25</v>
      </c>
      <c r="H44" s="26" t="s">
        <v>25</v>
      </c>
      <c r="I44" s="26" t="s">
        <v>25</v>
      </c>
      <c r="J44" s="26" t="s">
        <v>25</v>
      </c>
      <c r="K44" s="26" t="s">
        <v>25</v>
      </c>
      <c r="L44" s="26" t="s">
        <v>25</v>
      </c>
      <c r="M44" s="26" t="s">
        <v>25</v>
      </c>
      <c r="N44" s="26" t="s">
        <v>25</v>
      </c>
      <c r="O44" s="26" t="s">
        <v>25</v>
      </c>
    </row>
    <row r="45" ht="15.75" customHeight="1">
      <c r="A45" s="20"/>
      <c r="B45" s="21">
        <v>41.0</v>
      </c>
      <c r="C45" s="30" t="s">
        <v>97</v>
      </c>
      <c r="D45" s="30" t="s">
        <v>98</v>
      </c>
      <c r="E45" s="70" t="str">
        <f t="shared" si="2"/>
        <v>9번 중 9번 참여</v>
      </c>
      <c r="F45" s="71">
        <f t="shared" si="3"/>
        <v>1</v>
      </c>
      <c r="G45" s="26" t="s">
        <v>25</v>
      </c>
      <c r="H45" s="26" t="s">
        <v>25</v>
      </c>
      <c r="I45" s="26" t="s">
        <v>25</v>
      </c>
      <c r="J45" s="26" t="s">
        <v>25</v>
      </c>
      <c r="K45" s="26" t="s">
        <v>25</v>
      </c>
      <c r="L45" s="26" t="s">
        <v>25</v>
      </c>
      <c r="M45" s="26" t="s">
        <v>25</v>
      </c>
      <c r="N45" s="26" t="s">
        <v>25</v>
      </c>
      <c r="O45" s="26" t="s">
        <v>25</v>
      </c>
    </row>
    <row r="46" ht="15.75" customHeight="1">
      <c r="A46" s="28"/>
      <c r="B46" s="29">
        <v>42.0</v>
      </c>
      <c r="C46" s="82" t="s">
        <v>351</v>
      </c>
      <c r="D46" s="82" t="s">
        <v>352</v>
      </c>
      <c r="E46" s="70" t="str">
        <f t="shared" si="2"/>
        <v/>
      </c>
      <c r="F46" s="71" t="str">
        <f t="shared" si="3"/>
        <v/>
      </c>
      <c r="G46" s="26"/>
      <c r="H46" s="26"/>
      <c r="I46" s="26"/>
      <c r="J46" s="26"/>
      <c r="K46" s="26"/>
      <c r="L46" s="26"/>
      <c r="M46" s="26"/>
      <c r="N46" s="26"/>
      <c r="O46" s="26"/>
    </row>
    <row r="47" ht="15.75" customHeight="1">
      <c r="A47" s="20"/>
      <c r="B47" s="21">
        <v>43.0</v>
      </c>
      <c r="C47" s="22" t="s">
        <v>103</v>
      </c>
      <c r="D47" s="22" t="s">
        <v>104</v>
      </c>
      <c r="E47" s="70" t="str">
        <f t="shared" si="2"/>
        <v>9번 중 9번 참여</v>
      </c>
      <c r="F47" s="71">
        <f t="shared" si="3"/>
        <v>1</v>
      </c>
      <c r="G47" s="26" t="s">
        <v>25</v>
      </c>
      <c r="H47" s="26" t="s">
        <v>25</v>
      </c>
      <c r="I47" s="26" t="s">
        <v>25</v>
      </c>
      <c r="J47" s="26" t="s">
        <v>25</v>
      </c>
      <c r="K47" s="26" t="s">
        <v>25</v>
      </c>
      <c r="L47" s="26" t="s">
        <v>25</v>
      </c>
      <c r="M47" s="26" t="s">
        <v>25</v>
      </c>
      <c r="N47" s="26" t="s">
        <v>25</v>
      </c>
      <c r="O47" s="26" t="s">
        <v>25</v>
      </c>
    </row>
    <row r="48" ht="15.75" customHeight="1">
      <c r="A48" s="28"/>
      <c r="B48" s="29">
        <v>44.0</v>
      </c>
      <c r="C48" s="30" t="s">
        <v>353</v>
      </c>
      <c r="D48" s="30" t="s">
        <v>354</v>
      </c>
      <c r="E48" s="70" t="str">
        <f t="shared" si="2"/>
        <v>9번 중 8번 참여</v>
      </c>
      <c r="F48" s="71">
        <f t="shared" si="3"/>
        <v>0.8888888889</v>
      </c>
      <c r="G48" s="26" t="s">
        <v>25</v>
      </c>
      <c r="H48" s="26" t="s">
        <v>25</v>
      </c>
      <c r="I48" s="26" t="s">
        <v>25</v>
      </c>
      <c r="J48" s="26" t="s">
        <v>25</v>
      </c>
      <c r="K48" s="26" t="s">
        <v>25</v>
      </c>
      <c r="L48" s="26" t="s">
        <v>25</v>
      </c>
      <c r="M48" s="26" t="s">
        <v>25</v>
      </c>
      <c r="N48" s="26" t="s">
        <v>25</v>
      </c>
      <c r="O48" s="26"/>
    </row>
    <row r="49" ht="15.75" customHeight="1">
      <c r="A49" s="20"/>
      <c r="B49" s="21">
        <v>45.0</v>
      </c>
      <c r="C49" s="22" t="s">
        <v>286</v>
      </c>
      <c r="D49" s="22" t="s">
        <v>121</v>
      </c>
      <c r="E49" s="70" t="str">
        <f t="shared" si="2"/>
        <v>9번 중 9번 참여</v>
      </c>
      <c r="F49" s="71">
        <f t="shared" si="3"/>
        <v>1</v>
      </c>
      <c r="G49" s="26" t="s">
        <v>25</v>
      </c>
      <c r="H49" s="26" t="s">
        <v>25</v>
      </c>
      <c r="I49" s="26" t="s">
        <v>25</v>
      </c>
      <c r="J49" s="26" t="s">
        <v>25</v>
      </c>
      <c r="K49" s="26" t="s">
        <v>25</v>
      </c>
      <c r="L49" s="26" t="s">
        <v>25</v>
      </c>
      <c r="M49" s="26" t="s">
        <v>25</v>
      </c>
      <c r="N49" s="26" t="s">
        <v>25</v>
      </c>
      <c r="O49" s="26" t="s">
        <v>25</v>
      </c>
    </row>
    <row r="50" ht="15.75" customHeight="1">
      <c r="A50" s="28"/>
      <c r="B50" s="29">
        <v>46.0</v>
      </c>
      <c r="C50" s="30" t="s">
        <v>101</v>
      </c>
      <c r="D50" s="30" t="s">
        <v>102</v>
      </c>
      <c r="E50" s="70" t="str">
        <f t="shared" si="2"/>
        <v>9번 중 9번 참여</v>
      </c>
      <c r="F50" s="71">
        <f t="shared" si="3"/>
        <v>1</v>
      </c>
      <c r="G50" s="26" t="s">
        <v>25</v>
      </c>
      <c r="H50" s="26" t="s">
        <v>25</v>
      </c>
      <c r="I50" s="26" t="s">
        <v>25</v>
      </c>
      <c r="J50" s="26" t="s">
        <v>25</v>
      </c>
      <c r="K50" s="26" t="s">
        <v>25</v>
      </c>
      <c r="L50" s="26" t="s">
        <v>25</v>
      </c>
      <c r="M50" s="26" t="s">
        <v>25</v>
      </c>
      <c r="N50" s="26" t="s">
        <v>25</v>
      </c>
      <c r="O50" s="26" t="s">
        <v>25</v>
      </c>
    </row>
    <row r="51" ht="15.75" customHeight="1">
      <c r="A51" s="20"/>
      <c r="B51" s="21">
        <v>47.0</v>
      </c>
      <c r="C51" s="184" t="s">
        <v>517</v>
      </c>
      <c r="D51" s="193" t="s">
        <v>518</v>
      </c>
      <c r="E51" s="70" t="str">
        <f t="shared" si="2"/>
        <v>9번 중 9번 참여</v>
      </c>
      <c r="F51" s="71">
        <f t="shared" si="3"/>
        <v>1</v>
      </c>
      <c r="G51" s="26" t="s">
        <v>25</v>
      </c>
      <c r="H51" s="26" t="s">
        <v>25</v>
      </c>
      <c r="I51" s="26" t="s">
        <v>25</v>
      </c>
      <c r="J51" s="26" t="s">
        <v>25</v>
      </c>
      <c r="K51" s="26" t="s">
        <v>25</v>
      </c>
      <c r="L51" s="26" t="s">
        <v>25</v>
      </c>
      <c r="M51" s="26" t="s">
        <v>25</v>
      </c>
      <c r="N51" s="26" t="s">
        <v>25</v>
      </c>
      <c r="O51" s="26" t="s">
        <v>25</v>
      </c>
    </row>
    <row r="52" ht="15.75" customHeight="1">
      <c r="A52" s="28"/>
      <c r="B52" s="29">
        <v>48.0</v>
      </c>
      <c r="C52" s="30" t="s">
        <v>359</v>
      </c>
      <c r="D52" s="30" t="s">
        <v>360</v>
      </c>
      <c r="E52" s="70" t="str">
        <f t="shared" si="2"/>
        <v/>
      </c>
      <c r="F52" s="71" t="str">
        <f t="shared" si="3"/>
        <v/>
      </c>
      <c r="G52" s="26"/>
      <c r="H52" s="26"/>
      <c r="I52" s="26"/>
      <c r="J52" s="26"/>
      <c r="K52" s="26"/>
      <c r="L52" s="26"/>
      <c r="M52" s="26"/>
      <c r="N52" s="26"/>
      <c r="O52" s="26"/>
    </row>
    <row r="53" ht="15.75" customHeight="1">
      <c r="A53" s="20"/>
      <c r="B53" s="21">
        <v>49.0</v>
      </c>
      <c r="C53" s="22" t="s">
        <v>361</v>
      </c>
      <c r="D53" s="22" t="s">
        <v>362</v>
      </c>
      <c r="E53" s="70" t="str">
        <f t="shared" si="2"/>
        <v>9번 중 8번 참여</v>
      </c>
      <c r="F53" s="71">
        <f t="shared" si="3"/>
        <v>0.8888888889</v>
      </c>
      <c r="G53" s="26" t="s">
        <v>25</v>
      </c>
      <c r="H53" s="26" t="s">
        <v>25</v>
      </c>
      <c r="I53" s="26" t="s">
        <v>25</v>
      </c>
      <c r="J53" s="26" t="s">
        <v>25</v>
      </c>
      <c r="K53" s="26" t="s">
        <v>25</v>
      </c>
      <c r="L53" s="26" t="s">
        <v>25</v>
      </c>
      <c r="M53" s="26"/>
      <c r="N53" s="26" t="s">
        <v>25</v>
      </c>
      <c r="O53" s="26" t="s">
        <v>25</v>
      </c>
    </row>
    <row r="54" ht="15.75" customHeight="1">
      <c r="A54" s="28"/>
      <c r="B54" s="29">
        <v>50.0</v>
      </c>
      <c r="C54" s="30" t="s">
        <v>111</v>
      </c>
      <c r="D54" s="30" t="s">
        <v>112</v>
      </c>
      <c r="E54" s="70" t="str">
        <f t="shared" si="2"/>
        <v>9번 중 7번 참여</v>
      </c>
      <c r="F54" s="71">
        <f t="shared" si="3"/>
        <v>0.7777777778</v>
      </c>
      <c r="G54" s="26" t="s">
        <v>25</v>
      </c>
      <c r="H54" s="26" t="s">
        <v>25</v>
      </c>
      <c r="I54" s="26" t="s">
        <v>25</v>
      </c>
      <c r="J54" s="26"/>
      <c r="K54" s="26" t="s">
        <v>25</v>
      </c>
      <c r="L54" s="26" t="s">
        <v>25</v>
      </c>
      <c r="M54" s="26" t="s">
        <v>25</v>
      </c>
      <c r="N54" s="26"/>
      <c r="O54" s="26" t="s">
        <v>25</v>
      </c>
    </row>
    <row r="55" ht="15.75" customHeight="1">
      <c r="A55" s="20"/>
      <c r="B55" s="21">
        <v>51.0</v>
      </c>
      <c r="C55" s="22" t="s">
        <v>113</v>
      </c>
      <c r="D55" s="22" t="s">
        <v>114</v>
      </c>
      <c r="E55" s="70" t="str">
        <f t="shared" si="2"/>
        <v>9번 중 9번 참여</v>
      </c>
      <c r="F55" s="71">
        <f t="shared" si="3"/>
        <v>1</v>
      </c>
      <c r="G55" s="26" t="s">
        <v>25</v>
      </c>
      <c r="H55" s="26" t="s">
        <v>25</v>
      </c>
      <c r="I55" s="26" t="s">
        <v>25</v>
      </c>
      <c r="J55" s="26" t="s">
        <v>25</v>
      </c>
      <c r="K55" s="26" t="s">
        <v>25</v>
      </c>
      <c r="L55" s="26" t="s">
        <v>25</v>
      </c>
      <c r="M55" s="26" t="s">
        <v>25</v>
      </c>
      <c r="N55" s="26" t="s">
        <v>25</v>
      </c>
      <c r="O55" s="26" t="s">
        <v>25</v>
      </c>
    </row>
    <row r="56" ht="15.75" customHeight="1">
      <c r="A56" s="28"/>
      <c r="B56" s="29">
        <v>52.0</v>
      </c>
      <c r="C56" s="30" t="s">
        <v>363</v>
      </c>
      <c r="D56" s="30" t="s">
        <v>364</v>
      </c>
      <c r="E56" s="70" t="str">
        <f t="shared" si="2"/>
        <v>9번 중 4번 참여</v>
      </c>
      <c r="F56" s="71">
        <f t="shared" si="3"/>
        <v>0.4444444444</v>
      </c>
      <c r="G56" s="26"/>
      <c r="H56" s="26" t="s">
        <v>25</v>
      </c>
      <c r="I56" s="26"/>
      <c r="J56" s="26" t="s">
        <v>25</v>
      </c>
      <c r="K56" s="26" t="s">
        <v>25</v>
      </c>
      <c r="L56" s="26" t="s">
        <v>25</v>
      </c>
      <c r="M56" s="26"/>
      <c r="N56" s="26"/>
      <c r="O56" s="26"/>
    </row>
    <row r="57" ht="15.75" customHeight="1">
      <c r="A57" s="20"/>
      <c r="B57" s="21">
        <v>53.0</v>
      </c>
      <c r="C57" s="22" t="s">
        <v>132</v>
      </c>
      <c r="D57" s="22" t="s">
        <v>133</v>
      </c>
      <c r="E57" s="70" t="str">
        <f t="shared" si="2"/>
        <v>9번 중 9번 참여</v>
      </c>
      <c r="F57" s="71">
        <f t="shared" si="3"/>
        <v>1</v>
      </c>
      <c r="G57" s="26" t="s">
        <v>25</v>
      </c>
      <c r="H57" s="26" t="s">
        <v>25</v>
      </c>
      <c r="I57" s="26" t="s">
        <v>25</v>
      </c>
      <c r="J57" s="26" t="s">
        <v>25</v>
      </c>
      <c r="K57" s="26" t="s">
        <v>25</v>
      </c>
      <c r="L57" s="26" t="s">
        <v>25</v>
      </c>
      <c r="M57" s="26" t="s">
        <v>25</v>
      </c>
      <c r="N57" s="26" t="s">
        <v>25</v>
      </c>
      <c r="O57" s="26" t="s">
        <v>25</v>
      </c>
    </row>
    <row r="58" ht="15.75" customHeight="1">
      <c r="A58" s="28" t="s">
        <v>206</v>
      </c>
      <c r="B58" s="29">
        <v>54.0</v>
      </c>
      <c r="C58" s="30" t="s">
        <v>285</v>
      </c>
      <c r="D58" s="30" t="s">
        <v>119</v>
      </c>
      <c r="E58" s="70" t="str">
        <f t="shared" si="2"/>
        <v>9번 중 8번 참여</v>
      </c>
      <c r="F58" s="71">
        <f t="shared" si="3"/>
        <v>0.8888888889</v>
      </c>
      <c r="G58" s="26" t="s">
        <v>25</v>
      </c>
      <c r="H58" s="26" t="s">
        <v>25</v>
      </c>
      <c r="I58" s="26" t="s">
        <v>25</v>
      </c>
      <c r="J58" s="26" t="s">
        <v>25</v>
      </c>
      <c r="K58" s="26" t="s">
        <v>25</v>
      </c>
      <c r="L58" s="26" t="s">
        <v>25</v>
      </c>
      <c r="M58" s="26" t="s">
        <v>25</v>
      </c>
      <c r="N58" s="26" t="s">
        <v>25</v>
      </c>
      <c r="O58" s="26"/>
    </row>
    <row r="59" ht="15.75" customHeight="1">
      <c r="A59" s="20"/>
      <c r="B59" s="21">
        <v>55.0</v>
      </c>
      <c r="C59" s="22" t="s">
        <v>365</v>
      </c>
      <c r="D59" s="22" t="s">
        <v>366</v>
      </c>
      <c r="E59" s="70" t="str">
        <f t="shared" si="2"/>
        <v>9번 중 8번 참여</v>
      </c>
      <c r="F59" s="71">
        <f t="shared" si="3"/>
        <v>0.8888888889</v>
      </c>
      <c r="G59" s="26" t="s">
        <v>25</v>
      </c>
      <c r="H59" s="26" t="s">
        <v>25</v>
      </c>
      <c r="I59" s="26" t="s">
        <v>25</v>
      </c>
      <c r="J59" s="26" t="s">
        <v>25</v>
      </c>
      <c r="K59" s="26" t="s">
        <v>25</v>
      </c>
      <c r="L59" s="26" t="s">
        <v>25</v>
      </c>
      <c r="M59" s="26" t="s">
        <v>25</v>
      </c>
      <c r="N59" s="26"/>
      <c r="O59" s="26" t="s">
        <v>25</v>
      </c>
    </row>
    <row r="60" ht="15.75" customHeight="1">
      <c r="A60" s="28"/>
      <c r="B60" s="29">
        <v>56.0</v>
      </c>
      <c r="C60" s="42" t="s">
        <v>28</v>
      </c>
      <c r="D60" s="42" t="s">
        <v>70</v>
      </c>
      <c r="E60" s="70" t="str">
        <f t="shared" si="2"/>
        <v>9번 중 9번 참여</v>
      </c>
      <c r="F60" s="71">
        <f t="shared" si="3"/>
        <v>1</v>
      </c>
      <c r="G60" s="26" t="s">
        <v>25</v>
      </c>
      <c r="H60" s="26" t="s">
        <v>25</v>
      </c>
      <c r="I60" s="26" t="s">
        <v>25</v>
      </c>
      <c r="J60" s="26" t="s">
        <v>25</v>
      </c>
      <c r="K60" s="26" t="s">
        <v>25</v>
      </c>
      <c r="L60" s="26" t="s">
        <v>25</v>
      </c>
      <c r="M60" s="26" t="s">
        <v>25</v>
      </c>
      <c r="N60" s="26" t="s">
        <v>25</v>
      </c>
      <c r="O60" s="26" t="s">
        <v>25</v>
      </c>
    </row>
    <row r="61" ht="15.75" customHeight="1">
      <c r="A61" s="20"/>
      <c r="B61" s="21">
        <v>57.0</v>
      </c>
      <c r="C61" s="30" t="s">
        <v>371</v>
      </c>
      <c r="D61" s="30" t="s">
        <v>108</v>
      </c>
      <c r="E61" s="70" t="str">
        <f t="shared" si="2"/>
        <v>9번 중 8번 참여</v>
      </c>
      <c r="F61" s="71">
        <f t="shared" si="3"/>
        <v>0.8888888889</v>
      </c>
      <c r="G61" s="26" t="s">
        <v>25</v>
      </c>
      <c r="H61" s="26" t="s">
        <v>25</v>
      </c>
      <c r="I61" s="26" t="s">
        <v>25</v>
      </c>
      <c r="J61" s="26" t="s">
        <v>25</v>
      </c>
      <c r="K61" s="26" t="s">
        <v>25</v>
      </c>
      <c r="L61" s="26"/>
      <c r="M61" s="26" t="s">
        <v>25</v>
      </c>
      <c r="N61" s="26" t="s">
        <v>25</v>
      </c>
      <c r="O61" s="26" t="s">
        <v>25</v>
      </c>
    </row>
    <row r="62" ht="15.75" customHeight="1">
      <c r="A62" s="28"/>
      <c r="B62" s="29">
        <v>58.0</v>
      </c>
      <c r="C62" s="22" t="s">
        <v>372</v>
      </c>
      <c r="D62" s="22" t="s">
        <v>139</v>
      </c>
      <c r="E62" s="70" t="str">
        <f t="shared" si="2"/>
        <v>9번 중 9번 참여</v>
      </c>
      <c r="F62" s="71">
        <f t="shared" si="3"/>
        <v>1</v>
      </c>
      <c r="G62" s="26" t="s">
        <v>25</v>
      </c>
      <c r="H62" s="26" t="s">
        <v>25</v>
      </c>
      <c r="I62" s="26" t="s">
        <v>25</v>
      </c>
      <c r="J62" s="26" t="s">
        <v>25</v>
      </c>
      <c r="K62" s="26" t="s">
        <v>25</v>
      </c>
      <c r="L62" s="26" t="s">
        <v>25</v>
      </c>
      <c r="M62" s="26" t="s">
        <v>25</v>
      </c>
      <c r="N62" s="26" t="s">
        <v>25</v>
      </c>
      <c r="O62" s="26" t="s">
        <v>25</v>
      </c>
    </row>
    <row r="63" ht="15.75" customHeight="1">
      <c r="A63" s="20"/>
      <c r="B63" s="21">
        <v>59.0</v>
      </c>
      <c r="C63" s="30" t="s">
        <v>373</v>
      </c>
      <c r="D63" s="30" t="s">
        <v>137</v>
      </c>
      <c r="E63" s="70" t="str">
        <f t="shared" si="2"/>
        <v>9번 중 9번 참여</v>
      </c>
      <c r="F63" s="71">
        <f t="shared" si="3"/>
        <v>1</v>
      </c>
      <c r="G63" s="26" t="s">
        <v>25</v>
      </c>
      <c r="H63" s="26" t="s">
        <v>25</v>
      </c>
      <c r="I63" s="26" t="s">
        <v>25</v>
      </c>
      <c r="J63" s="26" t="s">
        <v>25</v>
      </c>
      <c r="K63" s="26" t="s">
        <v>25</v>
      </c>
      <c r="L63" s="26" t="s">
        <v>25</v>
      </c>
      <c r="M63" s="26" t="s">
        <v>25</v>
      </c>
      <c r="N63" s="26" t="s">
        <v>25</v>
      </c>
      <c r="O63" s="26" t="s">
        <v>25</v>
      </c>
    </row>
    <row r="64" ht="15.75" customHeight="1">
      <c r="A64" s="28"/>
      <c r="B64" s="29">
        <v>60.0</v>
      </c>
      <c r="C64" s="22" t="s">
        <v>142</v>
      </c>
      <c r="D64" s="22" t="s">
        <v>143</v>
      </c>
      <c r="E64" s="70" t="str">
        <f t="shared" si="2"/>
        <v>9번 중 6번 참여</v>
      </c>
      <c r="F64" s="71">
        <f t="shared" si="3"/>
        <v>0.6666666667</v>
      </c>
      <c r="G64" s="26" t="s">
        <v>25</v>
      </c>
      <c r="H64" s="26" t="s">
        <v>25</v>
      </c>
      <c r="I64" s="26" t="s">
        <v>25</v>
      </c>
      <c r="J64" s="26" t="s">
        <v>25</v>
      </c>
      <c r="K64" s="26"/>
      <c r="L64" s="26"/>
      <c r="M64" s="26"/>
      <c r="N64" s="26" t="s">
        <v>25</v>
      </c>
      <c r="O64" s="26" t="s">
        <v>25</v>
      </c>
    </row>
    <row r="65" ht="15.75" customHeight="1">
      <c r="A65" s="20"/>
      <c r="B65" s="21">
        <v>61.0</v>
      </c>
      <c r="C65" s="30" t="s">
        <v>144</v>
      </c>
      <c r="D65" s="30" t="s">
        <v>145</v>
      </c>
      <c r="E65" s="70" t="str">
        <f t="shared" si="2"/>
        <v>9번 중 6번 참여</v>
      </c>
      <c r="F65" s="71">
        <f t="shared" si="3"/>
        <v>0.6666666667</v>
      </c>
      <c r="G65" s="26" t="s">
        <v>25</v>
      </c>
      <c r="H65" s="26" t="s">
        <v>25</v>
      </c>
      <c r="I65" s="26" t="s">
        <v>25</v>
      </c>
      <c r="J65" s="26" t="s">
        <v>25</v>
      </c>
      <c r="K65" s="26"/>
      <c r="L65" s="26"/>
      <c r="M65" s="26"/>
      <c r="N65" s="26" t="s">
        <v>25</v>
      </c>
      <c r="O65" s="26" t="s">
        <v>25</v>
      </c>
    </row>
    <row r="66" ht="15.75" customHeight="1">
      <c r="A66" s="28"/>
      <c r="B66" s="29">
        <v>62.0</v>
      </c>
      <c r="C66" s="22" t="s">
        <v>146</v>
      </c>
      <c r="D66" s="22" t="s">
        <v>147</v>
      </c>
      <c r="E66" s="70" t="str">
        <f t="shared" si="2"/>
        <v>9번 중 9번 참여</v>
      </c>
      <c r="F66" s="71">
        <f t="shared" si="3"/>
        <v>1</v>
      </c>
      <c r="G66" s="26" t="s">
        <v>25</v>
      </c>
      <c r="H66" s="26" t="s">
        <v>25</v>
      </c>
      <c r="I66" s="26" t="s">
        <v>25</v>
      </c>
      <c r="J66" s="26" t="s">
        <v>25</v>
      </c>
      <c r="K66" s="26" t="s">
        <v>25</v>
      </c>
      <c r="L66" s="26" t="s">
        <v>25</v>
      </c>
      <c r="M66" s="26" t="s">
        <v>25</v>
      </c>
      <c r="N66" s="26" t="s">
        <v>25</v>
      </c>
      <c r="O66" s="26" t="s">
        <v>25</v>
      </c>
    </row>
    <row r="67" ht="15.75" customHeight="1">
      <c r="A67" s="20"/>
      <c r="B67" s="21">
        <v>63.0</v>
      </c>
      <c r="C67" s="30" t="s">
        <v>148</v>
      </c>
      <c r="D67" s="30" t="s">
        <v>149</v>
      </c>
      <c r="E67" s="70" t="str">
        <f t="shared" si="2"/>
        <v>9번 중 7번 참여</v>
      </c>
      <c r="F67" s="71">
        <f t="shared" si="3"/>
        <v>0.7777777778</v>
      </c>
      <c r="G67" s="26" t="s">
        <v>25</v>
      </c>
      <c r="H67" s="26"/>
      <c r="I67" s="26" t="s">
        <v>25</v>
      </c>
      <c r="J67" s="26" t="s">
        <v>25</v>
      </c>
      <c r="K67" s="26" t="s">
        <v>25</v>
      </c>
      <c r="L67" s="26" t="s">
        <v>25</v>
      </c>
      <c r="M67" s="26" t="s">
        <v>25</v>
      </c>
      <c r="N67" s="26" t="s">
        <v>80</v>
      </c>
      <c r="O67" s="26" t="s">
        <v>25</v>
      </c>
    </row>
    <row r="68" ht="15.75" customHeight="1">
      <c r="A68" s="28"/>
      <c r="B68" s="29">
        <v>64.0</v>
      </c>
      <c r="C68" s="22" t="s">
        <v>380</v>
      </c>
      <c r="D68" s="22" t="s">
        <v>381</v>
      </c>
      <c r="E68" s="70" t="str">
        <f t="shared" si="2"/>
        <v/>
      </c>
      <c r="F68" s="71" t="str">
        <f t="shared" si="3"/>
        <v/>
      </c>
      <c r="G68" s="26"/>
      <c r="H68" s="26"/>
      <c r="I68" s="26"/>
      <c r="J68" s="26"/>
      <c r="K68" s="26"/>
      <c r="L68" s="26"/>
      <c r="M68" s="26"/>
      <c r="N68" s="26"/>
      <c r="O68" s="26"/>
    </row>
    <row r="69" ht="15.75" customHeight="1">
      <c r="A69" s="20"/>
      <c r="B69" s="21">
        <v>65.0</v>
      </c>
      <c r="C69" s="30" t="s">
        <v>140</v>
      </c>
      <c r="D69" s="30" t="s">
        <v>141</v>
      </c>
      <c r="E69" s="70" t="str">
        <f t="shared" si="2"/>
        <v>9번 중 8번 참여</v>
      </c>
      <c r="F69" s="71">
        <f t="shared" si="3"/>
        <v>0.8888888889</v>
      </c>
      <c r="G69" s="26" t="s">
        <v>25</v>
      </c>
      <c r="H69" s="26"/>
      <c r="I69" s="26" t="s">
        <v>25</v>
      </c>
      <c r="J69" s="26" t="s">
        <v>25</v>
      </c>
      <c r="K69" s="26" t="s">
        <v>25</v>
      </c>
      <c r="L69" s="26" t="s">
        <v>25</v>
      </c>
      <c r="M69" s="26" t="s">
        <v>25</v>
      </c>
      <c r="N69" s="26" t="s">
        <v>25</v>
      </c>
      <c r="O69" s="26" t="s">
        <v>25</v>
      </c>
    </row>
    <row r="70" ht="15.75" customHeight="1">
      <c r="A70" s="28"/>
      <c r="B70" s="29">
        <v>66.0</v>
      </c>
      <c r="C70" s="22" t="s">
        <v>150</v>
      </c>
      <c r="D70" s="149" t="s">
        <v>151</v>
      </c>
      <c r="E70" s="70" t="str">
        <f t="shared" si="2"/>
        <v>9번 중 2번 참여</v>
      </c>
      <c r="F70" s="71">
        <f t="shared" si="3"/>
        <v>0.2222222222</v>
      </c>
      <c r="G70" s="26" t="s">
        <v>25</v>
      </c>
      <c r="H70" s="26" t="s">
        <v>25</v>
      </c>
      <c r="I70" s="26"/>
      <c r="J70" s="26"/>
      <c r="K70" s="26"/>
      <c r="L70" s="26"/>
      <c r="M70" s="26"/>
      <c r="N70" s="26"/>
      <c r="O70" s="26"/>
    </row>
    <row r="71" ht="15.75" customHeight="1">
      <c r="A71" s="20"/>
      <c r="B71" s="21">
        <v>67.0</v>
      </c>
      <c r="C71" s="30" t="s">
        <v>152</v>
      </c>
      <c r="D71" s="30" t="s">
        <v>153</v>
      </c>
      <c r="E71" s="70" t="str">
        <f t="shared" si="2"/>
        <v>9번 중 9번 참여</v>
      </c>
      <c r="F71" s="71">
        <f t="shared" si="3"/>
        <v>1</v>
      </c>
      <c r="G71" s="26" t="s">
        <v>25</v>
      </c>
      <c r="H71" s="26" t="s">
        <v>25</v>
      </c>
      <c r="I71" s="26" t="s">
        <v>25</v>
      </c>
      <c r="J71" s="26" t="s">
        <v>25</v>
      </c>
      <c r="K71" s="26" t="s">
        <v>25</v>
      </c>
      <c r="L71" s="26" t="s">
        <v>25</v>
      </c>
      <c r="M71" s="26" t="s">
        <v>25</v>
      </c>
      <c r="N71" s="26" t="s">
        <v>25</v>
      </c>
      <c r="O71" s="26" t="s">
        <v>25</v>
      </c>
    </row>
    <row r="72" ht="15.75" customHeight="1">
      <c r="A72" s="28"/>
      <c r="B72" s="29">
        <v>68.0</v>
      </c>
      <c r="C72" s="22" t="s">
        <v>388</v>
      </c>
      <c r="D72" s="30" t="s">
        <v>389</v>
      </c>
      <c r="E72" s="70" t="str">
        <f t="shared" si="2"/>
        <v>9번 중 6번 참여</v>
      </c>
      <c r="F72" s="71">
        <f t="shared" si="3"/>
        <v>0.6666666667</v>
      </c>
      <c r="G72" s="26" t="s">
        <v>25</v>
      </c>
      <c r="H72" s="26" t="s">
        <v>25</v>
      </c>
      <c r="I72" s="26" t="s">
        <v>25</v>
      </c>
      <c r="J72" s="26"/>
      <c r="K72" s="26" t="s">
        <v>25</v>
      </c>
      <c r="L72" s="26" t="s">
        <v>25</v>
      </c>
      <c r="M72" s="26"/>
      <c r="N72" s="26" t="s">
        <v>25</v>
      </c>
      <c r="O72" s="26"/>
    </row>
    <row r="73" ht="15.75" customHeight="1">
      <c r="A73" s="20"/>
      <c r="B73" s="21">
        <v>69.0</v>
      </c>
      <c r="C73" s="30" t="s">
        <v>156</v>
      </c>
      <c r="D73" s="30" t="s">
        <v>157</v>
      </c>
      <c r="E73" s="70" t="str">
        <f t="shared" si="2"/>
        <v>9번 중 9번 참여</v>
      </c>
      <c r="F73" s="71">
        <f t="shared" si="3"/>
        <v>1</v>
      </c>
      <c r="G73" s="26" t="s">
        <v>25</v>
      </c>
      <c r="H73" s="26" t="s">
        <v>25</v>
      </c>
      <c r="I73" s="26" t="s">
        <v>25</v>
      </c>
      <c r="J73" s="26" t="s">
        <v>25</v>
      </c>
      <c r="K73" s="26" t="s">
        <v>25</v>
      </c>
      <c r="L73" s="26" t="s">
        <v>25</v>
      </c>
      <c r="M73" s="26" t="s">
        <v>25</v>
      </c>
      <c r="N73" s="26" t="s">
        <v>25</v>
      </c>
      <c r="O73" s="26" t="s">
        <v>25</v>
      </c>
    </row>
    <row r="74" ht="15.75" customHeight="1">
      <c r="A74" s="28"/>
      <c r="B74" s="29">
        <v>70.0</v>
      </c>
      <c r="C74" s="39" t="s">
        <v>427</v>
      </c>
      <c r="D74" s="39" t="s">
        <v>428</v>
      </c>
      <c r="E74" s="70" t="str">
        <f t="shared" si="2"/>
        <v>9번 중 9번 참여</v>
      </c>
      <c r="F74" s="71">
        <f t="shared" si="3"/>
        <v>1</v>
      </c>
      <c r="G74" s="26" t="s">
        <v>25</v>
      </c>
      <c r="H74" s="26" t="s">
        <v>25</v>
      </c>
      <c r="I74" s="26" t="s">
        <v>25</v>
      </c>
      <c r="J74" s="26" t="s">
        <v>25</v>
      </c>
      <c r="K74" s="26" t="s">
        <v>25</v>
      </c>
      <c r="L74" s="26" t="s">
        <v>25</v>
      </c>
      <c r="M74" s="26" t="s">
        <v>25</v>
      </c>
      <c r="N74" s="26" t="s">
        <v>25</v>
      </c>
      <c r="O74" s="26" t="s">
        <v>25</v>
      </c>
    </row>
    <row r="75" ht="15.75" customHeight="1">
      <c r="A75" s="20"/>
      <c r="B75" s="21">
        <v>71.0</v>
      </c>
      <c r="C75" s="30" t="s">
        <v>429</v>
      </c>
      <c r="D75" s="30" t="s">
        <v>430</v>
      </c>
      <c r="E75" s="70" t="str">
        <f t="shared" si="2"/>
        <v/>
      </c>
      <c r="F75" s="71" t="str">
        <f t="shared" si="3"/>
        <v/>
      </c>
      <c r="G75" s="26"/>
      <c r="H75" s="26"/>
      <c r="I75" s="26"/>
      <c r="J75" s="26"/>
      <c r="K75" s="26"/>
      <c r="L75" s="26"/>
      <c r="M75" s="26"/>
      <c r="N75" s="26"/>
      <c r="O75" s="26"/>
    </row>
    <row r="76" ht="15.75" customHeight="1">
      <c r="A76" s="28"/>
      <c r="B76" s="29">
        <v>72.0</v>
      </c>
      <c r="C76" s="22" t="s">
        <v>162</v>
      </c>
      <c r="D76" s="22" t="s">
        <v>163</v>
      </c>
      <c r="E76" s="70" t="str">
        <f t="shared" si="2"/>
        <v>9번 중 8번 참여</v>
      </c>
      <c r="F76" s="71">
        <f t="shared" si="3"/>
        <v>0.8888888889</v>
      </c>
      <c r="G76" s="26" t="s">
        <v>25</v>
      </c>
      <c r="H76" s="26" t="s">
        <v>25</v>
      </c>
      <c r="I76" s="26" t="s">
        <v>25</v>
      </c>
      <c r="J76" s="26" t="s">
        <v>25</v>
      </c>
      <c r="K76" s="26" t="s">
        <v>25</v>
      </c>
      <c r="L76" s="26" t="s">
        <v>25</v>
      </c>
      <c r="M76" s="26" t="s">
        <v>25</v>
      </c>
      <c r="N76" s="26" t="s">
        <v>25</v>
      </c>
      <c r="O76" s="26"/>
    </row>
    <row r="77" ht="15.75" customHeight="1">
      <c r="A77" s="20"/>
      <c r="B77" s="21">
        <v>73.0</v>
      </c>
      <c r="C77" s="22" t="s">
        <v>164</v>
      </c>
      <c r="D77" s="22" t="s">
        <v>165</v>
      </c>
      <c r="E77" s="70" t="str">
        <f t="shared" si="2"/>
        <v>9번 중 9번 참여</v>
      </c>
      <c r="F77" s="71">
        <f t="shared" si="3"/>
        <v>1</v>
      </c>
      <c r="G77" s="26" t="s">
        <v>25</v>
      </c>
      <c r="H77" s="26" t="s">
        <v>25</v>
      </c>
      <c r="I77" s="26" t="s">
        <v>25</v>
      </c>
      <c r="J77" s="26" t="s">
        <v>25</v>
      </c>
      <c r="K77" s="26" t="s">
        <v>25</v>
      </c>
      <c r="L77" s="26" t="s">
        <v>25</v>
      </c>
      <c r="M77" s="26" t="s">
        <v>25</v>
      </c>
      <c r="N77" s="26" t="s">
        <v>25</v>
      </c>
      <c r="O77" s="26" t="s">
        <v>25</v>
      </c>
    </row>
    <row r="78" ht="15.75" customHeight="1">
      <c r="A78" s="28"/>
      <c r="B78" s="29">
        <v>74.0</v>
      </c>
      <c r="C78" s="22" t="s">
        <v>66</v>
      </c>
      <c r="D78" s="30" t="s">
        <v>67</v>
      </c>
      <c r="E78" s="70" t="str">
        <f t="shared" si="2"/>
        <v>9번 중 8번 참여</v>
      </c>
      <c r="F78" s="71">
        <f t="shared" si="3"/>
        <v>0.8888888889</v>
      </c>
      <c r="G78" s="26" t="s">
        <v>25</v>
      </c>
      <c r="H78" s="26" t="s">
        <v>25</v>
      </c>
      <c r="I78" s="26" t="s">
        <v>25</v>
      </c>
      <c r="J78" s="26" t="s">
        <v>25</v>
      </c>
      <c r="K78" s="26" t="s">
        <v>25</v>
      </c>
      <c r="L78" s="26" t="s">
        <v>25</v>
      </c>
      <c r="M78" s="26" t="s">
        <v>25</v>
      </c>
      <c r="N78" s="26" t="s">
        <v>25</v>
      </c>
      <c r="O78" s="26"/>
    </row>
    <row r="79" ht="15.75" customHeight="1">
      <c r="A79" s="20"/>
      <c r="B79" s="21">
        <v>75.0</v>
      </c>
      <c r="C79" s="30" t="s">
        <v>134</v>
      </c>
      <c r="D79" s="153" t="s">
        <v>431</v>
      </c>
      <c r="E79" s="70" t="str">
        <f t="shared" si="2"/>
        <v>9번 중 1번 참여</v>
      </c>
      <c r="F79" s="71">
        <f t="shared" si="3"/>
        <v>0.1111111111</v>
      </c>
      <c r="G79" s="26" t="s">
        <v>25</v>
      </c>
      <c r="H79" s="26"/>
      <c r="I79" s="26"/>
      <c r="J79" s="26"/>
      <c r="K79" s="26"/>
      <c r="L79" s="26"/>
      <c r="M79" s="26"/>
      <c r="N79" s="26"/>
      <c r="O79" s="26"/>
    </row>
    <row r="80" ht="15.75" customHeight="1">
      <c r="A80" s="28"/>
      <c r="B80" s="29">
        <v>76.0</v>
      </c>
      <c r="C80" s="22" t="s">
        <v>154</v>
      </c>
      <c r="D80" s="22" t="s">
        <v>155</v>
      </c>
      <c r="E80" s="70" t="str">
        <f t="shared" si="2"/>
        <v>9번 중 9번 참여</v>
      </c>
      <c r="F80" s="71">
        <f t="shared" si="3"/>
        <v>1</v>
      </c>
      <c r="G80" s="26" t="s">
        <v>25</v>
      </c>
      <c r="H80" s="26" t="s">
        <v>25</v>
      </c>
      <c r="I80" s="26" t="s">
        <v>25</v>
      </c>
      <c r="J80" s="26" t="s">
        <v>25</v>
      </c>
      <c r="K80" s="26" t="s">
        <v>25</v>
      </c>
      <c r="L80" s="26" t="s">
        <v>25</v>
      </c>
      <c r="M80" s="26" t="s">
        <v>25</v>
      </c>
      <c r="N80" s="26" t="s">
        <v>25</v>
      </c>
      <c r="O80" s="26" t="s">
        <v>25</v>
      </c>
    </row>
    <row r="81" ht="15.75" customHeight="1">
      <c r="A81" s="20"/>
      <c r="B81" s="21">
        <v>77.0</v>
      </c>
      <c r="C81" s="30" t="s">
        <v>432</v>
      </c>
      <c r="D81" s="30" t="s">
        <v>433</v>
      </c>
      <c r="E81" s="70" t="str">
        <f t="shared" si="2"/>
        <v/>
      </c>
      <c r="F81" s="71" t="str">
        <f t="shared" si="3"/>
        <v/>
      </c>
      <c r="G81" s="26"/>
      <c r="H81" s="26"/>
      <c r="I81" s="26"/>
      <c r="J81" s="26"/>
      <c r="K81" s="26"/>
      <c r="L81" s="26"/>
      <c r="M81" s="26"/>
      <c r="N81" s="26"/>
      <c r="O81" s="26"/>
    </row>
    <row r="82" ht="15.75" customHeight="1">
      <c r="A82" s="28"/>
      <c r="B82" s="29">
        <v>78.0</v>
      </c>
      <c r="C82" s="30" t="s">
        <v>170</v>
      </c>
      <c r="D82" s="30" t="s">
        <v>171</v>
      </c>
      <c r="E82" s="70" t="str">
        <f t="shared" si="2"/>
        <v>9번 중 9번 참여</v>
      </c>
      <c r="F82" s="71">
        <f t="shared" si="3"/>
        <v>1</v>
      </c>
      <c r="G82" s="26" t="s">
        <v>25</v>
      </c>
      <c r="H82" s="26" t="s">
        <v>25</v>
      </c>
      <c r="I82" s="26" t="s">
        <v>25</v>
      </c>
      <c r="J82" s="26" t="s">
        <v>25</v>
      </c>
      <c r="K82" s="26" t="s">
        <v>25</v>
      </c>
      <c r="L82" s="26" t="s">
        <v>25</v>
      </c>
      <c r="M82" s="26" t="s">
        <v>25</v>
      </c>
      <c r="N82" s="26" t="s">
        <v>25</v>
      </c>
      <c r="O82" s="26" t="s">
        <v>25</v>
      </c>
    </row>
    <row r="83" ht="15.75" customHeight="1">
      <c r="A83" s="20"/>
      <c r="B83" s="21">
        <v>79.0</v>
      </c>
      <c r="C83" s="30" t="s">
        <v>172</v>
      </c>
      <c r="D83" s="30" t="s">
        <v>173</v>
      </c>
      <c r="E83" s="70" t="str">
        <f t="shared" si="2"/>
        <v>9번 중 9번 참여</v>
      </c>
      <c r="F83" s="71">
        <f t="shared" si="3"/>
        <v>1</v>
      </c>
      <c r="G83" s="26" t="s">
        <v>25</v>
      </c>
      <c r="H83" s="26" t="s">
        <v>25</v>
      </c>
      <c r="I83" s="26" t="s">
        <v>25</v>
      </c>
      <c r="J83" s="26" t="s">
        <v>25</v>
      </c>
      <c r="K83" s="26" t="s">
        <v>25</v>
      </c>
      <c r="L83" s="26" t="s">
        <v>25</v>
      </c>
      <c r="M83" s="26" t="s">
        <v>25</v>
      </c>
      <c r="N83" s="26" t="s">
        <v>25</v>
      </c>
      <c r="O83" s="26" t="s">
        <v>25</v>
      </c>
    </row>
    <row r="84" ht="15.75" customHeight="1">
      <c r="A84" s="28"/>
      <c r="B84" s="29">
        <v>80.0</v>
      </c>
      <c r="C84" s="155" t="s">
        <v>424</v>
      </c>
      <c r="D84" s="22" t="s">
        <v>425</v>
      </c>
      <c r="E84" s="70" t="str">
        <f t="shared" si="2"/>
        <v>9번 중 2번 참여</v>
      </c>
      <c r="F84" s="71">
        <f t="shared" si="3"/>
        <v>0.2222222222</v>
      </c>
      <c r="G84" s="26" t="s">
        <v>25</v>
      </c>
      <c r="H84" s="26" t="s">
        <v>25</v>
      </c>
      <c r="I84" s="26"/>
      <c r="J84" s="26"/>
      <c r="K84" s="26"/>
      <c r="L84" s="26"/>
      <c r="M84" s="26"/>
      <c r="N84" s="26"/>
      <c r="O84" s="26"/>
    </row>
    <row r="85" ht="15.75" customHeight="1">
      <c r="A85" s="20"/>
      <c r="B85" s="21">
        <v>81.0</v>
      </c>
      <c r="C85" s="155" t="s">
        <v>341</v>
      </c>
      <c r="D85" s="155" t="s">
        <v>342</v>
      </c>
      <c r="E85" s="70" t="str">
        <f t="shared" si="2"/>
        <v>9번 중 4번 참여</v>
      </c>
      <c r="F85" s="71">
        <f t="shared" si="3"/>
        <v>0.4444444444</v>
      </c>
      <c r="G85" s="26" t="s">
        <v>25</v>
      </c>
      <c r="H85" s="26" t="s">
        <v>25</v>
      </c>
      <c r="I85" s="26" t="s">
        <v>25</v>
      </c>
      <c r="J85" s="26"/>
      <c r="K85" s="26"/>
      <c r="L85" s="26"/>
      <c r="M85" s="26" t="s">
        <v>25</v>
      </c>
      <c r="N85" s="26"/>
      <c r="O85" s="26"/>
    </row>
    <row r="86" ht="15.75" customHeight="1">
      <c r="A86" s="28"/>
      <c r="B86" s="29">
        <v>82.0</v>
      </c>
      <c r="C86" s="22" t="s">
        <v>174</v>
      </c>
      <c r="D86" s="149" t="s">
        <v>175</v>
      </c>
      <c r="E86" s="70" t="str">
        <f t="shared" si="2"/>
        <v>9번 중 3번 참여</v>
      </c>
      <c r="F86" s="71">
        <f t="shared" si="3"/>
        <v>0.3333333333</v>
      </c>
      <c r="G86" s="26" t="s">
        <v>25</v>
      </c>
      <c r="H86" s="26" t="s">
        <v>25</v>
      </c>
      <c r="I86" s="26"/>
      <c r="J86" s="26"/>
      <c r="K86" s="26"/>
      <c r="L86" s="26"/>
      <c r="M86" s="26"/>
      <c r="N86" s="26"/>
      <c r="O86" s="26" t="s">
        <v>25</v>
      </c>
    </row>
    <row r="87" ht="15.75" customHeight="1">
      <c r="A87" s="20"/>
      <c r="B87" s="21">
        <v>83.0</v>
      </c>
      <c r="C87" s="30" t="s">
        <v>168</v>
      </c>
      <c r="D87" s="30" t="s">
        <v>169</v>
      </c>
      <c r="E87" s="70" t="str">
        <f t="shared" si="2"/>
        <v>9번 중 6번 참여</v>
      </c>
      <c r="F87" s="71">
        <f t="shared" si="3"/>
        <v>0.6666666667</v>
      </c>
      <c r="G87" s="26" t="s">
        <v>25</v>
      </c>
      <c r="H87" s="26" t="s">
        <v>25</v>
      </c>
      <c r="I87" s="26" t="s">
        <v>25</v>
      </c>
      <c r="J87" s="26" t="s">
        <v>25</v>
      </c>
      <c r="K87" s="26" t="s">
        <v>25</v>
      </c>
      <c r="L87" s="26"/>
      <c r="M87" s="26"/>
      <c r="N87" s="26" t="s">
        <v>25</v>
      </c>
      <c r="O87" s="26"/>
    </row>
    <row r="88" ht="15.75" customHeight="1">
      <c r="A88" s="28"/>
      <c r="B88" s="29">
        <v>84.0</v>
      </c>
      <c r="C88" s="22" t="s">
        <v>386</v>
      </c>
      <c r="D88" s="22" t="s">
        <v>387</v>
      </c>
      <c r="E88" s="70" t="str">
        <f t="shared" si="2"/>
        <v/>
      </c>
      <c r="F88" s="71" t="str">
        <f t="shared" si="3"/>
        <v/>
      </c>
      <c r="G88" s="26"/>
      <c r="H88" s="26"/>
      <c r="I88" s="26"/>
      <c r="J88" s="26"/>
      <c r="K88" s="26"/>
      <c r="L88" s="26"/>
      <c r="M88" s="26"/>
      <c r="N88" s="26"/>
      <c r="O88" s="26"/>
    </row>
    <row r="89" ht="15.75" customHeight="1">
      <c r="A89" s="20"/>
      <c r="B89" s="21">
        <v>85.0</v>
      </c>
      <c r="C89" s="30" t="s">
        <v>458</v>
      </c>
      <c r="D89" s="30" t="s">
        <v>459</v>
      </c>
      <c r="E89" s="70" t="str">
        <f t="shared" si="2"/>
        <v/>
      </c>
      <c r="F89" s="71" t="str">
        <f t="shared" si="3"/>
        <v/>
      </c>
      <c r="G89" s="26"/>
      <c r="H89" s="26"/>
      <c r="I89" s="26"/>
      <c r="J89" s="26"/>
      <c r="K89" s="26"/>
      <c r="L89" s="26"/>
      <c r="M89" s="26"/>
      <c r="N89" s="26"/>
      <c r="O89" s="26"/>
    </row>
    <row r="90" ht="15.75" customHeight="1">
      <c r="A90" s="28"/>
      <c r="B90" s="29">
        <v>86.0</v>
      </c>
      <c r="C90" s="22" t="s">
        <v>461</v>
      </c>
      <c r="D90" s="22" t="s">
        <v>377</v>
      </c>
      <c r="E90" s="70" t="str">
        <f t="shared" si="2"/>
        <v/>
      </c>
      <c r="F90" s="71" t="str">
        <f t="shared" si="3"/>
        <v/>
      </c>
      <c r="G90" s="26"/>
      <c r="H90" s="26"/>
      <c r="I90" s="26"/>
      <c r="J90" s="26"/>
      <c r="K90" s="26"/>
      <c r="L90" s="26"/>
      <c r="M90" s="26"/>
      <c r="N90" s="26"/>
      <c r="O90" s="26"/>
    </row>
    <row r="91" ht="15.75" customHeight="1">
      <c r="A91" s="20"/>
      <c r="B91" s="21">
        <v>87.0</v>
      </c>
      <c r="C91" s="166" t="s">
        <v>180</v>
      </c>
      <c r="D91" s="166" t="s">
        <v>181</v>
      </c>
      <c r="E91" s="70" t="str">
        <f t="shared" si="2"/>
        <v>9번 중 9번 참여</v>
      </c>
      <c r="F91" s="71">
        <f t="shared" si="3"/>
        <v>1</v>
      </c>
      <c r="G91" s="26" t="s">
        <v>25</v>
      </c>
      <c r="H91" s="26" t="s">
        <v>25</v>
      </c>
      <c r="I91" s="26" t="s">
        <v>25</v>
      </c>
      <c r="J91" s="26" t="s">
        <v>25</v>
      </c>
      <c r="K91" s="26" t="s">
        <v>25</v>
      </c>
      <c r="L91" s="26" t="s">
        <v>25</v>
      </c>
      <c r="M91" s="26" t="s">
        <v>25</v>
      </c>
      <c r="N91" s="26" t="s">
        <v>25</v>
      </c>
      <c r="O91" s="26" t="s">
        <v>25</v>
      </c>
    </row>
    <row r="92" ht="15.75" customHeight="1">
      <c r="A92" s="28"/>
      <c r="B92" s="29">
        <v>88.0</v>
      </c>
      <c r="C92" s="167" t="s">
        <v>462</v>
      </c>
      <c r="D92" s="167" t="s">
        <v>463</v>
      </c>
      <c r="E92" s="70" t="str">
        <f t="shared" si="2"/>
        <v>9번 중 9번 참여</v>
      </c>
      <c r="F92" s="71">
        <f t="shared" si="3"/>
        <v>1</v>
      </c>
      <c r="G92" s="26" t="s">
        <v>25</v>
      </c>
      <c r="H92" s="26" t="s">
        <v>25</v>
      </c>
      <c r="I92" s="26" t="s">
        <v>25</v>
      </c>
      <c r="J92" s="26" t="s">
        <v>25</v>
      </c>
      <c r="K92" s="26" t="s">
        <v>25</v>
      </c>
      <c r="L92" s="26" t="s">
        <v>25</v>
      </c>
      <c r="M92" s="26" t="s">
        <v>25</v>
      </c>
      <c r="N92" s="26" t="s">
        <v>25</v>
      </c>
      <c r="O92" s="26" t="s">
        <v>25</v>
      </c>
    </row>
    <row r="93" ht="15.75" customHeight="1">
      <c r="A93" s="20"/>
      <c r="B93" s="21">
        <v>89.0</v>
      </c>
      <c r="C93" s="168" t="s">
        <v>464</v>
      </c>
      <c r="D93" s="169" t="s">
        <v>465</v>
      </c>
      <c r="E93" s="70" t="str">
        <f t="shared" si="2"/>
        <v>9번 중 9번 참여</v>
      </c>
      <c r="F93" s="71">
        <f t="shared" si="3"/>
        <v>1</v>
      </c>
      <c r="G93" s="26" t="s">
        <v>25</v>
      </c>
      <c r="H93" s="26" t="s">
        <v>25</v>
      </c>
      <c r="I93" s="26" t="s">
        <v>25</v>
      </c>
      <c r="J93" s="26" t="s">
        <v>25</v>
      </c>
      <c r="K93" s="26" t="s">
        <v>25</v>
      </c>
      <c r="L93" s="26" t="s">
        <v>25</v>
      </c>
      <c r="M93" s="26" t="s">
        <v>25</v>
      </c>
      <c r="N93" s="26" t="s">
        <v>25</v>
      </c>
      <c r="O93" s="26" t="s">
        <v>25</v>
      </c>
    </row>
    <row r="94" ht="15.75" customHeight="1">
      <c r="A94" s="28"/>
      <c r="B94" s="29">
        <v>90.0</v>
      </c>
      <c r="C94" s="167" t="s">
        <v>466</v>
      </c>
      <c r="D94" s="167" t="s">
        <v>467</v>
      </c>
      <c r="E94" s="70" t="str">
        <f t="shared" si="2"/>
        <v>9번 중 2번 참여</v>
      </c>
      <c r="F94" s="71">
        <f t="shared" si="3"/>
        <v>0.2222222222</v>
      </c>
      <c r="G94" s="26" t="s">
        <v>25</v>
      </c>
      <c r="H94" s="26"/>
      <c r="I94" s="26"/>
      <c r="J94" s="26"/>
      <c r="K94" s="26" t="s">
        <v>25</v>
      </c>
      <c r="L94" s="26"/>
      <c r="M94" s="26"/>
      <c r="N94" s="26"/>
      <c r="O94" s="26"/>
    </row>
    <row r="95" ht="15.75" customHeight="1">
      <c r="A95" s="20"/>
      <c r="B95" s="21">
        <v>91.0</v>
      </c>
      <c r="C95" s="167" t="s">
        <v>182</v>
      </c>
      <c r="D95" s="167" t="s">
        <v>183</v>
      </c>
      <c r="E95" s="70" t="str">
        <f t="shared" si="2"/>
        <v>9번 중 8번 참여</v>
      </c>
      <c r="F95" s="71">
        <f t="shared" si="3"/>
        <v>0.8888888889</v>
      </c>
      <c r="G95" s="26" t="s">
        <v>25</v>
      </c>
      <c r="H95" s="26" t="s">
        <v>25</v>
      </c>
      <c r="I95" s="26" t="s">
        <v>25</v>
      </c>
      <c r="J95" s="26" t="s">
        <v>25</v>
      </c>
      <c r="K95" s="26"/>
      <c r="L95" s="26" t="s">
        <v>25</v>
      </c>
      <c r="M95" s="26" t="s">
        <v>25</v>
      </c>
      <c r="N95" s="26" t="s">
        <v>25</v>
      </c>
      <c r="O95" s="26" t="s">
        <v>25</v>
      </c>
    </row>
    <row r="96" ht="15.75" customHeight="1">
      <c r="A96" s="28"/>
      <c r="B96" s="29">
        <v>92.0</v>
      </c>
      <c r="C96" s="194" t="s">
        <v>491</v>
      </c>
      <c r="D96" s="186" t="s">
        <v>492</v>
      </c>
      <c r="E96" s="70" t="str">
        <f t="shared" si="2"/>
        <v>9번 중 9번 참여</v>
      </c>
      <c r="F96" s="71">
        <f t="shared" si="3"/>
        <v>1</v>
      </c>
      <c r="G96" s="26" t="s">
        <v>25</v>
      </c>
      <c r="H96" s="26" t="s">
        <v>25</v>
      </c>
      <c r="I96" s="26" t="s">
        <v>25</v>
      </c>
      <c r="J96" s="26" t="s">
        <v>25</v>
      </c>
      <c r="K96" s="26" t="s">
        <v>25</v>
      </c>
      <c r="L96" s="26" t="s">
        <v>25</v>
      </c>
      <c r="M96" s="26" t="s">
        <v>25</v>
      </c>
      <c r="N96" s="26" t="s">
        <v>25</v>
      </c>
      <c r="O96" s="26" t="s">
        <v>25</v>
      </c>
    </row>
    <row r="97" ht="15.75" customHeight="1">
      <c r="A97" s="20"/>
      <c r="B97" s="21">
        <v>93.0</v>
      </c>
      <c r="C97" s="44" t="s">
        <v>493</v>
      </c>
      <c r="D97" s="187" t="s">
        <v>494</v>
      </c>
      <c r="E97" s="70" t="str">
        <f t="shared" si="2"/>
        <v/>
      </c>
      <c r="F97" s="71" t="str">
        <f t="shared" si="3"/>
        <v/>
      </c>
      <c r="G97" s="26"/>
      <c r="H97" s="26"/>
      <c r="I97" s="26"/>
      <c r="J97" s="26"/>
      <c r="K97" s="26"/>
      <c r="L97" s="26"/>
      <c r="M97" s="26"/>
      <c r="N97" s="26"/>
      <c r="O97" s="26"/>
    </row>
    <row r="98" ht="15.75" customHeight="1">
      <c r="A98" s="28"/>
      <c r="B98" s="29">
        <v>94.0</v>
      </c>
      <c r="C98" s="43" t="s">
        <v>126</v>
      </c>
      <c r="D98" s="87" t="s">
        <v>127</v>
      </c>
      <c r="E98" s="70" t="str">
        <f t="shared" si="2"/>
        <v>9번 중 6번 참여</v>
      </c>
      <c r="F98" s="71">
        <f t="shared" si="3"/>
        <v>0.6666666667</v>
      </c>
      <c r="G98" s="26" t="s">
        <v>25</v>
      </c>
      <c r="H98" s="26" t="s">
        <v>25</v>
      </c>
      <c r="I98" s="26"/>
      <c r="J98" s="26"/>
      <c r="K98" s="26" t="s">
        <v>25</v>
      </c>
      <c r="L98" s="26" t="s">
        <v>25</v>
      </c>
      <c r="M98" s="26"/>
      <c r="N98" s="26" t="s">
        <v>25</v>
      </c>
      <c r="O98" s="26" t="s">
        <v>25</v>
      </c>
    </row>
    <row r="99" ht="15.75" customHeight="1">
      <c r="A99" s="20"/>
      <c r="B99" s="21">
        <v>95.0</v>
      </c>
      <c r="C99" s="168" t="s">
        <v>495</v>
      </c>
      <c r="D99" s="168" t="s">
        <v>208</v>
      </c>
      <c r="E99" s="70" t="str">
        <f t="shared" si="2"/>
        <v>9번 중 5번 참여</v>
      </c>
      <c r="F99" s="71">
        <f t="shared" si="3"/>
        <v>0.5555555556</v>
      </c>
      <c r="G99" s="26"/>
      <c r="H99" s="26" t="s">
        <v>25</v>
      </c>
      <c r="I99" s="26"/>
      <c r="J99" s="26" t="s">
        <v>25</v>
      </c>
      <c r="K99" s="26" t="s">
        <v>25</v>
      </c>
      <c r="L99" s="26" t="s">
        <v>25</v>
      </c>
      <c r="M99" s="26" t="s">
        <v>25</v>
      </c>
      <c r="N99" s="26"/>
      <c r="O99" s="26"/>
    </row>
    <row r="100" ht="15.75" customHeight="1">
      <c r="A100" s="28"/>
      <c r="B100" s="29">
        <v>96.0</v>
      </c>
      <c r="C100" s="167" t="s">
        <v>178</v>
      </c>
      <c r="D100" s="167" t="s">
        <v>516</v>
      </c>
      <c r="E100" s="70" t="str">
        <f t="shared" si="2"/>
        <v/>
      </c>
      <c r="F100" s="71" t="str">
        <f t="shared" si="3"/>
        <v/>
      </c>
      <c r="G100" s="26"/>
      <c r="H100" s="26"/>
      <c r="I100" s="26"/>
      <c r="J100" s="26"/>
      <c r="K100" s="26"/>
      <c r="L100" s="26"/>
      <c r="M100" s="26"/>
      <c r="N100" s="26"/>
      <c r="O100" s="26"/>
    </row>
    <row r="101" ht="15.75" customHeight="1">
      <c r="A101" s="20"/>
      <c r="B101" s="21">
        <v>97.0</v>
      </c>
      <c r="C101" s="33"/>
      <c r="D101" s="33"/>
      <c r="E101" s="70" t="str">
        <f t="shared" si="2"/>
        <v/>
      </c>
      <c r="F101" s="71" t="str">
        <f t="shared" si="3"/>
        <v/>
      </c>
      <c r="G101" s="26"/>
      <c r="H101" s="26"/>
      <c r="I101" s="26"/>
      <c r="J101" s="26"/>
      <c r="K101" s="26"/>
      <c r="L101" s="26"/>
      <c r="M101" s="26"/>
      <c r="N101" s="26"/>
      <c r="O101" s="26"/>
    </row>
    <row r="102" ht="15.75" customHeight="1">
      <c r="A102" s="28"/>
      <c r="B102" s="29">
        <v>98.0</v>
      </c>
      <c r="C102" s="35"/>
      <c r="D102" s="35"/>
      <c r="E102" s="70" t="str">
        <f t="shared" si="2"/>
        <v/>
      </c>
      <c r="F102" s="71" t="str">
        <f t="shared" si="3"/>
        <v/>
      </c>
      <c r="G102" s="26"/>
      <c r="H102" s="26"/>
      <c r="I102" s="26"/>
      <c r="J102" s="26"/>
      <c r="K102" s="26"/>
      <c r="L102" s="26"/>
      <c r="M102" s="26"/>
      <c r="N102" s="26"/>
      <c r="O102" s="26"/>
    </row>
    <row r="103" ht="15.75" customHeight="1">
      <c r="A103" s="20"/>
      <c r="B103" s="21">
        <v>99.0</v>
      </c>
      <c r="C103" s="33"/>
      <c r="D103" s="33"/>
      <c r="E103" s="70" t="str">
        <f t="shared" si="2"/>
        <v/>
      </c>
      <c r="F103" s="71" t="str">
        <f t="shared" si="3"/>
        <v/>
      </c>
      <c r="G103" s="26"/>
      <c r="H103" s="26"/>
      <c r="I103" s="26"/>
      <c r="J103" s="26"/>
      <c r="K103" s="26"/>
      <c r="L103" s="26"/>
      <c r="M103" s="26"/>
      <c r="N103" s="26"/>
      <c r="O103" s="26"/>
    </row>
    <row r="104" ht="15.75" customHeight="1">
      <c r="A104" s="28"/>
      <c r="B104" s="29">
        <v>100.0</v>
      </c>
      <c r="C104" s="35"/>
      <c r="D104" s="35"/>
      <c r="E104" s="70" t="str">
        <f t="shared" si="2"/>
        <v/>
      </c>
      <c r="F104" s="71" t="str">
        <f t="shared" si="3"/>
        <v/>
      </c>
      <c r="G104" s="26"/>
      <c r="H104" s="26"/>
      <c r="I104" s="26"/>
      <c r="J104" s="26"/>
      <c r="K104" s="26"/>
      <c r="L104" s="26"/>
      <c r="M104" s="26"/>
      <c r="N104" s="26"/>
      <c r="O104" s="26"/>
    </row>
    <row r="105" ht="15.75" customHeight="1">
      <c r="A105" s="20"/>
      <c r="B105" s="21">
        <v>101.0</v>
      </c>
      <c r="C105" s="33"/>
      <c r="D105" s="33"/>
      <c r="E105" s="70" t="str">
        <f t="shared" si="2"/>
        <v/>
      </c>
      <c r="F105" s="71" t="str">
        <f t="shared" si="3"/>
        <v/>
      </c>
      <c r="G105" s="26"/>
      <c r="H105" s="26"/>
      <c r="I105" s="26"/>
      <c r="J105" s="26"/>
      <c r="K105" s="26"/>
      <c r="L105" s="26"/>
      <c r="M105" s="26"/>
      <c r="N105" s="26"/>
      <c r="O105" s="26"/>
    </row>
    <row r="106" ht="15.75" customHeight="1">
      <c r="A106" s="28"/>
      <c r="B106" s="29">
        <v>102.0</v>
      </c>
      <c r="C106" s="35"/>
      <c r="D106" s="35"/>
      <c r="E106" s="70" t="str">
        <f t="shared" si="2"/>
        <v/>
      </c>
      <c r="F106" s="71" t="str">
        <f t="shared" si="3"/>
        <v/>
      </c>
      <c r="G106" s="26"/>
      <c r="H106" s="26"/>
      <c r="I106" s="26"/>
      <c r="J106" s="26"/>
      <c r="K106" s="26"/>
      <c r="L106" s="26"/>
      <c r="M106" s="26"/>
      <c r="N106" s="26"/>
      <c r="O106" s="26"/>
    </row>
    <row r="107" ht="15.75" customHeight="1">
      <c r="A107" s="20"/>
      <c r="B107" s="21">
        <v>103.0</v>
      </c>
      <c r="C107" s="33"/>
      <c r="D107" s="33"/>
      <c r="E107" s="70" t="str">
        <f t="shared" si="2"/>
        <v/>
      </c>
      <c r="F107" s="71" t="str">
        <f t="shared" si="3"/>
        <v/>
      </c>
      <c r="G107" s="26"/>
      <c r="H107" s="26"/>
      <c r="I107" s="26"/>
      <c r="J107" s="26"/>
      <c r="K107" s="26"/>
      <c r="L107" s="26"/>
      <c r="M107" s="26"/>
      <c r="N107" s="26"/>
      <c r="O107" s="26"/>
    </row>
    <row r="108" ht="15.75" customHeight="1">
      <c r="A108" s="28"/>
      <c r="B108" s="29">
        <v>104.0</v>
      </c>
      <c r="C108" s="35"/>
      <c r="D108" s="35"/>
      <c r="E108" s="70" t="str">
        <f t="shared" si="2"/>
        <v/>
      </c>
      <c r="F108" s="71" t="str">
        <f t="shared" si="3"/>
        <v/>
      </c>
      <c r="G108" s="26"/>
      <c r="H108" s="26"/>
      <c r="I108" s="26"/>
      <c r="J108" s="26"/>
      <c r="K108" s="26"/>
      <c r="L108" s="26"/>
      <c r="M108" s="26"/>
      <c r="N108" s="26"/>
      <c r="O108" s="26"/>
    </row>
    <row r="109" ht="15.75" customHeight="1">
      <c r="A109" s="20"/>
      <c r="B109" s="21">
        <v>105.0</v>
      </c>
      <c r="C109" s="33"/>
      <c r="D109" s="33"/>
      <c r="E109" s="70" t="str">
        <f t="shared" si="2"/>
        <v/>
      </c>
      <c r="F109" s="71" t="str">
        <f t="shared" si="3"/>
        <v/>
      </c>
      <c r="G109" s="26"/>
      <c r="H109" s="26"/>
      <c r="I109" s="26"/>
      <c r="J109" s="26"/>
      <c r="K109" s="26"/>
      <c r="L109" s="26"/>
      <c r="M109" s="26"/>
      <c r="N109" s="26"/>
      <c r="O109" s="26"/>
    </row>
    <row r="110" ht="15.75" customHeight="1">
      <c r="A110" s="28"/>
      <c r="B110" s="29">
        <v>106.0</v>
      </c>
      <c r="C110" s="35"/>
      <c r="D110" s="35"/>
      <c r="E110" s="70" t="str">
        <f t="shared" si="2"/>
        <v/>
      </c>
      <c r="F110" s="71" t="str">
        <f t="shared" si="3"/>
        <v/>
      </c>
      <c r="G110" s="26"/>
      <c r="H110" s="26"/>
      <c r="I110" s="26"/>
      <c r="J110" s="26"/>
      <c r="K110" s="26"/>
      <c r="L110" s="26"/>
      <c r="M110" s="26"/>
      <c r="N110" s="26"/>
      <c r="O110" s="26"/>
    </row>
    <row r="111" ht="15.75" customHeight="1">
      <c r="A111" s="20"/>
      <c r="B111" s="21">
        <v>107.0</v>
      </c>
      <c r="C111" s="33"/>
      <c r="D111" s="33"/>
      <c r="E111" s="70" t="str">
        <f t="shared" si="2"/>
        <v/>
      </c>
      <c r="F111" s="71" t="str">
        <f t="shared" si="3"/>
        <v/>
      </c>
      <c r="G111" s="26"/>
      <c r="H111" s="26"/>
      <c r="I111" s="26"/>
      <c r="J111" s="26"/>
      <c r="K111" s="26"/>
      <c r="L111" s="26"/>
      <c r="M111" s="26"/>
      <c r="N111" s="26"/>
      <c r="O111" s="26"/>
    </row>
    <row r="112" ht="15.75" customHeight="1">
      <c r="A112" s="28"/>
      <c r="B112" s="29">
        <v>108.0</v>
      </c>
      <c r="C112" s="35"/>
      <c r="D112" s="35"/>
      <c r="E112" s="70" t="str">
        <f t="shared" si="2"/>
        <v/>
      </c>
      <c r="F112" s="71" t="str">
        <f t="shared" si="3"/>
        <v/>
      </c>
      <c r="G112" s="26"/>
      <c r="H112" s="26"/>
      <c r="I112" s="26"/>
      <c r="J112" s="26"/>
      <c r="K112" s="26"/>
      <c r="L112" s="26"/>
      <c r="M112" s="26"/>
      <c r="N112" s="26"/>
      <c r="O112" s="26"/>
    </row>
    <row r="113" ht="15.75" customHeight="1">
      <c r="A113" s="20"/>
      <c r="B113" s="21">
        <v>109.0</v>
      </c>
      <c r="C113" s="33"/>
      <c r="D113" s="33"/>
      <c r="E113" s="70" t="str">
        <f t="shared" si="2"/>
        <v/>
      </c>
      <c r="F113" s="71" t="str">
        <f t="shared" si="3"/>
        <v/>
      </c>
      <c r="G113" s="26"/>
      <c r="H113" s="26"/>
      <c r="I113" s="26"/>
      <c r="J113" s="26"/>
      <c r="K113" s="26"/>
      <c r="L113" s="26"/>
      <c r="M113" s="26"/>
      <c r="N113" s="26"/>
      <c r="O113" s="26"/>
    </row>
    <row r="114" ht="15.75" customHeight="1">
      <c r="A114" s="28"/>
      <c r="B114" s="29">
        <v>110.0</v>
      </c>
      <c r="C114" s="35"/>
      <c r="D114" s="35"/>
      <c r="E114" s="70" t="str">
        <f t="shared" si="2"/>
        <v/>
      </c>
      <c r="F114" s="71" t="str">
        <f t="shared" si="3"/>
        <v/>
      </c>
      <c r="G114" s="26"/>
      <c r="H114" s="26"/>
      <c r="I114" s="26"/>
      <c r="J114" s="26"/>
      <c r="K114" s="26"/>
      <c r="L114" s="26"/>
      <c r="M114" s="26"/>
      <c r="N114" s="26"/>
      <c r="O114" s="26"/>
    </row>
    <row r="115" ht="15.75" customHeight="1">
      <c r="A115" s="20"/>
      <c r="B115" s="21">
        <v>111.0</v>
      </c>
      <c r="C115" s="33"/>
      <c r="D115" s="33"/>
      <c r="E115" s="70" t="str">
        <f t="shared" si="2"/>
        <v/>
      </c>
      <c r="F115" s="71" t="str">
        <f t="shared" si="3"/>
        <v/>
      </c>
      <c r="G115" s="26"/>
      <c r="H115" s="26"/>
      <c r="I115" s="26"/>
      <c r="J115" s="26"/>
      <c r="K115" s="26"/>
      <c r="L115" s="26"/>
      <c r="M115" s="26"/>
      <c r="N115" s="26"/>
      <c r="O115" s="26"/>
    </row>
    <row r="116" ht="15.75" customHeight="1">
      <c r="A116" s="28"/>
      <c r="B116" s="29">
        <v>112.0</v>
      </c>
      <c r="C116" s="35"/>
      <c r="D116" s="35"/>
      <c r="E116" s="70" t="str">
        <f t="shared" si="2"/>
        <v/>
      </c>
      <c r="F116" s="71" t="str">
        <f t="shared" si="3"/>
        <v/>
      </c>
      <c r="G116" s="26"/>
      <c r="H116" s="26"/>
      <c r="I116" s="26"/>
      <c r="J116" s="26"/>
      <c r="K116" s="26"/>
      <c r="L116" s="26"/>
      <c r="M116" s="26"/>
      <c r="N116" s="26"/>
      <c r="O116" s="26"/>
    </row>
    <row r="117" ht="15.75" customHeight="1">
      <c r="A117" s="20"/>
      <c r="B117" s="21">
        <v>113.0</v>
      </c>
      <c r="C117" s="33"/>
      <c r="D117" s="33"/>
      <c r="E117" s="70" t="str">
        <f t="shared" si="2"/>
        <v/>
      </c>
      <c r="F117" s="71" t="str">
        <f t="shared" si="3"/>
        <v/>
      </c>
      <c r="G117" s="26"/>
      <c r="H117" s="26"/>
      <c r="I117" s="26"/>
      <c r="J117" s="26"/>
      <c r="K117" s="26"/>
      <c r="L117" s="26"/>
      <c r="M117" s="26"/>
      <c r="N117" s="26"/>
      <c r="O117" s="26"/>
    </row>
    <row r="118" ht="15.75" customHeight="1">
      <c r="A118" s="28"/>
      <c r="B118" s="29">
        <v>114.0</v>
      </c>
      <c r="C118" s="35"/>
      <c r="D118" s="35"/>
      <c r="E118" s="70" t="str">
        <f t="shared" si="2"/>
        <v/>
      </c>
      <c r="F118" s="71" t="str">
        <f t="shared" si="3"/>
        <v/>
      </c>
      <c r="G118" s="26"/>
      <c r="H118" s="26"/>
      <c r="I118" s="26"/>
      <c r="J118" s="26"/>
      <c r="K118" s="26"/>
      <c r="L118" s="26"/>
      <c r="M118" s="26"/>
      <c r="N118" s="26"/>
      <c r="O118" s="26"/>
    </row>
    <row r="119" ht="15.75" customHeight="1">
      <c r="A119" s="20"/>
      <c r="B119" s="21">
        <v>115.0</v>
      </c>
      <c r="C119" s="33"/>
      <c r="D119" s="33"/>
      <c r="E119" s="70" t="str">
        <f t="shared" si="2"/>
        <v/>
      </c>
      <c r="F119" s="71" t="str">
        <f t="shared" si="3"/>
        <v/>
      </c>
      <c r="G119" s="26"/>
      <c r="H119" s="26"/>
      <c r="I119" s="26"/>
      <c r="J119" s="26"/>
      <c r="K119" s="26"/>
      <c r="L119" s="26"/>
      <c r="M119" s="26"/>
      <c r="N119" s="26"/>
      <c r="O119" s="26"/>
    </row>
    <row r="120" ht="15.75" customHeight="1">
      <c r="A120" s="28"/>
      <c r="B120" s="29">
        <v>116.0</v>
      </c>
      <c r="C120" s="35"/>
      <c r="D120" s="35"/>
      <c r="E120" s="70" t="str">
        <f t="shared" si="2"/>
        <v/>
      </c>
      <c r="F120" s="71" t="str">
        <f t="shared" si="3"/>
        <v/>
      </c>
      <c r="G120" s="26"/>
      <c r="H120" s="26"/>
      <c r="I120" s="26"/>
      <c r="J120" s="26"/>
      <c r="K120" s="26"/>
      <c r="L120" s="26"/>
      <c r="M120" s="26"/>
      <c r="N120" s="26"/>
      <c r="O120" s="26"/>
    </row>
    <row r="121" ht="15.75" customHeight="1">
      <c r="A121" s="20"/>
      <c r="B121" s="21">
        <v>117.0</v>
      </c>
      <c r="C121" s="33"/>
      <c r="D121" s="33"/>
      <c r="E121" s="70" t="str">
        <f t="shared" si="2"/>
        <v/>
      </c>
      <c r="F121" s="71" t="str">
        <f t="shared" si="3"/>
        <v/>
      </c>
      <c r="G121" s="26"/>
      <c r="H121" s="26"/>
      <c r="I121" s="26"/>
      <c r="J121" s="26"/>
      <c r="K121" s="26"/>
      <c r="L121" s="26"/>
      <c r="M121" s="26"/>
      <c r="N121" s="26"/>
      <c r="O121" s="26"/>
    </row>
    <row r="122" ht="15.75" customHeight="1">
      <c r="A122" s="13"/>
      <c r="B122" s="55">
        <v>118.0</v>
      </c>
      <c r="C122" s="56"/>
      <c r="D122" s="56"/>
      <c r="E122" s="92" t="str">
        <f t="shared" si="2"/>
        <v/>
      </c>
      <c r="F122" s="93" t="str">
        <f t="shared" si="3"/>
        <v/>
      </c>
      <c r="G122" s="17"/>
      <c r="H122" s="17"/>
      <c r="I122" s="17"/>
      <c r="J122" s="17"/>
      <c r="K122" s="17"/>
      <c r="L122" s="17"/>
      <c r="M122" s="17"/>
      <c r="N122" s="17"/>
      <c r="O122" s="17"/>
    </row>
    <row r="123" ht="15.75" customHeight="1">
      <c r="A123" s="13"/>
      <c r="B123" s="55">
        <v>119.0</v>
      </c>
      <c r="C123" s="56"/>
      <c r="D123" s="56"/>
      <c r="E123" s="92" t="str">
        <f t="shared" si="2"/>
        <v/>
      </c>
      <c r="F123" s="93" t="str">
        <f t="shared" si="3"/>
        <v/>
      </c>
      <c r="G123" s="17"/>
      <c r="H123" s="17"/>
      <c r="I123" s="17"/>
      <c r="J123" s="17"/>
      <c r="K123" s="17"/>
      <c r="L123" s="17"/>
      <c r="M123" s="17"/>
      <c r="N123" s="17"/>
      <c r="O123" s="17"/>
    </row>
    <row r="124" ht="15.75" customHeight="1">
      <c r="A124" s="13"/>
      <c r="B124" s="55">
        <v>120.0</v>
      </c>
      <c r="C124" s="56"/>
      <c r="D124" s="56"/>
      <c r="E124" s="92" t="str">
        <f t="shared" si="2"/>
        <v/>
      </c>
      <c r="F124" s="93" t="str">
        <f t="shared" si="3"/>
        <v/>
      </c>
      <c r="G124" s="17"/>
      <c r="H124" s="17"/>
      <c r="I124" s="17"/>
      <c r="J124" s="17"/>
      <c r="K124" s="17"/>
      <c r="L124" s="17"/>
      <c r="M124" s="17"/>
      <c r="N124" s="17"/>
      <c r="O124" s="17"/>
    </row>
    <row r="125" ht="15.75" customHeight="1">
      <c r="A125" s="13"/>
      <c r="B125" s="13"/>
      <c r="C125" s="13"/>
      <c r="D125" s="13"/>
      <c r="E125" s="13"/>
      <c r="F125" s="13"/>
      <c r="G125" s="13"/>
      <c r="H125" s="13"/>
      <c r="I125" s="13"/>
      <c r="J125" s="13"/>
      <c r="K125" s="13"/>
      <c r="L125" s="13"/>
      <c r="M125" s="13"/>
      <c r="N125" s="13"/>
      <c r="O125" s="13"/>
    </row>
    <row r="126" ht="15.75" customHeight="1">
      <c r="A126" s="13"/>
      <c r="B126" s="13"/>
      <c r="C126" s="13"/>
      <c r="D126" s="13"/>
      <c r="E126" s="13"/>
      <c r="F126" s="13"/>
      <c r="G126" s="13"/>
      <c r="H126" s="13"/>
      <c r="I126" s="13"/>
      <c r="J126" s="13"/>
      <c r="K126" s="13"/>
      <c r="L126" s="13"/>
      <c r="M126" s="13"/>
      <c r="N126" s="13"/>
      <c r="O126" s="13"/>
    </row>
    <row r="127" ht="15.75" customHeight="1">
      <c r="A127" s="13"/>
      <c r="B127" s="13"/>
      <c r="C127" s="13"/>
      <c r="D127" s="13"/>
      <c r="E127" s="13"/>
      <c r="F127" s="13"/>
      <c r="G127" s="13"/>
      <c r="H127" s="13"/>
      <c r="I127" s="13"/>
      <c r="J127" s="13"/>
      <c r="K127" s="13"/>
      <c r="L127" s="13"/>
      <c r="M127" s="13"/>
      <c r="N127" s="13"/>
      <c r="O127" s="13"/>
    </row>
    <row r="128" ht="15.75" customHeight="1">
      <c r="A128" s="13"/>
      <c r="B128" s="13"/>
      <c r="C128" s="13"/>
      <c r="D128" s="13"/>
      <c r="E128" s="13"/>
      <c r="F128" s="13"/>
      <c r="G128" s="13"/>
      <c r="H128" s="13"/>
      <c r="I128" s="13"/>
      <c r="J128" s="13"/>
      <c r="K128" s="13"/>
      <c r="L128" s="13"/>
      <c r="M128" s="13"/>
      <c r="N128" s="13"/>
      <c r="O128" s="13"/>
    </row>
    <row r="129" ht="15.75" customHeight="1">
      <c r="A129" s="13"/>
      <c r="B129" s="13"/>
      <c r="C129" s="13"/>
      <c r="D129" s="13"/>
      <c r="E129" s="13"/>
      <c r="F129" s="13"/>
      <c r="G129" s="13"/>
      <c r="H129" s="13"/>
      <c r="I129" s="13"/>
      <c r="J129" s="13"/>
      <c r="K129" s="13"/>
      <c r="L129" s="13"/>
      <c r="M129" s="13"/>
      <c r="N129" s="13"/>
      <c r="O129" s="13"/>
    </row>
    <row r="130" ht="15.75" customHeight="1">
      <c r="A130" s="13"/>
      <c r="B130" s="13"/>
      <c r="C130" s="13"/>
      <c r="D130" s="13"/>
      <c r="E130" s="13"/>
      <c r="F130" s="13"/>
      <c r="G130" s="13"/>
      <c r="H130" s="13"/>
      <c r="I130" s="13"/>
      <c r="J130" s="13"/>
      <c r="K130" s="13"/>
      <c r="L130" s="13"/>
      <c r="M130" s="13"/>
      <c r="N130" s="13"/>
      <c r="O130" s="13"/>
    </row>
    <row r="131" ht="15.75" customHeight="1">
      <c r="A131" s="13"/>
      <c r="B131" s="13"/>
      <c r="C131" s="13"/>
      <c r="D131" s="13"/>
      <c r="E131" s="13"/>
      <c r="F131" s="13"/>
      <c r="G131" s="13"/>
      <c r="H131" s="13"/>
      <c r="I131" s="13"/>
      <c r="J131" s="13"/>
      <c r="K131" s="13"/>
      <c r="L131" s="13"/>
      <c r="M131" s="13"/>
      <c r="N131" s="13"/>
      <c r="O131" s="13"/>
    </row>
    <row r="132" ht="15.75" customHeight="1">
      <c r="A132" s="13"/>
      <c r="B132" s="13"/>
      <c r="C132" s="13"/>
      <c r="D132" s="13"/>
      <c r="E132" s="13"/>
      <c r="F132" s="13"/>
      <c r="G132" s="13"/>
      <c r="H132" s="13"/>
      <c r="I132" s="13"/>
      <c r="J132" s="13"/>
      <c r="K132" s="13"/>
      <c r="L132" s="13"/>
      <c r="M132" s="13"/>
      <c r="N132" s="13"/>
      <c r="O132" s="13"/>
    </row>
    <row r="133" ht="15.75" customHeight="1">
      <c r="A133" s="13"/>
      <c r="B133" s="13"/>
      <c r="C133" s="13"/>
      <c r="D133" s="13"/>
      <c r="E133" s="13"/>
      <c r="F133" s="13"/>
      <c r="G133" s="13"/>
      <c r="H133" s="13"/>
      <c r="I133" s="13"/>
      <c r="J133" s="13"/>
      <c r="K133" s="13"/>
      <c r="L133" s="13"/>
      <c r="M133" s="13"/>
      <c r="N133" s="13"/>
      <c r="O133" s="13"/>
    </row>
    <row r="134" ht="15.75" customHeight="1">
      <c r="A134" s="13"/>
      <c r="B134" s="13"/>
      <c r="C134" s="13"/>
      <c r="D134" s="13"/>
      <c r="E134" s="13"/>
      <c r="F134" s="13"/>
      <c r="G134" s="13"/>
      <c r="H134" s="13"/>
      <c r="I134" s="13"/>
      <c r="J134" s="13"/>
      <c r="K134" s="13"/>
      <c r="L134" s="13"/>
      <c r="M134" s="13"/>
      <c r="N134" s="13"/>
      <c r="O134" s="13"/>
    </row>
    <row r="135" ht="15.75" customHeight="1">
      <c r="A135" s="13"/>
      <c r="B135" s="13"/>
      <c r="C135" s="13"/>
      <c r="D135" s="13"/>
      <c r="E135" s="13"/>
      <c r="F135" s="13"/>
      <c r="G135" s="13"/>
      <c r="H135" s="13"/>
      <c r="I135" s="13"/>
      <c r="J135" s="13"/>
      <c r="K135" s="13"/>
      <c r="L135" s="13"/>
      <c r="M135" s="13"/>
      <c r="N135" s="13"/>
      <c r="O135" s="13"/>
    </row>
    <row r="136" ht="15.75" customHeight="1">
      <c r="A136" s="13"/>
      <c r="B136" s="13"/>
      <c r="C136" s="13"/>
      <c r="D136" s="13"/>
      <c r="E136" s="13"/>
      <c r="F136" s="13"/>
      <c r="G136" s="13"/>
      <c r="H136" s="13"/>
      <c r="I136" s="13"/>
      <c r="J136" s="13"/>
      <c r="K136" s="13"/>
      <c r="L136" s="13"/>
      <c r="M136" s="13"/>
      <c r="N136" s="13"/>
      <c r="O136" s="13"/>
    </row>
    <row r="137" ht="15.75" customHeight="1">
      <c r="A137" s="13"/>
      <c r="B137" s="13"/>
      <c r="C137" s="13"/>
      <c r="D137" s="13"/>
      <c r="E137" s="13"/>
      <c r="F137" s="13"/>
      <c r="G137" s="13"/>
      <c r="H137" s="13"/>
      <c r="I137" s="13"/>
      <c r="J137" s="13"/>
      <c r="K137" s="13"/>
      <c r="L137" s="13"/>
      <c r="M137" s="13"/>
      <c r="N137" s="13"/>
      <c r="O137" s="13"/>
    </row>
    <row r="138" ht="15.75" customHeight="1">
      <c r="A138" s="13"/>
      <c r="B138" s="13"/>
      <c r="C138" s="13"/>
      <c r="D138" s="13"/>
      <c r="E138" s="13"/>
      <c r="F138" s="13"/>
      <c r="G138" s="13"/>
      <c r="H138" s="13"/>
      <c r="I138" s="13"/>
      <c r="J138" s="13"/>
      <c r="K138" s="13"/>
      <c r="L138" s="13"/>
      <c r="M138" s="13"/>
      <c r="N138" s="13"/>
      <c r="O138" s="13"/>
    </row>
    <row r="139" ht="15.75" customHeight="1">
      <c r="A139" s="13"/>
      <c r="B139" s="13"/>
      <c r="C139" s="13"/>
      <c r="D139" s="13"/>
      <c r="E139" s="13"/>
      <c r="F139" s="13"/>
      <c r="G139" s="13"/>
      <c r="H139" s="13"/>
      <c r="I139" s="13"/>
      <c r="J139" s="13"/>
      <c r="K139" s="13"/>
      <c r="L139" s="13"/>
      <c r="M139" s="13"/>
      <c r="N139" s="13"/>
      <c r="O139" s="13"/>
    </row>
    <row r="140" ht="15.75" customHeight="1">
      <c r="A140" s="13"/>
      <c r="B140" s="13"/>
      <c r="C140" s="13"/>
      <c r="D140" s="13"/>
      <c r="E140" s="13"/>
      <c r="F140" s="13"/>
      <c r="G140" s="13"/>
      <c r="H140" s="13"/>
      <c r="I140" s="13"/>
      <c r="J140" s="13"/>
      <c r="K140" s="13"/>
      <c r="L140" s="13"/>
      <c r="M140" s="13"/>
      <c r="N140" s="13"/>
      <c r="O140" s="13"/>
    </row>
    <row r="141" ht="15.75" customHeight="1">
      <c r="A141" s="13"/>
      <c r="B141" s="13"/>
      <c r="C141" s="13"/>
      <c r="D141" s="13"/>
      <c r="E141" s="13"/>
      <c r="F141" s="13"/>
      <c r="G141" s="13"/>
      <c r="H141" s="13"/>
      <c r="I141" s="13"/>
      <c r="J141" s="13"/>
      <c r="K141" s="13"/>
      <c r="L141" s="13"/>
      <c r="M141" s="13"/>
      <c r="N141" s="13"/>
      <c r="O141" s="13"/>
    </row>
    <row r="142" ht="15.75" customHeight="1">
      <c r="A142" s="13"/>
      <c r="B142" s="13"/>
      <c r="C142" s="13"/>
      <c r="D142" s="13"/>
      <c r="E142" s="13"/>
      <c r="F142" s="13"/>
      <c r="G142" s="13"/>
      <c r="H142" s="13"/>
      <c r="I142" s="13"/>
      <c r="J142" s="13"/>
      <c r="K142" s="13"/>
      <c r="L142" s="13"/>
      <c r="M142" s="13"/>
      <c r="N142" s="13"/>
      <c r="O142" s="13"/>
    </row>
    <row r="143" ht="15.75" customHeight="1">
      <c r="A143" s="13"/>
      <c r="B143" s="13"/>
      <c r="C143" s="13"/>
      <c r="D143" s="13"/>
      <c r="E143" s="13"/>
      <c r="F143" s="13"/>
      <c r="G143" s="13"/>
      <c r="H143" s="13"/>
      <c r="I143" s="13"/>
      <c r="J143" s="13"/>
      <c r="K143" s="13"/>
      <c r="L143" s="13"/>
      <c r="M143" s="13"/>
      <c r="N143" s="13"/>
      <c r="O143" s="13"/>
    </row>
    <row r="144" ht="15.75" customHeight="1">
      <c r="A144" s="13"/>
      <c r="B144" s="13"/>
      <c r="C144" s="13"/>
      <c r="D144" s="13"/>
      <c r="E144" s="13"/>
      <c r="F144" s="13"/>
      <c r="G144" s="13"/>
      <c r="H144" s="13"/>
      <c r="I144" s="13"/>
      <c r="J144" s="13"/>
      <c r="K144" s="13"/>
      <c r="L144" s="13"/>
      <c r="M144" s="13"/>
      <c r="N144" s="13"/>
      <c r="O144" s="13"/>
    </row>
    <row r="145" ht="15.75" customHeight="1">
      <c r="A145" s="13"/>
      <c r="B145" s="13"/>
      <c r="C145" s="13"/>
      <c r="D145" s="13"/>
      <c r="E145" s="13"/>
      <c r="F145" s="13"/>
      <c r="G145" s="13"/>
      <c r="H145" s="13"/>
      <c r="I145" s="13"/>
      <c r="J145" s="13"/>
      <c r="K145" s="13"/>
      <c r="L145" s="13"/>
      <c r="M145" s="13"/>
      <c r="N145" s="13"/>
      <c r="O145" s="13"/>
    </row>
    <row r="146" ht="15.75" customHeight="1">
      <c r="A146" s="13"/>
      <c r="B146" s="13"/>
      <c r="C146" s="13"/>
      <c r="D146" s="13"/>
      <c r="E146" s="13"/>
      <c r="F146" s="13"/>
      <c r="G146" s="13"/>
      <c r="H146" s="13"/>
      <c r="I146" s="13"/>
      <c r="J146" s="13"/>
      <c r="K146" s="13"/>
      <c r="L146" s="13"/>
      <c r="M146" s="13"/>
      <c r="N146" s="13"/>
      <c r="O146" s="13"/>
    </row>
    <row r="147" ht="15.75" customHeight="1">
      <c r="A147" s="13"/>
      <c r="B147" s="13"/>
      <c r="C147" s="13"/>
      <c r="D147" s="13"/>
      <c r="E147" s="13"/>
      <c r="F147" s="13"/>
      <c r="G147" s="13"/>
      <c r="H147" s="13"/>
      <c r="I147" s="13"/>
      <c r="J147" s="13"/>
      <c r="K147" s="13"/>
      <c r="L147" s="13"/>
      <c r="M147" s="13"/>
      <c r="N147" s="13"/>
      <c r="O147" s="13"/>
    </row>
    <row r="148" ht="15.75" customHeight="1">
      <c r="A148" s="13"/>
      <c r="B148" s="13"/>
      <c r="C148" s="13"/>
      <c r="D148" s="13"/>
      <c r="E148" s="13"/>
      <c r="F148" s="13"/>
      <c r="G148" s="13"/>
      <c r="H148" s="13"/>
      <c r="I148" s="13"/>
      <c r="J148" s="13"/>
      <c r="K148" s="13"/>
      <c r="L148" s="13"/>
      <c r="M148" s="13"/>
      <c r="N148" s="13"/>
      <c r="O148" s="13"/>
    </row>
    <row r="149" ht="15.75" customHeight="1">
      <c r="A149" s="13"/>
      <c r="B149" s="13"/>
      <c r="C149" s="13"/>
      <c r="D149" s="13"/>
      <c r="E149" s="13"/>
      <c r="F149" s="13"/>
      <c r="G149" s="13"/>
      <c r="H149" s="13"/>
      <c r="I149" s="13"/>
      <c r="J149" s="13"/>
      <c r="K149" s="13"/>
      <c r="L149" s="13"/>
      <c r="M149" s="13"/>
      <c r="N149" s="13"/>
      <c r="O149" s="13"/>
    </row>
    <row r="150" ht="15.75" customHeight="1">
      <c r="A150" s="13"/>
      <c r="B150" s="13"/>
      <c r="C150" s="13"/>
      <c r="D150" s="13"/>
      <c r="E150" s="13"/>
      <c r="F150" s="13"/>
      <c r="G150" s="13"/>
      <c r="H150" s="13"/>
      <c r="I150" s="13"/>
      <c r="J150" s="13"/>
      <c r="K150" s="13"/>
      <c r="L150" s="13"/>
      <c r="M150" s="13"/>
      <c r="N150" s="13"/>
      <c r="O150" s="13"/>
    </row>
    <row r="151" ht="15.75" customHeight="1">
      <c r="A151" s="13"/>
      <c r="B151" s="13"/>
      <c r="C151" s="13"/>
      <c r="D151" s="13"/>
      <c r="E151" s="13"/>
      <c r="F151" s="13"/>
      <c r="G151" s="13"/>
      <c r="H151" s="13"/>
      <c r="I151" s="13"/>
      <c r="J151" s="13"/>
      <c r="K151" s="13"/>
      <c r="L151" s="13"/>
      <c r="M151" s="13"/>
      <c r="N151" s="13"/>
      <c r="O151" s="13"/>
    </row>
    <row r="152" ht="15.75" customHeight="1">
      <c r="A152" s="13"/>
      <c r="B152" s="13"/>
      <c r="C152" s="13"/>
      <c r="D152" s="13"/>
      <c r="E152" s="13"/>
      <c r="F152" s="13"/>
      <c r="G152" s="13"/>
      <c r="H152" s="13"/>
      <c r="I152" s="13"/>
      <c r="J152" s="13"/>
      <c r="K152" s="13"/>
      <c r="L152" s="13"/>
      <c r="M152" s="13"/>
      <c r="N152" s="13"/>
      <c r="O152" s="13"/>
    </row>
    <row r="153" ht="15.75" customHeight="1">
      <c r="A153" s="13"/>
      <c r="B153" s="13"/>
      <c r="C153" s="13"/>
      <c r="D153" s="13"/>
      <c r="E153" s="13"/>
      <c r="F153" s="13"/>
      <c r="G153" s="13"/>
      <c r="H153" s="13"/>
      <c r="I153" s="13"/>
      <c r="J153" s="13"/>
      <c r="K153" s="13"/>
      <c r="L153" s="13"/>
      <c r="M153" s="13"/>
      <c r="N153" s="13"/>
      <c r="O153" s="13"/>
    </row>
    <row r="154" ht="15.75" customHeight="1">
      <c r="A154" s="13"/>
      <c r="B154" s="13"/>
      <c r="C154" s="13"/>
      <c r="D154" s="13"/>
      <c r="E154" s="13"/>
      <c r="F154" s="13"/>
      <c r="G154" s="13"/>
      <c r="H154" s="13"/>
      <c r="I154" s="13"/>
      <c r="J154" s="13"/>
      <c r="K154" s="13"/>
      <c r="L154" s="13"/>
      <c r="M154" s="13"/>
      <c r="N154" s="13"/>
      <c r="O154" s="13"/>
    </row>
    <row r="155" ht="15.75" customHeight="1">
      <c r="A155" s="13"/>
      <c r="B155" s="13"/>
      <c r="C155" s="13"/>
      <c r="D155" s="13"/>
      <c r="E155" s="13"/>
      <c r="F155" s="13"/>
      <c r="G155" s="13"/>
      <c r="H155" s="13"/>
      <c r="I155" s="13"/>
      <c r="J155" s="13"/>
      <c r="K155" s="13"/>
      <c r="L155" s="13"/>
      <c r="M155" s="13"/>
      <c r="N155" s="13"/>
      <c r="O155" s="13"/>
    </row>
    <row r="156" ht="15.75" customHeight="1">
      <c r="A156" s="13"/>
      <c r="B156" s="13"/>
      <c r="C156" s="13"/>
      <c r="D156" s="13"/>
      <c r="E156" s="13"/>
      <c r="F156" s="13"/>
      <c r="G156" s="13"/>
      <c r="H156" s="13"/>
      <c r="I156" s="13"/>
      <c r="J156" s="13"/>
      <c r="K156" s="13"/>
      <c r="L156" s="13"/>
      <c r="M156" s="13"/>
      <c r="N156" s="13"/>
      <c r="O156" s="13"/>
    </row>
    <row r="157" ht="15.75" customHeight="1">
      <c r="A157" s="13"/>
      <c r="B157" s="13"/>
      <c r="C157" s="13"/>
      <c r="D157" s="13"/>
      <c r="E157" s="13"/>
      <c r="F157" s="13"/>
      <c r="G157" s="13"/>
      <c r="H157" s="13"/>
      <c r="I157" s="13"/>
      <c r="J157" s="13"/>
      <c r="K157" s="13"/>
      <c r="L157" s="13"/>
      <c r="M157" s="13"/>
      <c r="N157" s="13"/>
      <c r="O157" s="13"/>
    </row>
    <row r="158" ht="15.75" customHeight="1">
      <c r="A158" s="13"/>
      <c r="B158" s="13"/>
      <c r="C158" s="13"/>
      <c r="D158" s="13"/>
      <c r="E158" s="13"/>
      <c r="F158" s="13"/>
      <c r="G158" s="13"/>
      <c r="H158" s="13"/>
      <c r="I158" s="13"/>
      <c r="J158" s="13"/>
      <c r="K158" s="13"/>
      <c r="L158" s="13"/>
      <c r="M158" s="13"/>
      <c r="N158" s="13"/>
      <c r="O158" s="13"/>
    </row>
    <row r="159" ht="15.75" customHeight="1">
      <c r="A159" s="13"/>
      <c r="B159" s="13"/>
      <c r="C159" s="13"/>
      <c r="D159" s="13"/>
      <c r="E159" s="13"/>
      <c r="F159" s="13"/>
      <c r="G159" s="13"/>
      <c r="H159" s="13"/>
      <c r="I159" s="13"/>
      <c r="J159" s="13"/>
      <c r="K159" s="13"/>
      <c r="L159" s="13"/>
      <c r="M159" s="13"/>
      <c r="N159" s="13"/>
      <c r="O159" s="13"/>
    </row>
    <row r="160" ht="15.75" customHeight="1">
      <c r="A160" s="13"/>
      <c r="B160" s="13"/>
      <c r="C160" s="13"/>
      <c r="D160" s="13"/>
      <c r="E160" s="13"/>
      <c r="F160" s="13"/>
      <c r="G160" s="13"/>
      <c r="H160" s="13"/>
      <c r="I160" s="13"/>
      <c r="J160" s="13"/>
      <c r="K160" s="13"/>
      <c r="L160" s="13"/>
      <c r="M160" s="13"/>
      <c r="N160" s="13"/>
      <c r="O160" s="13"/>
    </row>
    <row r="161" ht="15.75" customHeight="1">
      <c r="A161" s="13"/>
      <c r="B161" s="13"/>
      <c r="C161" s="13"/>
      <c r="D161" s="13"/>
      <c r="E161" s="13"/>
      <c r="F161" s="13"/>
      <c r="G161" s="13"/>
      <c r="H161" s="13"/>
      <c r="I161" s="13"/>
      <c r="J161" s="13"/>
      <c r="K161" s="13"/>
      <c r="L161" s="13"/>
      <c r="M161" s="13"/>
      <c r="N161" s="13"/>
      <c r="O161" s="13"/>
    </row>
    <row r="162" ht="15.75" customHeight="1">
      <c r="A162" s="13"/>
      <c r="B162" s="13"/>
      <c r="C162" s="13"/>
      <c r="D162" s="13"/>
      <c r="E162" s="13"/>
      <c r="F162" s="13"/>
      <c r="G162" s="13"/>
      <c r="H162" s="13"/>
      <c r="I162" s="13"/>
      <c r="J162" s="13"/>
      <c r="K162" s="13"/>
      <c r="L162" s="13"/>
      <c r="M162" s="13"/>
      <c r="N162" s="13"/>
      <c r="O162" s="13"/>
    </row>
    <row r="163" ht="15.75" customHeight="1">
      <c r="A163" s="13"/>
      <c r="B163" s="13"/>
      <c r="C163" s="13"/>
      <c r="D163" s="13"/>
      <c r="E163" s="13"/>
      <c r="F163" s="13"/>
      <c r="G163" s="13"/>
      <c r="H163" s="13"/>
      <c r="I163" s="13"/>
      <c r="J163" s="13"/>
      <c r="K163" s="13"/>
      <c r="L163" s="13"/>
      <c r="M163" s="13"/>
      <c r="N163" s="13"/>
      <c r="O163" s="13"/>
    </row>
    <row r="164" ht="15.75" customHeight="1">
      <c r="A164" s="13"/>
      <c r="B164" s="13"/>
      <c r="C164" s="13"/>
      <c r="D164" s="13"/>
      <c r="E164" s="13"/>
      <c r="F164" s="13"/>
      <c r="G164" s="13"/>
      <c r="H164" s="13"/>
      <c r="I164" s="13"/>
      <c r="J164" s="13"/>
      <c r="K164" s="13"/>
      <c r="L164" s="13"/>
      <c r="M164" s="13"/>
      <c r="N164" s="13"/>
      <c r="O164" s="13"/>
    </row>
    <row r="165" ht="15.75" customHeight="1">
      <c r="A165" s="13"/>
      <c r="B165" s="13"/>
      <c r="C165" s="13"/>
      <c r="D165" s="13"/>
      <c r="E165" s="13"/>
      <c r="F165" s="13"/>
      <c r="G165" s="13"/>
      <c r="H165" s="13"/>
      <c r="I165" s="13"/>
      <c r="J165" s="13"/>
      <c r="K165" s="13"/>
      <c r="L165" s="13"/>
      <c r="M165" s="13"/>
      <c r="N165" s="13"/>
      <c r="O165" s="13"/>
    </row>
    <row r="166" ht="15.75" customHeight="1">
      <c r="A166" s="13"/>
      <c r="B166" s="13"/>
      <c r="C166" s="13"/>
      <c r="D166" s="13"/>
      <c r="E166" s="13"/>
      <c r="F166" s="13"/>
      <c r="G166" s="13"/>
      <c r="H166" s="13"/>
      <c r="I166" s="13"/>
      <c r="J166" s="13"/>
      <c r="K166" s="13"/>
      <c r="L166" s="13"/>
      <c r="M166" s="13"/>
      <c r="N166" s="13"/>
      <c r="O166" s="13"/>
    </row>
    <row r="167" ht="15.75" customHeight="1">
      <c r="A167" s="13"/>
      <c r="B167" s="13"/>
      <c r="C167" s="13"/>
      <c r="D167" s="13"/>
      <c r="E167" s="13"/>
      <c r="F167" s="13"/>
      <c r="G167" s="13"/>
      <c r="H167" s="13"/>
      <c r="I167" s="13"/>
      <c r="J167" s="13"/>
      <c r="K167" s="13"/>
      <c r="L167" s="13"/>
      <c r="M167" s="13"/>
      <c r="N167" s="13"/>
      <c r="O167" s="13"/>
    </row>
    <row r="168" ht="15.75" customHeight="1">
      <c r="A168" s="13"/>
      <c r="B168" s="13"/>
      <c r="C168" s="13"/>
      <c r="D168" s="13"/>
      <c r="E168" s="13"/>
      <c r="F168" s="13"/>
      <c r="G168" s="13"/>
      <c r="H168" s="13"/>
      <c r="I168" s="13"/>
      <c r="J168" s="13"/>
      <c r="K168" s="13"/>
      <c r="L168" s="13"/>
      <c r="M168" s="13"/>
      <c r="N168" s="13"/>
      <c r="O168" s="13"/>
    </row>
    <row r="169" ht="15.75" customHeight="1">
      <c r="A169" s="13"/>
      <c r="B169" s="13"/>
      <c r="C169" s="13"/>
      <c r="D169" s="13"/>
      <c r="E169" s="13"/>
      <c r="F169" s="13"/>
      <c r="G169" s="13"/>
      <c r="H169" s="13"/>
      <c r="I169" s="13"/>
      <c r="J169" s="13"/>
      <c r="K169" s="13"/>
      <c r="L169" s="13"/>
      <c r="M169" s="13"/>
      <c r="N169" s="13"/>
      <c r="O169" s="13"/>
    </row>
    <row r="170" ht="15.75" customHeight="1">
      <c r="A170" s="13"/>
      <c r="B170" s="13"/>
      <c r="C170" s="13"/>
      <c r="D170" s="13"/>
      <c r="E170" s="13"/>
      <c r="F170" s="13"/>
      <c r="G170" s="13"/>
      <c r="H170" s="13"/>
      <c r="I170" s="13"/>
      <c r="J170" s="13"/>
      <c r="K170" s="13"/>
      <c r="L170" s="13"/>
      <c r="M170" s="13"/>
      <c r="N170" s="13"/>
      <c r="O170" s="13"/>
    </row>
    <row r="171" ht="15.75" customHeight="1">
      <c r="A171" s="13"/>
      <c r="B171" s="13"/>
      <c r="C171" s="13"/>
      <c r="D171" s="13"/>
      <c r="E171" s="13"/>
      <c r="F171" s="13"/>
      <c r="G171" s="13"/>
      <c r="H171" s="13"/>
      <c r="I171" s="13"/>
      <c r="J171" s="13"/>
      <c r="K171" s="13"/>
      <c r="L171" s="13"/>
      <c r="M171" s="13"/>
      <c r="N171" s="13"/>
      <c r="O171" s="13"/>
    </row>
    <row r="172" ht="15.75" customHeight="1">
      <c r="A172" s="13"/>
      <c r="B172" s="13"/>
      <c r="C172" s="13"/>
      <c r="D172" s="13"/>
      <c r="E172" s="13"/>
      <c r="F172" s="13"/>
      <c r="G172" s="13"/>
      <c r="H172" s="13"/>
      <c r="I172" s="13"/>
      <c r="J172" s="13"/>
      <c r="K172" s="13"/>
      <c r="L172" s="13"/>
      <c r="M172" s="13"/>
      <c r="N172" s="13"/>
      <c r="O172" s="13"/>
    </row>
    <row r="173" ht="15.75" customHeight="1">
      <c r="A173" s="13"/>
      <c r="B173" s="13"/>
      <c r="C173" s="13"/>
      <c r="D173" s="13"/>
      <c r="E173" s="13"/>
      <c r="F173" s="13"/>
      <c r="G173" s="13"/>
      <c r="H173" s="13"/>
      <c r="I173" s="13"/>
      <c r="J173" s="13"/>
      <c r="K173" s="13"/>
      <c r="L173" s="13"/>
      <c r="M173" s="13"/>
      <c r="N173" s="13"/>
      <c r="O173" s="13"/>
    </row>
    <row r="174" ht="15.75" customHeight="1">
      <c r="A174" s="13"/>
      <c r="B174" s="13"/>
      <c r="C174" s="13"/>
      <c r="D174" s="13"/>
      <c r="E174" s="13"/>
      <c r="F174" s="13"/>
      <c r="G174" s="13"/>
      <c r="H174" s="13"/>
      <c r="I174" s="13"/>
      <c r="J174" s="13"/>
      <c r="K174" s="13"/>
      <c r="L174" s="13"/>
      <c r="M174" s="13"/>
      <c r="N174" s="13"/>
      <c r="O174" s="13"/>
    </row>
    <row r="175" ht="15.75" customHeight="1">
      <c r="A175" s="13"/>
      <c r="B175" s="13"/>
      <c r="C175" s="13"/>
      <c r="D175" s="13"/>
      <c r="E175" s="13"/>
      <c r="F175" s="13"/>
      <c r="G175" s="13"/>
      <c r="H175" s="13"/>
      <c r="I175" s="13"/>
      <c r="J175" s="13"/>
      <c r="K175" s="13"/>
      <c r="L175" s="13"/>
      <c r="M175" s="13"/>
      <c r="N175" s="13"/>
      <c r="O175" s="13"/>
    </row>
    <row r="176" ht="15.75" customHeight="1">
      <c r="A176" s="13"/>
      <c r="B176" s="13"/>
      <c r="C176" s="13"/>
      <c r="D176" s="13"/>
      <c r="E176" s="13"/>
      <c r="F176" s="13"/>
      <c r="G176" s="13"/>
      <c r="H176" s="13"/>
      <c r="I176" s="13"/>
      <c r="J176" s="13"/>
      <c r="K176" s="13"/>
      <c r="L176" s="13"/>
      <c r="M176" s="13"/>
      <c r="N176" s="13"/>
      <c r="O176" s="13"/>
    </row>
    <row r="177" ht="15.75" customHeight="1">
      <c r="A177" s="13"/>
      <c r="B177" s="13"/>
      <c r="C177" s="13"/>
      <c r="D177" s="13"/>
      <c r="E177" s="13"/>
      <c r="F177" s="13"/>
      <c r="G177" s="13"/>
      <c r="H177" s="13"/>
      <c r="I177" s="13"/>
      <c r="J177" s="13"/>
      <c r="K177" s="13"/>
      <c r="L177" s="13"/>
      <c r="M177" s="13"/>
      <c r="N177" s="13"/>
      <c r="O177" s="13"/>
    </row>
    <row r="178" ht="15.75" customHeight="1">
      <c r="A178" s="13"/>
      <c r="B178" s="13"/>
      <c r="C178" s="13"/>
      <c r="D178" s="13"/>
      <c r="E178" s="13"/>
      <c r="F178" s="13"/>
      <c r="G178" s="13"/>
      <c r="H178" s="13"/>
      <c r="I178" s="13"/>
      <c r="J178" s="13"/>
      <c r="K178" s="13"/>
      <c r="L178" s="13"/>
      <c r="M178" s="13"/>
      <c r="N178" s="13"/>
      <c r="O178" s="13"/>
    </row>
    <row r="179" ht="15.75" customHeight="1">
      <c r="A179" s="13"/>
      <c r="B179" s="13"/>
      <c r="C179" s="13"/>
      <c r="D179" s="13"/>
      <c r="E179" s="13"/>
      <c r="F179" s="13"/>
      <c r="G179" s="13"/>
      <c r="H179" s="13"/>
      <c r="I179" s="13"/>
      <c r="J179" s="13"/>
      <c r="K179" s="13"/>
      <c r="L179" s="13"/>
      <c r="M179" s="13"/>
      <c r="N179" s="13"/>
      <c r="O179" s="13"/>
    </row>
    <row r="180" ht="15.75" customHeight="1">
      <c r="A180" s="13"/>
      <c r="B180" s="13"/>
      <c r="C180" s="13"/>
      <c r="D180" s="13"/>
      <c r="E180" s="13"/>
      <c r="F180" s="13"/>
      <c r="G180" s="13"/>
      <c r="H180" s="13"/>
      <c r="I180" s="13"/>
      <c r="J180" s="13"/>
      <c r="K180" s="13"/>
      <c r="L180" s="13"/>
      <c r="M180" s="13"/>
      <c r="N180" s="13"/>
      <c r="O180" s="13"/>
    </row>
    <row r="181" ht="15.75" customHeight="1">
      <c r="A181" s="13"/>
      <c r="B181" s="13"/>
      <c r="C181" s="13"/>
      <c r="D181" s="13"/>
      <c r="E181" s="13"/>
      <c r="F181" s="13"/>
      <c r="G181" s="13"/>
      <c r="H181" s="13"/>
      <c r="I181" s="13"/>
      <c r="J181" s="13"/>
      <c r="K181" s="13"/>
      <c r="L181" s="13"/>
      <c r="M181" s="13"/>
      <c r="N181" s="13"/>
      <c r="O181" s="13"/>
    </row>
    <row r="182" ht="15.75" customHeight="1">
      <c r="A182" s="13"/>
      <c r="B182" s="13"/>
      <c r="C182" s="13"/>
      <c r="D182" s="13"/>
      <c r="E182" s="13"/>
      <c r="F182" s="13"/>
      <c r="G182" s="13"/>
      <c r="H182" s="13"/>
      <c r="I182" s="13"/>
      <c r="J182" s="13"/>
      <c r="K182" s="13"/>
      <c r="L182" s="13"/>
      <c r="M182" s="13"/>
      <c r="N182" s="13"/>
      <c r="O182" s="13"/>
    </row>
    <row r="183" ht="15.75" customHeight="1">
      <c r="A183" s="13"/>
      <c r="B183" s="13"/>
      <c r="C183" s="13"/>
      <c r="D183" s="13"/>
      <c r="E183" s="13"/>
      <c r="F183" s="13"/>
      <c r="G183" s="13"/>
      <c r="H183" s="13"/>
      <c r="I183" s="13"/>
      <c r="J183" s="13"/>
      <c r="K183" s="13"/>
      <c r="L183" s="13"/>
      <c r="M183" s="13"/>
      <c r="N183" s="13"/>
      <c r="O183" s="13"/>
    </row>
    <row r="184" ht="15.75" customHeight="1">
      <c r="A184" s="13"/>
      <c r="B184" s="13"/>
      <c r="C184" s="13"/>
      <c r="D184" s="13"/>
      <c r="E184" s="13"/>
      <c r="F184" s="13"/>
      <c r="G184" s="13"/>
      <c r="H184" s="13"/>
      <c r="I184" s="13"/>
      <c r="J184" s="13"/>
      <c r="K184" s="13"/>
      <c r="L184" s="13"/>
      <c r="M184" s="13"/>
      <c r="N184" s="13"/>
      <c r="O184" s="13"/>
    </row>
    <row r="185" ht="15.75" customHeight="1">
      <c r="A185" s="13"/>
      <c r="B185" s="13"/>
      <c r="C185" s="13"/>
      <c r="D185" s="13"/>
      <c r="E185" s="13"/>
      <c r="F185" s="13"/>
      <c r="G185" s="13"/>
      <c r="H185" s="13"/>
      <c r="I185" s="13"/>
      <c r="J185" s="13"/>
      <c r="K185" s="13"/>
      <c r="L185" s="13"/>
      <c r="M185" s="13"/>
      <c r="N185" s="13"/>
      <c r="O185" s="13"/>
    </row>
    <row r="186" ht="15.75" customHeight="1">
      <c r="A186" s="13"/>
      <c r="B186" s="13"/>
      <c r="C186" s="13"/>
      <c r="D186" s="13"/>
      <c r="E186" s="13"/>
      <c r="F186" s="13"/>
      <c r="G186" s="13"/>
      <c r="H186" s="13"/>
      <c r="I186" s="13"/>
      <c r="J186" s="13"/>
      <c r="K186" s="13"/>
      <c r="L186" s="13"/>
      <c r="M186" s="13"/>
      <c r="N186" s="13"/>
      <c r="O186" s="13"/>
    </row>
    <row r="187" ht="15.75" customHeight="1">
      <c r="A187" s="13"/>
      <c r="B187" s="13"/>
      <c r="C187" s="13"/>
      <c r="D187" s="13"/>
      <c r="E187" s="13"/>
      <c r="F187" s="13"/>
      <c r="G187" s="13"/>
      <c r="H187" s="13"/>
      <c r="I187" s="13"/>
      <c r="J187" s="13"/>
      <c r="K187" s="13"/>
      <c r="L187" s="13"/>
      <c r="M187" s="13"/>
      <c r="N187" s="13"/>
      <c r="O187" s="13"/>
    </row>
    <row r="188" ht="15.75" customHeight="1">
      <c r="A188" s="13"/>
      <c r="B188" s="13"/>
      <c r="C188" s="13"/>
      <c r="D188" s="13"/>
      <c r="E188" s="13"/>
      <c r="F188" s="13"/>
      <c r="G188" s="13"/>
      <c r="H188" s="13"/>
      <c r="I188" s="13"/>
      <c r="J188" s="13"/>
      <c r="K188" s="13"/>
      <c r="L188" s="13"/>
      <c r="M188" s="13"/>
      <c r="N188" s="13"/>
      <c r="O188" s="13"/>
    </row>
    <row r="189" ht="15.75" customHeight="1">
      <c r="A189" s="13"/>
      <c r="B189" s="13"/>
      <c r="C189" s="13"/>
      <c r="D189" s="13"/>
      <c r="E189" s="13"/>
      <c r="F189" s="13"/>
      <c r="G189" s="13"/>
      <c r="H189" s="13"/>
      <c r="I189" s="13"/>
      <c r="J189" s="13"/>
      <c r="K189" s="13"/>
      <c r="L189" s="13"/>
      <c r="M189" s="13"/>
      <c r="N189" s="13"/>
      <c r="O189" s="13"/>
    </row>
    <row r="190" ht="15.75" customHeight="1">
      <c r="A190" s="13"/>
      <c r="B190" s="13"/>
      <c r="C190" s="13"/>
      <c r="D190" s="13"/>
      <c r="E190" s="13"/>
      <c r="F190" s="13"/>
      <c r="G190" s="13"/>
      <c r="H190" s="13"/>
      <c r="I190" s="13"/>
      <c r="J190" s="13"/>
      <c r="K190" s="13"/>
      <c r="L190" s="13"/>
      <c r="M190" s="13"/>
      <c r="N190" s="13"/>
      <c r="O190" s="13"/>
    </row>
    <row r="191" ht="15.75" customHeight="1">
      <c r="A191" s="13"/>
      <c r="B191" s="13"/>
      <c r="C191" s="13"/>
      <c r="D191" s="13"/>
      <c r="E191" s="13"/>
      <c r="F191" s="13"/>
      <c r="G191" s="13"/>
      <c r="H191" s="13"/>
      <c r="I191" s="13"/>
      <c r="J191" s="13"/>
      <c r="K191" s="13"/>
      <c r="L191" s="13"/>
      <c r="M191" s="13"/>
      <c r="N191" s="13"/>
      <c r="O191" s="13"/>
    </row>
    <row r="192" ht="15.75" customHeight="1">
      <c r="A192" s="13"/>
      <c r="B192" s="13"/>
      <c r="C192" s="13"/>
      <c r="D192" s="13"/>
      <c r="E192" s="13"/>
      <c r="F192" s="13"/>
      <c r="G192" s="13"/>
      <c r="H192" s="13"/>
      <c r="I192" s="13"/>
      <c r="J192" s="13"/>
      <c r="K192" s="13"/>
      <c r="L192" s="13"/>
      <c r="M192" s="13"/>
      <c r="N192" s="13"/>
      <c r="O192" s="13"/>
    </row>
    <row r="193" ht="15.75" customHeight="1">
      <c r="A193" s="13"/>
      <c r="B193" s="13"/>
      <c r="C193" s="13"/>
      <c r="D193" s="13"/>
      <c r="E193" s="13"/>
      <c r="F193" s="13"/>
      <c r="G193" s="13"/>
      <c r="H193" s="13"/>
      <c r="I193" s="13"/>
      <c r="J193" s="13"/>
      <c r="K193" s="13"/>
      <c r="L193" s="13"/>
      <c r="M193" s="13"/>
      <c r="N193" s="13"/>
      <c r="O193" s="13"/>
    </row>
    <row r="194" ht="15.75" customHeight="1">
      <c r="A194" s="13"/>
      <c r="B194" s="13"/>
      <c r="C194" s="13"/>
      <c r="D194" s="13"/>
      <c r="E194" s="13"/>
      <c r="F194" s="13"/>
      <c r="G194" s="13"/>
      <c r="H194" s="13"/>
      <c r="I194" s="13"/>
      <c r="J194" s="13"/>
      <c r="K194" s="13"/>
      <c r="L194" s="13"/>
      <c r="M194" s="13"/>
      <c r="N194" s="13"/>
      <c r="O194" s="13"/>
    </row>
    <row r="195" ht="15.75" customHeight="1">
      <c r="A195" s="13"/>
      <c r="B195" s="13"/>
      <c r="C195" s="13"/>
      <c r="D195" s="13"/>
      <c r="E195" s="13"/>
      <c r="F195" s="13"/>
      <c r="G195" s="13"/>
      <c r="H195" s="13"/>
      <c r="I195" s="13"/>
      <c r="J195" s="13"/>
      <c r="K195" s="13"/>
      <c r="L195" s="13"/>
      <c r="M195" s="13"/>
      <c r="N195" s="13"/>
      <c r="O195" s="13"/>
    </row>
    <row r="196" ht="15.75" customHeight="1">
      <c r="A196" s="13"/>
      <c r="B196" s="13"/>
      <c r="C196" s="13"/>
      <c r="D196" s="13"/>
      <c r="E196" s="13"/>
      <c r="F196" s="13"/>
      <c r="G196" s="13"/>
      <c r="H196" s="13"/>
      <c r="I196" s="13"/>
      <c r="J196" s="13"/>
      <c r="K196" s="13"/>
      <c r="L196" s="13"/>
      <c r="M196" s="13"/>
      <c r="N196" s="13"/>
      <c r="O196" s="13"/>
    </row>
    <row r="197" ht="15.75" customHeight="1">
      <c r="A197" s="13"/>
      <c r="B197" s="13"/>
      <c r="C197" s="13"/>
      <c r="D197" s="13"/>
      <c r="E197" s="13"/>
      <c r="F197" s="13"/>
      <c r="G197" s="13"/>
      <c r="H197" s="13"/>
      <c r="I197" s="13"/>
      <c r="J197" s="13"/>
      <c r="K197" s="13"/>
      <c r="L197" s="13"/>
      <c r="M197" s="13"/>
      <c r="N197" s="13"/>
      <c r="O197" s="13"/>
    </row>
    <row r="198" ht="15.75" customHeight="1">
      <c r="A198" s="13"/>
      <c r="B198" s="13"/>
      <c r="C198" s="13"/>
      <c r="D198" s="13"/>
      <c r="E198" s="13"/>
      <c r="F198" s="13"/>
      <c r="G198" s="13"/>
      <c r="H198" s="13"/>
      <c r="I198" s="13"/>
      <c r="J198" s="13"/>
      <c r="K198" s="13"/>
      <c r="L198" s="13"/>
      <c r="M198" s="13"/>
      <c r="N198" s="13"/>
      <c r="O198" s="13"/>
    </row>
    <row r="199" ht="15.75" customHeight="1">
      <c r="A199" s="13"/>
      <c r="B199" s="13"/>
      <c r="C199" s="13"/>
      <c r="D199" s="13"/>
      <c r="E199" s="13"/>
      <c r="F199" s="13"/>
      <c r="G199" s="13"/>
      <c r="H199" s="13"/>
      <c r="I199" s="13"/>
      <c r="J199" s="13"/>
      <c r="K199" s="13"/>
      <c r="L199" s="13"/>
      <c r="M199" s="13"/>
      <c r="N199" s="13"/>
      <c r="O199" s="13"/>
    </row>
    <row r="200" ht="15.75" customHeight="1">
      <c r="A200" s="13"/>
      <c r="B200" s="13"/>
      <c r="C200" s="13"/>
      <c r="D200" s="13"/>
      <c r="E200" s="13"/>
      <c r="F200" s="13"/>
      <c r="G200" s="13"/>
      <c r="H200" s="13"/>
      <c r="I200" s="13"/>
      <c r="J200" s="13"/>
      <c r="K200" s="13"/>
      <c r="L200" s="13"/>
      <c r="M200" s="13"/>
      <c r="N200" s="13"/>
      <c r="O200" s="13"/>
    </row>
    <row r="201" ht="15.75" customHeight="1">
      <c r="A201" s="13"/>
      <c r="B201" s="13"/>
      <c r="C201" s="13"/>
      <c r="D201" s="13"/>
      <c r="E201" s="13"/>
      <c r="F201" s="13"/>
      <c r="G201" s="13"/>
      <c r="H201" s="13"/>
      <c r="I201" s="13"/>
      <c r="J201" s="13"/>
      <c r="K201" s="13"/>
      <c r="L201" s="13"/>
      <c r="M201" s="13"/>
      <c r="N201" s="13"/>
      <c r="O201" s="13"/>
    </row>
    <row r="202" ht="15.75" customHeight="1">
      <c r="A202" s="13"/>
      <c r="B202" s="13"/>
      <c r="C202" s="13"/>
      <c r="D202" s="13"/>
      <c r="E202" s="13"/>
      <c r="F202" s="13"/>
      <c r="G202" s="13"/>
      <c r="H202" s="13"/>
      <c r="I202" s="13"/>
      <c r="J202" s="13"/>
      <c r="K202" s="13"/>
      <c r="L202" s="13"/>
      <c r="M202" s="13"/>
      <c r="N202" s="13"/>
      <c r="O202" s="13"/>
    </row>
    <row r="203" ht="15.75" customHeight="1">
      <c r="A203" s="13"/>
      <c r="B203" s="13"/>
      <c r="C203" s="13"/>
      <c r="D203" s="13"/>
      <c r="E203" s="13"/>
      <c r="F203" s="13"/>
      <c r="G203" s="13"/>
      <c r="H203" s="13"/>
      <c r="I203" s="13"/>
      <c r="J203" s="13"/>
      <c r="K203" s="13"/>
      <c r="L203" s="13"/>
      <c r="M203" s="13"/>
      <c r="N203" s="13"/>
      <c r="O203" s="13"/>
    </row>
    <row r="204" ht="15.75" customHeight="1">
      <c r="A204" s="13"/>
      <c r="B204" s="13"/>
      <c r="C204" s="13"/>
      <c r="D204" s="13"/>
      <c r="E204" s="13"/>
      <c r="F204" s="13"/>
      <c r="G204" s="13"/>
      <c r="H204" s="13"/>
      <c r="I204" s="13"/>
      <c r="J204" s="13"/>
      <c r="K204" s="13"/>
      <c r="L204" s="13"/>
      <c r="M204" s="13"/>
      <c r="N204" s="13"/>
      <c r="O204" s="13"/>
    </row>
    <row r="205" ht="15.75" customHeight="1">
      <c r="A205" s="13"/>
      <c r="B205" s="13"/>
      <c r="C205" s="13"/>
      <c r="D205" s="13"/>
      <c r="E205" s="13"/>
      <c r="F205" s="13"/>
      <c r="G205" s="13"/>
      <c r="H205" s="13"/>
      <c r="I205" s="13"/>
      <c r="J205" s="13"/>
      <c r="K205" s="13"/>
      <c r="L205" s="13"/>
      <c r="M205" s="13"/>
      <c r="N205" s="13"/>
      <c r="O205" s="13"/>
    </row>
    <row r="206" ht="15.75" customHeight="1">
      <c r="A206" s="13"/>
      <c r="B206" s="13"/>
      <c r="C206" s="13"/>
      <c r="D206" s="13"/>
      <c r="E206" s="13"/>
      <c r="F206" s="13"/>
      <c r="G206" s="13"/>
      <c r="H206" s="13"/>
      <c r="I206" s="13"/>
      <c r="J206" s="13"/>
      <c r="K206" s="13"/>
      <c r="L206" s="13"/>
      <c r="M206" s="13"/>
      <c r="N206" s="13"/>
      <c r="O206" s="13"/>
    </row>
    <row r="207" ht="15.75" customHeight="1">
      <c r="A207" s="13"/>
      <c r="B207" s="13"/>
      <c r="C207" s="13"/>
      <c r="D207" s="13"/>
      <c r="E207" s="13"/>
      <c r="F207" s="13"/>
      <c r="G207" s="13"/>
      <c r="H207" s="13"/>
      <c r="I207" s="13"/>
      <c r="J207" s="13"/>
      <c r="K207" s="13"/>
      <c r="L207" s="13"/>
      <c r="M207" s="13"/>
      <c r="N207" s="13"/>
      <c r="O207" s="13"/>
    </row>
    <row r="208" ht="15.75" customHeight="1">
      <c r="A208" s="13"/>
      <c r="B208" s="13"/>
      <c r="C208" s="13"/>
      <c r="D208" s="13"/>
      <c r="E208" s="13"/>
      <c r="F208" s="13"/>
      <c r="G208" s="13"/>
      <c r="H208" s="13"/>
      <c r="I208" s="13"/>
      <c r="J208" s="13"/>
      <c r="K208" s="13"/>
      <c r="L208" s="13"/>
      <c r="M208" s="13"/>
      <c r="N208" s="13"/>
      <c r="O208" s="13"/>
    </row>
    <row r="209" ht="15.75" customHeight="1">
      <c r="A209" s="13"/>
      <c r="B209" s="13"/>
      <c r="C209" s="13"/>
      <c r="D209" s="13"/>
      <c r="E209" s="13"/>
      <c r="F209" s="13"/>
      <c r="G209" s="13"/>
      <c r="H209" s="13"/>
      <c r="I209" s="13"/>
      <c r="J209" s="13"/>
      <c r="K209" s="13"/>
      <c r="L209" s="13"/>
      <c r="M209" s="13"/>
      <c r="N209" s="13"/>
      <c r="O209" s="13"/>
    </row>
    <row r="210" ht="15.75" customHeight="1">
      <c r="A210" s="13"/>
      <c r="B210" s="13"/>
      <c r="C210" s="13"/>
      <c r="D210" s="13"/>
      <c r="E210" s="13"/>
      <c r="F210" s="13"/>
      <c r="G210" s="13"/>
      <c r="H210" s="13"/>
      <c r="I210" s="13"/>
      <c r="J210" s="13"/>
      <c r="K210" s="13"/>
      <c r="L210" s="13"/>
      <c r="M210" s="13"/>
      <c r="N210" s="13"/>
      <c r="O210" s="13"/>
    </row>
    <row r="211" ht="15.75" customHeight="1">
      <c r="A211" s="13"/>
      <c r="B211" s="13"/>
      <c r="C211" s="13"/>
      <c r="D211" s="13"/>
      <c r="E211" s="13"/>
      <c r="F211" s="13"/>
      <c r="G211" s="13"/>
      <c r="H211" s="13"/>
      <c r="I211" s="13"/>
      <c r="J211" s="13"/>
      <c r="K211" s="13"/>
      <c r="L211" s="13"/>
      <c r="M211" s="13"/>
      <c r="N211" s="13"/>
      <c r="O211" s="13"/>
    </row>
    <row r="212" ht="15.75" customHeight="1">
      <c r="A212" s="13"/>
      <c r="B212" s="13"/>
      <c r="C212" s="13"/>
      <c r="D212" s="13"/>
      <c r="E212" s="13"/>
      <c r="F212" s="13"/>
      <c r="G212" s="13"/>
      <c r="H212" s="13"/>
      <c r="I212" s="13"/>
      <c r="J212" s="13"/>
      <c r="K212" s="13"/>
      <c r="L212" s="13"/>
      <c r="M212" s="13"/>
      <c r="N212" s="13"/>
      <c r="O212" s="13"/>
    </row>
    <row r="213" ht="15.75" customHeight="1">
      <c r="A213" s="13"/>
      <c r="B213" s="13"/>
      <c r="C213" s="13"/>
      <c r="D213" s="13"/>
      <c r="E213" s="13"/>
      <c r="F213" s="13"/>
      <c r="G213" s="13"/>
      <c r="H213" s="13"/>
      <c r="I213" s="13"/>
      <c r="J213" s="13"/>
      <c r="K213" s="13"/>
      <c r="L213" s="13"/>
      <c r="M213" s="13"/>
      <c r="N213" s="13"/>
      <c r="O213" s="13"/>
    </row>
    <row r="214" ht="15.75" customHeight="1">
      <c r="A214" s="13"/>
      <c r="B214" s="13"/>
      <c r="C214" s="13"/>
      <c r="D214" s="13"/>
      <c r="E214" s="13"/>
      <c r="F214" s="13"/>
      <c r="G214" s="13"/>
      <c r="H214" s="13"/>
      <c r="I214" s="13"/>
      <c r="J214" s="13"/>
      <c r="K214" s="13"/>
      <c r="L214" s="13"/>
      <c r="M214" s="13"/>
      <c r="N214" s="13"/>
      <c r="O214" s="13"/>
    </row>
    <row r="215" ht="15.75" customHeight="1">
      <c r="A215" s="13"/>
      <c r="B215" s="13"/>
      <c r="C215" s="13"/>
      <c r="D215" s="13"/>
      <c r="E215" s="13"/>
      <c r="F215" s="13"/>
      <c r="G215" s="13"/>
      <c r="H215" s="13"/>
      <c r="I215" s="13"/>
      <c r="J215" s="13"/>
      <c r="K215" s="13"/>
      <c r="L215" s="13"/>
      <c r="M215" s="13"/>
      <c r="N215" s="13"/>
      <c r="O215" s="13"/>
    </row>
    <row r="216" ht="15.75" customHeight="1">
      <c r="A216" s="13"/>
      <c r="B216" s="13"/>
      <c r="C216" s="13"/>
      <c r="D216" s="13"/>
      <c r="E216" s="13"/>
      <c r="F216" s="13"/>
      <c r="G216" s="13"/>
      <c r="H216" s="13"/>
      <c r="I216" s="13"/>
      <c r="J216" s="13"/>
      <c r="K216" s="13"/>
      <c r="L216" s="13"/>
      <c r="M216" s="13"/>
      <c r="N216" s="13"/>
      <c r="O216" s="13"/>
    </row>
    <row r="217" ht="15.75" customHeight="1">
      <c r="A217" s="13"/>
      <c r="B217" s="13"/>
      <c r="C217" s="13"/>
      <c r="D217" s="13"/>
      <c r="E217" s="13"/>
      <c r="F217" s="13"/>
      <c r="G217" s="13"/>
      <c r="H217" s="13"/>
      <c r="I217" s="13"/>
      <c r="J217" s="13"/>
      <c r="K217" s="13"/>
      <c r="L217" s="13"/>
      <c r="M217" s="13"/>
      <c r="N217" s="13"/>
      <c r="O217" s="13"/>
    </row>
    <row r="218" ht="15.75" customHeight="1">
      <c r="A218" s="13"/>
      <c r="B218" s="13"/>
      <c r="C218" s="13"/>
      <c r="D218" s="13"/>
      <c r="E218" s="13"/>
      <c r="F218" s="13"/>
      <c r="G218" s="13"/>
      <c r="H218" s="13"/>
      <c r="I218" s="13"/>
      <c r="J218" s="13"/>
      <c r="K218" s="13"/>
      <c r="L218" s="13"/>
      <c r="M218" s="13"/>
      <c r="N218" s="13"/>
      <c r="O218" s="13"/>
    </row>
    <row r="219" ht="15.75" customHeight="1">
      <c r="A219" s="13"/>
      <c r="B219" s="13"/>
      <c r="C219" s="13"/>
      <c r="D219" s="13"/>
      <c r="E219" s="13"/>
      <c r="F219" s="13"/>
      <c r="G219" s="13"/>
      <c r="H219" s="13"/>
      <c r="I219" s="13"/>
      <c r="J219" s="13"/>
      <c r="K219" s="13"/>
      <c r="L219" s="13"/>
      <c r="M219" s="13"/>
      <c r="N219" s="13"/>
      <c r="O219" s="13"/>
    </row>
    <row r="220" ht="15.75" customHeight="1">
      <c r="A220" s="13"/>
      <c r="B220" s="13"/>
      <c r="C220" s="13"/>
      <c r="D220" s="13"/>
      <c r="E220" s="13"/>
      <c r="F220" s="13"/>
      <c r="G220" s="13"/>
      <c r="H220" s="13"/>
      <c r="I220" s="13"/>
      <c r="J220" s="13"/>
      <c r="K220" s="13"/>
      <c r="L220" s="13"/>
      <c r="M220" s="13"/>
      <c r="N220" s="13"/>
      <c r="O220" s="13"/>
    </row>
    <row r="221" ht="15.75" customHeight="1">
      <c r="A221" s="13"/>
      <c r="B221" s="13"/>
      <c r="C221" s="13"/>
      <c r="D221" s="13"/>
      <c r="E221" s="13"/>
      <c r="F221" s="13"/>
      <c r="G221" s="13"/>
      <c r="H221" s="13"/>
      <c r="I221" s="13"/>
      <c r="J221" s="13"/>
      <c r="K221" s="13"/>
      <c r="L221" s="13"/>
      <c r="M221" s="13"/>
      <c r="N221" s="13"/>
      <c r="O221" s="13"/>
    </row>
    <row r="222" ht="15.75" customHeight="1">
      <c r="A222" s="13"/>
      <c r="B222" s="13"/>
      <c r="C222" s="13"/>
      <c r="D222" s="13"/>
      <c r="E222" s="13"/>
      <c r="F222" s="13"/>
      <c r="G222" s="13"/>
      <c r="H222" s="13"/>
      <c r="I222" s="13"/>
      <c r="J222" s="13"/>
      <c r="K222" s="13"/>
      <c r="L222" s="13"/>
      <c r="M222" s="13"/>
      <c r="N222" s="13"/>
      <c r="O222" s="13"/>
    </row>
    <row r="223" ht="15.75" customHeight="1">
      <c r="A223" s="13"/>
      <c r="B223" s="13"/>
      <c r="C223" s="13"/>
      <c r="D223" s="13"/>
      <c r="E223" s="13"/>
      <c r="F223" s="13"/>
      <c r="G223" s="13"/>
      <c r="H223" s="13"/>
      <c r="I223" s="13"/>
      <c r="J223" s="13"/>
      <c r="K223" s="13"/>
      <c r="L223" s="13"/>
      <c r="M223" s="13"/>
      <c r="N223" s="13"/>
      <c r="O223" s="13"/>
    </row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">
    <mergeCell ref="C1:D2"/>
    <mergeCell ref="E1:F2"/>
    <mergeCell ref="C3:D3"/>
  </mergeCells>
  <dataValidations>
    <dataValidation type="list" allowBlank="1" showErrorMessage="1" sqref="G4:O124">
      <formula1>"선택,완료"</formula1>
    </dataValidation>
  </dataValidations>
  <hyperlinks>
    <hyperlink r:id="rId1" ref="D5"/>
    <hyperlink r:id="rId2" ref="D24"/>
    <hyperlink r:id="rId3" ref="D30"/>
    <hyperlink r:id="rId4" ref="D36"/>
    <hyperlink r:id="rId5" ref="D51"/>
    <hyperlink r:id="rId6" ref="D70"/>
    <hyperlink r:id="rId7" ref="D86"/>
    <hyperlink r:id="rId8" ref="D93"/>
    <hyperlink r:id="rId9" ref="D96"/>
    <hyperlink r:id="rId10" ref="D97"/>
  </hyperlinks>
  <drawing r:id="rId11"/>
  <tableParts count="1">
    <tablePart r:id="rId13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6" width="12.63"/>
  </cols>
  <sheetData>
    <row r="1" ht="15.75" customHeight="1"/>
    <row r="2" ht="15.75" customHeight="1"/>
    <row r="3" ht="15.75" customHeight="1"/>
    <row r="4" ht="15.75" customHeight="1"/>
    <row r="5" ht="15.75" customHeight="1"/>
    <row r="6" ht="15.75" customHeight="1"/>
    <row r="7" ht="15.75" customHeight="1"/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7.0" topLeftCell="A8" activePane="bottomLeft" state="frozen"/>
      <selection activeCell="B9" sqref="B9" pane="bottomLeft"/>
    </sheetView>
  </sheetViews>
  <sheetFormatPr customHeight="1" defaultColWidth="12.63" defaultRowHeight="15.0"/>
  <cols>
    <col customWidth="1" min="1" max="1" width="3.38"/>
    <col customWidth="1" min="2" max="2" width="5.25"/>
    <col customWidth="1" min="3" max="3" width="18.63"/>
    <col customWidth="1" min="4" max="4" width="21.25"/>
    <col customWidth="1" min="5" max="6" width="12.63"/>
  </cols>
  <sheetData>
    <row r="1" ht="15.75" customHeight="1">
      <c r="A1" s="1"/>
      <c r="B1" s="59"/>
      <c r="C1" s="60" t="s">
        <v>0</v>
      </c>
      <c r="E1" s="3" t="s">
        <v>1</v>
      </c>
      <c r="G1" s="5" t="s">
        <v>519</v>
      </c>
      <c r="H1" s="5" t="s">
        <v>520</v>
      </c>
      <c r="I1" s="5" t="s">
        <v>521</v>
      </c>
      <c r="J1" s="5" t="s">
        <v>522</v>
      </c>
      <c r="K1" s="5" t="s">
        <v>523</v>
      </c>
      <c r="L1" s="5" t="s">
        <v>524</v>
      </c>
      <c r="M1" s="5" t="s">
        <v>525</v>
      </c>
      <c r="N1" s="5" t="s">
        <v>526</v>
      </c>
      <c r="O1" s="5" t="s">
        <v>527</v>
      </c>
    </row>
    <row r="2" ht="15.75" customHeight="1">
      <c r="A2" s="1"/>
      <c r="B2" s="61"/>
      <c r="G2" s="7" t="s">
        <v>528</v>
      </c>
      <c r="H2" s="7" t="s">
        <v>529</v>
      </c>
      <c r="I2" s="7" t="s">
        <v>530</v>
      </c>
      <c r="J2" s="7" t="s">
        <v>531</v>
      </c>
      <c r="K2" s="7" t="s">
        <v>532</v>
      </c>
      <c r="L2" s="7" t="s">
        <v>533</v>
      </c>
      <c r="M2" s="7" t="s">
        <v>534</v>
      </c>
      <c r="N2" s="7" t="s">
        <v>535</v>
      </c>
      <c r="O2" s="7" t="s">
        <v>536</v>
      </c>
    </row>
    <row r="3" ht="15.75" customHeight="1">
      <c r="A3" s="1"/>
      <c r="B3" s="1"/>
      <c r="C3" s="1"/>
      <c r="D3" s="1"/>
      <c r="E3" s="8"/>
      <c r="F3" s="8"/>
      <c r="G3" s="10" t="str">
        <f t="shared" ref="G3:O3" si="1">COUNTIF(G5:G200, "완료") &amp; "명 완료"
</f>
        <v>74명 완료</v>
      </c>
      <c r="H3" s="10" t="str">
        <f t="shared" si="1"/>
        <v>77명 완료</v>
      </c>
      <c r="I3" s="10" t="str">
        <f t="shared" si="1"/>
        <v>78명 완료</v>
      </c>
      <c r="J3" s="10" t="str">
        <f t="shared" si="1"/>
        <v>79명 완료</v>
      </c>
      <c r="K3" s="10" t="str">
        <f t="shared" si="1"/>
        <v>75명 완료</v>
      </c>
      <c r="L3" s="10" t="str">
        <f t="shared" si="1"/>
        <v>75명 완료</v>
      </c>
      <c r="M3" s="10" t="str">
        <f t="shared" si="1"/>
        <v>72명 완료</v>
      </c>
      <c r="N3" s="10" t="str">
        <f t="shared" si="1"/>
        <v>68명 완료</v>
      </c>
      <c r="O3" s="10" t="str">
        <f t="shared" si="1"/>
        <v>58명 완료</v>
      </c>
    </row>
    <row r="4" ht="15.75" customHeight="1">
      <c r="A4" s="192"/>
      <c r="B4" s="63" t="s">
        <v>20</v>
      </c>
      <c r="C4" s="64" t="s">
        <v>21</v>
      </c>
      <c r="D4" s="64" t="s">
        <v>22</v>
      </c>
      <c r="E4" s="65" t="s">
        <v>23</v>
      </c>
      <c r="F4" s="65" t="s">
        <v>24</v>
      </c>
      <c r="G4" s="66" t="s">
        <v>25</v>
      </c>
      <c r="H4" s="66" t="s">
        <v>25</v>
      </c>
      <c r="I4" s="66" t="s">
        <v>25</v>
      </c>
      <c r="J4" s="66" t="s">
        <v>25</v>
      </c>
      <c r="K4" s="66" t="s">
        <v>25</v>
      </c>
      <c r="L4" s="66" t="s">
        <v>25</v>
      </c>
      <c r="M4" s="66" t="s">
        <v>25</v>
      </c>
      <c r="N4" s="66" t="s">
        <v>25</v>
      </c>
      <c r="O4" s="66" t="s">
        <v>25</v>
      </c>
    </row>
    <row r="5" ht="15.75" customHeight="1">
      <c r="A5" s="20"/>
      <c r="B5" s="21">
        <v>1.0</v>
      </c>
      <c r="C5" s="22" t="s">
        <v>26</v>
      </c>
      <c r="D5" s="23" t="s">
        <v>27</v>
      </c>
      <c r="E5" s="70" t="str">
        <f t="shared" ref="E5:E104" si="2">IF(COUNTIF(G5:O5, "완료")=0, "", COUNTIF($G$4:$O$4, "완료") &amp; "번 중 " &amp; COUNTIF(G5:O5, "완료") &amp; "번 참여")
</f>
        <v>9번 중 9번 참여</v>
      </c>
      <c r="F5" s="71">
        <f t="shared" ref="F5:F124" si="3">IF(COUNTIF($G$4:$O$4, "완료")=0, "", IF(COUNTIF(G5:O5, "완료")=0, "", COUNTIF(G5:O5, "완료") / COUNTIF($G$4:$O$4, "완료")))
</f>
        <v>1</v>
      </c>
      <c r="G5" s="26" t="s">
        <v>25</v>
      </c>
      <c r="H5" s="26" t="s">
        <v>25</v>
      </c>
      <c r="I5" s="26" t="s">
        <v>25</v>
      </c>
      <c r="J5" s="26" t="s">
        <v>25</v>
      </c>
      <c r="K5" s="26" t="s">
        <v>25</v>
      </c>
      <c r="L5" s="26" t="s">
        <v>25</v>
      </c>
      <c r="M5" s="26" t="s">
        <v>25</v>
      </c>
      <c r="N5" s="26" t="s">
        <v>25</v>
      </c>
      <c r="O5" s="26" t="s">
        <v>25</v>
      </c>
    </row>
    <row r="6" ht="15.75" customHeight="1">
      <c r="A6" s="28"/>
      <c r="B6" s="29">
        <v>2.0</v>
      </c>
      <c r="C6" s="22" t="s">
        <v>28</v>
      </c>
      <c r="D6" s="22" t="s">
        <v>29</v>
      </c>
      <c r="E6" s="70" t="str">
        <f t="shared" si="2"/>
        <v>9번 중 9번 참여</v>
      </c>
      <c r="F6" s="71">
        <f t="shared" si="3"/>
        <v>1</v>
      </c>
      <c r="G6" s="26" t="s">
        <v>25</v>
      </c>
      <c r="H6" s="26" t="s">
        <v>25</v>
      </c>
      <c r="I6" s="26" t="s">
        <v>25</v>
      </c>
      <c r="J6" s="26" t="s">
        <v>25</v>
      </c>
      <c r="K6" s="26" t="s">
        <v>25</v>
      </c>
      <c r="L6" s="26" t="s">
        <v>25</v>
      </c>
      <c r="M6" s="26" t="s">
        <v>25</v>
      </c>
      <c r="N6" s="26" t="s">
        <v>25</v>
      </c>
      <c r="O6" s="26" t="s">
        <v>25</v>
      </c>
    </row>
    <row r="7" ht="15.75" customHeight="1">
      <c r="A7" s="20"/>
      <c r="B7" s="21">
        <v>3.0</v>
      </c>
      <c r="C7" s="30" t="s">
        <v>30</v>
      </c>
      <c r="D7" s="30" t="s">
        <v>31</v>
      </c>
      <c r="E7" s="70" t="str">
        <f t="shared" si="2"/>
        <v>9번 중 8번 참여</v>
      </c>
      <c r="F7" s="71">
        <f t="shared" si="3"/>
        <v>0.8888888889</v>
      </c>
      <c r="G7" s="26" t="s">
        <v>25</v>
      </c>
      <c r="H7" s="26" t="s">
        <v>25</v>
      </c>
      <c r="I7" s="26" t="s">
        <v>25</v>
      </c>
      <c r="J7" s="26" t="s">
        <v>25</v>
      </c>
      <c r="K7" s="26" t="s">
        <v>25</v>
      </c>
      <c r="L7" s="26" t="s">
        <v>25</v>
      </c>
      <c r="M7" s="26" t="s">
        <v>25</v>
      </c>
      <c r="N7" s="26" t="s">
        <v>25</v>
      </c>
      <c r="O7" s="26"/>
    </row>
    <row r="8" ht="15.75" customHeight="1">
      <c r="A8" s="28"/>
      <c r="B8" s="29">
        <v>4.0</v>
      </c>
      <c r="C8" s="22" t="s">
        <v>32</v>
      </c>
      <c r="D8" s="22" t="s">
        <v>33</v>
      </c>
      <c r="E8" s="70" t="str">
        <f t="shared" si="2"/>
        <v>9번 중 8번 참여</v>
      </c>
      <c r="F8" s="71">
        <f t="shared" si="3"/>
        <v>0.8888888889</v>
      </c>
      <c r="G8" s="26" t="s">
        <v>25</v>
      </c>
      <c r="H8" s="26" t="s">
        <v>25</v>
      </c>
      <c r="I8" s="26" t="s">
        <v>25</v>
      </c>
      <c r="J8" s="26" t="s">
        <v>25</v>
      </c>
      <c r="K8" s="26" t="s">
        <v>25</v>
      </c>
      <c r="L8" s="26" t="s">
        <v>25</v>
      </c>
      <c r="M8" s="26" t="s">
        <v>25</v>
      </c>
      <c r="N8" s="26" t="s">
        <v>25</v>
      </c>
      <c r="O8" s="26"/>
    </row>
    <row r="9" ht="15.75" customHeight="1">
      <c r="A9" s="20"/>
      <c r="B9" s="21">
        <v>5.0</v>
      </c>
      <c r="C9" s="30" t="s">
        <v>34</v>
      </c>
      <c r="D9" s="30" t="s">
        <v>35</v>
      </c>
      <c r="E9" s="70" t="str">
        <f t="shared" si="2"/>
        <v>9번 중 9번 참여</v>
      </c>
      <c r="F9" s="71">
        <f t="shared" si="3"/>
        <v>1</v>
      </c>
      <c r="G9" s="26" t="s">
        <v>25</v>
      </c>
      <c r="H9" s="26" t="s">
        <v>25</v>
      </c>
      <c r="I9" s="26" t="s">
        <v>25</v>
      </c>
      <c r="J9" s="26" t="s">
        <v>25</v>
      </c>
      <c r="K9" s="26" t="s">
        <v>25</v>
      </c>
      <c r="L9" s="26" t="s">
        <v>25</v>
      </c>
      <c r="M9" s="26" t="s">
        <v>25</v>
      </c>
      <c r="N9" s="26" t="s">
        <v>25</v>
      </c>
      <c r="O9" s="26" t="s">
        <v>25</v>
      </c>
    </row>
    <row r="10" ht="15.75" customHeight="1">
      <c r="A10" s="28"/>
      <c r="B10" s="29">
        <v>6.0</v>
      </c>
      <c r="C10" s="22" t="s">
        <v>36</v>
      </c>
      <c r="D10" s="22" t="s">
        <v>72</v>
      </c>
      <c r="E10" s="70" t="str">
        <f t="shared" si="2"/>
        <v>9번 중 9번 참여</v>
      </c>
      <c r="F10" s="71">
        <f t="shared" si="3"/>
        <v>1</v>
      </c>
      <c r="G10" s="26" t="s">
        <v>25</v>
      </c>
      <c r="H10" s="26" t="s">
        <v>25</v>
      </c>
      <c r="I10" s="26" t="s">
        <v>25</v>
      </c>
      <c r="J10" s="26" t="s">
        <v>25</v>
      </c>
      <c r="K10" s="26" t="s">
        <v>25</v>
      </c>
      <c r="L10" s="26" t="s">
        <v>25</v>
      </c>
      <c r="M10" s="26" t="s">
        <v>25</v>
      </c>
      <c r="N10" s="26" t="s">
        <v>25</v>
      </c>
      <c r="O10" s="26" t="s">
        <v>25</v>
      </c>
    </row>
    <row r="11" ht="15.75" customHeight="1">
      <c r="A11" s="20"/>
      <c r="B11" s="21">
        <v>7.0</v>
      </c>
      <c r="C11" s="30" t="s">
        <v>38</v>
      </c>
      <c r="D11" s="30" t="s">
        <v>39</v>
      </c>
      <c r="E11" s="70" t="str">
        <f t="shared" si="2"/>
        <v>9번 중 9번 참여</v>
      </c>
      <c r="F11" s="71">
        <f t="shared" si="3"/>
        <v>1</v>
      </c>
      <c r="G11" s="26" t="s">
        <v>25</v>
      </c>
      <c r="H11" s="26" t="s">
        <v>25</v>
      </c>
      <c r="I11" s="26" t="s">
        <v>25</v>
      </c>
      <c r="J11" s="26" t="s">
        <v>25</v>
      </c>
      <c r="K11" s="26" t="s">
        <v>25</v>
      </c>
      <c r="L11" s="26" t="s">
        <v>25</v>
      </c>
      <c r="M11" s="26" t="s">
        <v>25</v>
      </c>
      <c r="N11" s="26" t="s">
        <v>25</v>
      </c>
      <c r="O11" s="26" t="s">
        <v>25</v>
      </c>
    </row>
    <row r="12" ht="15.75" customHeight="1">
      <c r="A12" s="28"/>
      <c r="B12" s="29">
        <v>8.0</v>
      </c>
      <c r="C12" s="22" t="s">
        <v>40</v>
      </c>
      <c r="D12" s="22" t="s">
        <v>41</v>
      </c>
      <c r="E12" s="70" t="str">
        <f t="shared" si="2"/>
        <v>9번 중 9번 참여</v>
      </c>
      <c r="F12" s="71">
        <f t="shared" si="3"/>
        <v>1</v>
      </c>
      <c r="G12" s="26" t="s">
        <v>25</v>
      </c>
      <c r="H12" s="26" t="s">
        <v>25</v>
      </c>
      <c r="I12" s="26" t="s">
        <v>25</v>
      </c>
      <c r="J12" s="26" t="s">
        <v>25</v>
      </c>
      <c r="K12" s="26" t="s">
        <v>25</v>
      </c>
      <c r="L12" s="26" t="s">
        <v>25</v>
      </c>
      <c r="M12" s="26" t="s">
        <v>25</v>
      </c>
      <c r="N12" s="26" t="s">
        <v>25</v>
      </c>
      <c r="O12" s="26" t="s">
        <v>25</v>
      </c>
    </row>
    <row r="13" ht="15.75" customHeight="1">
      <c r="A13" s="20"/>
      <c r="B13" s="21">
        <v>9.0</v>
      </c>
      <c r="C13" s="30" t="s">
        <v>42</v>
      </c>
      <c r="D13" s="30" t="s">
        <v>43</v>
      </c>
      <c r="E13" s="70" t="str">
        <f t="shared" si="2"/>
        <v>9번 중 7번 참여</v>
      </c>
      <c r="F13" s="71">
        <f t="shared" si="3"/>
        <v>0.7777777778</v>
      </c>
      <c r="G13" s="26"/>
      <c r="H13" s="26" t="s">
        <v>25</v>
      </c>
      <c r="I13" s="26"/>
      <c r="J13" s="26" t="s">
        <v>25</v>
      </c>
      <c r="K13" s="26" t="s">
        <v>25</v>
      </c>
      <c r="L13" s="26" t="s">
        <v>25</v>
      </c>
      <c r="M13" s="26" t="s">
        <v>25</v>
      </c>
      <c r="N13" s="26" t="s">
        <v>25</v>
      </c>
      <c r="O13" s="26" t="s">
        <v>25</v>
      </c>
    </row>
    <row r="14" ht="15.75" customHeight="1">
      <c r="A14" s="28"/>
      <c r="B14" s="29">
        <v>10.0</v>
      </c>
      <c r="C14" s="22" t="s">
        <v>420</v>
      </c>
      <c r="D14" s="22" t="s">
        <v>329</v>
      </c>
      <c r="E14" s="70" t="str">
        <f t="shared" si="2"/>
        <v>9번 중 5번 참여</v>
      </c>
      <c r="F14" s="71">
        <f t="shared" si="3"/>
        <v>0.5555555556</v>
      </c>
      <c r="G14" s="26" t="s">
        <v>25</v>
      </c>
      <c r="H14" s="26" t="s">
        <v>25</v>
      </c>
      <c r="I14" s="26" t="s">
        <v>25</v>
      </c>
      <c r="J14" s="26" t="s">
        <v>25</v>
      </c>
      <c r="K14" s="26" t="s">
        <v>25</v>
      </c>
      <c r="L14" s="26"/>
      <c r="M14" s="26"/>
      <c r="N14" s="26"/>
      <c r="O14" s="26"/>
    </row>
    <row r="15" ht="15.75" customHeight="1">
      <c r="A15" s="20"/>
      <c r="B15" s="21">
        <v>11.0</v>
      </c>
      <c r="C15" s="30" t="s">
        <v>421</v>
      </c>
      <c r="D15" s="30" t="s">
        <v>330</v>
      </c>
      <c r="E15" s="70" t="str">
        <f t="shared" si="2"/>
        <v>9번 중 5번 참여</v>
      </c>
      <c r="F15" s="71">
        <f t="shared" si="3"/>
        <v>0.5555555556</v>
      </c>
      <c r="G15" s="26" t="s">
        <v>25</v>
      </c>
      <c r="H15" s="26" t="s">
        <v>25</v>
      </c>
      <c r="I15" s="26" t="s">
        <v>25</v>
      </c>
      <c r="J15" s="26" t="s">
        <v>25</v>
      </c>
      <c r="K15" s="26" t="s">
        <v>25</v>
      </c>
      <c r="L15" s="26"/>
      <c r="M15" s="26"/>
      <c r="N15" s="26"/>
      <c r="O15" s="26"/>
    </row>
    <row r="16" ht="15.75" customHeight="1">
      <c r="A16" s="28"/>
      <c r="B16" s="29">
        <v>12.0</v>
      </c>
      <c r="C16" s="22" t="s">
        <v>44</v>
      </c>
      <c r="D16" s="22" t="s">
        <v>45</v>
      </c>
      <c r="E16" s="70" t="str">
        <f t="shared" si="2"/>
        <v>9번 중 9번 참여</v>
      </c>
      <c r="F16" s="71">
        <f t="shared" si="3"/>
        <v>1</v>
      </c>
      <c r="G16" s="26" t="s">
        <v>25</v>
      </c>
      <c r="H16" s="26" t="s">
        <v>25</v>
      </c>
      <c r="I16" s="26" t="s">
        <v>25</v>
      </c>
      <c r="J16" s="26" t="s">
        <v>25</v>
      </c>
      <c r="K16" s="26" t="s">
        <v>25</v>
      </c>
      <c r="L16" s="26" t="s">
        <v>25</v>
      </c>
      <c r="M16" s="26" t="s">
        <v>25</v>
      </c>
      <c r="N16" s="26" t="s">
        <v>25</v>
      </c>
      <c r="O16" s="26" t="s">
        <v>25</v>
      </c>
    </row>
    <row r="17" ht="15.75" customHeight="1">
      <c r="A17" s="20"/>
      <c r="B17" s="21">
        <v>13.0</v>
      </c>
      <c r="C17" s="30" t="s">
        <v>46</v>
      </c>
      <c r="D17" s="30" t="s">
        <v>47</v>
      </c>
      <c r="E17" s="70" t="str">
        <f t="shared" si="2"/>
        <v>9번 중 9번 참여</v>
      </c>
      <c r="F17" s="71">
        <f t="shared" si="3"/>
        <v>1</v>
      </c>
      <c r="G17" s="26" t="s">
        <v>25</v>
      </c>
      <c r="H17" s="26" t="s">
        <v>25</v>
      </c>
      <c r="I17" s="26" t="s">
        <v>25</v>
      </c>
      <c r="J17" s="26" t="s">
        <v>25</v>
      </c>
      <c r="K17" s="26" t="s">
        <v>25</v>
      </c>
      <c r="L17" s="26" t="s">
        <v>25</v>
      </c>
      <c r="M17" s="26" t="s">
        <v>25</v>
      </c>
      <c r="N17" s="26" t="s">
        <v>25</v>
      </c>
      <c r="O17" s="26" t="s">
        <v>25</v>
      </c>
    </row>
    <row r="18" ht="15.75" customHeight="1">
      <c r="A18" s="28"/>
      <c r="B18" s="29">
        <v>14.0</v>
      </c>
      <c r="C18" s="22" t="s">
        <v>48</v>
      </c>
      <c r="D18" s="22" t="s">
        <v>49</v>
      </c>
      <c r="E18" s="70" t="str">
        <f t="shared" si="2"/>
        <v>9번 중 9번 참여</v>
      </c>
      <c r="F18" s="71">
        <f t="shared" si="3"/>
        <v>1</v>
      </c>
      <c r="G18" s="26" t="s">
        <v>25</v>
      </c>
      <c r="H18" s="26" t="s">
        <v>25</v>
      </c>
      <c r="I18" s="26" t="s">
        <v>25</v>
      </c>
      <c r="J18" s="26" t="s">
        <v>25</v>
      </c>
      <c r="K18" s="26" t="s">
        <v>25</v>
      </c>
      <c r="L18" s="26" t="s">
        <v>25</v>
      </c>
      <c r="M18" s="26" t="s">
        <v>25</v>
      </c>
      <c r="N18" s="26" t="s">
        <v>25</v>
      </c>
      <c r="O18" s="26" t="s">
        <v>25</v>
      </c>
    </row>
    <row r="19" ht="15.75" customHeight="1">
      <c r="A19" s="20"/>
      <c r="B19" s="21">
        <v>15.0</v>
      </c>
      <c r="C19" s="30" t="s">
        <v>50</v>
      </c>
      <c r="D19" s="30" t="s">
        <v>51</v>
      </c>
      <c r="E19" s="70" t="str">
        <f t="shared" si="2"/>
        <v>9번 중 9번 참여</v>
      </c>
      <c r="F19" s="71">
        <f t="shared" si="3"/>
        <v>1</v>
      </c>
      <c r="G19" s="26" t="s">
        <v>25</v>
      </c>
      <c r="H19" s="26" t="s">
        <v>25</v>
      </c>
      <c r="I19" s="26" t="s">
        <v>25</v>
      </c>
      <c r="J19" s="26" t="s">
        <v>25</v>
      </c>
      <c r="K19" s="26" t="s">
        <v>25</v>
      </c>
      <c r="L19" s="26" t="s">
        <v>25</v>
      </c>
      <c r="M19" s="26" t="s">
        <v>25</v>
      </c>
      <c r="N19" s="26" t="s">
        <v>25</v>
      </c>
      <c r="O19" s="26" t="s">
        <v>25</v>
      </c>
    </row>
    <row r="20" ht="15.75" customHeight="1">
      <c r="A20" s="28"/>
      <c r="B20" s="29">
        <v>16.0</v>
      </c>
      <c r="C20" s="22" t="s">
        <v>52</v>
      </c>
      <c r="D20" s="22" t="s">
        <v>53</v>
      </c>
      <c r="E20" s="70" t="str">
        <f t="shared" si="2"/>
        <v>9번 중 9번 참여</v>
      </c>
      <c r="F20" s="71">
        <f t="shared" si="3"/>
        <v>1</v>
      </c>
      <c r="G20" s="26" t="s">
        <v>25</v>
      </c>
      <c r="H20" s="26" t="s">
        <v>25</v>
      </c>
      <c r="I20" s="26" t="s">
        <v>25</v>
      </c>
      <c r="J20" s="26" t="s">
        <v>25</v>
      </c>
      <c r="K20" s="26" t="s">
        <v>25</v>
      </c>
      <c r="L20" s="26" t="s">
        <v>25</v>
      </c>
      <c r="M20" s="26" t="s">
        <v>25</v>
      </c>
      <c r="N20" s="26" t="s">
        <v>25</v>
      </c>
      <c r="O20" s="26" t="s">
        <v>25</v>
      </c>
    </row>
    <row r="21" ht="15.75" customHeight="1">
      <c r="A21" s="20"/>
      <c r="B21" s="21">
        <v>17.0</v>
      </c>
      <c r="C21" s="30" t="s">
        <v>331</v>
      </c>
      <c r="D21" s="30" t="s">
        <v>332</v>
      </c>
      <c r="E21" s="70" t="str">
        <f t="shared" si="2"/>
        <v>9번 중 6번 참여</v>
      </c>
      <c r="F21" s="71">
        <f t="shared" si="3"/>
        <v>0.6666666667</v>
      </c>
      <c r="G21" s="26" t="s">
        <v>25</v>
      </c>
      <c r="H21" s="26" t="s">
        <v>25</v>
      </c>
      <c r="I21" s="26" t="s">
        <v>25</v>
      </c>
      <c r="J21" s="26" t="s">
        <v>25</v>
      </c>
      <c r="K21" s="26" t="s">
        <v>25</v>
      </c>
      <c r="L21" s="26" t="s">
        <v>25</v>
      </c>
      <c r="M21" s="26"/>
      <c r="N21" s="26"/>
      <c r="O21" s="26"/>
    </row>
    <row r="22" ht="15.75" customHeight="1">
      <c r="A22" s="28"/>
      <c r="B22" s="29">
        <v>18.0</v>
      </c>
      <c r="C22" s="22" t="s">
        <v>56</v>
      </c>
      <c r="D22" s="22" t="s">
        <v>57</v>
      </c>
      <c r="E22" s="70" t="str">
        <f t="shared" si="2"/>
        <v>9번 중 9번 참여</v>
      </c>
      <c r="F22" s="71">
        <f t="shared" si="3"/>
        <v>1</v>
      </c>
      <c r="G22" s="26" t="s">
        <v>25</v>
      </c>
      <c r="H22" s="26" t="s">
        <v>25</v>
      </c>
      <c r="I22" s="26" t="s">
        <v>25</v>
      </c>
      <c r="J22" s="26" t="s">
        <v>25</v>
      </c>
      <c r="K22" s="26" t="s">
        <v>25</v>
      </c>
      <c r="L22" s="26" t="s">
        <v>25</v>
      </c>
      <c r="M22" s="26" t="s">
        <v>25</v>
      </c>
      <c r="N22" s="26" t="s">
        <v>25</v>
      </c>
      <c r="O22" s="26" t="s">
        <v>25</v>
      </c>
    </row>
    <row r="23" ht="15.75" customHeight="1">
      <c r="A23" s="20"/>
      <c r="B23" s="21">
        <v>19.0</v>
      </c>
      <c r="C23" s="30" t="s">
        <v>58</v>
      </c>
      <c r="D23" s="195" t="s">
        <v>59</v>
      </c>
      <c r="E23" s="70" t="str">
        <f t="shared" si="2"/>
        <v>9번 중 9번 참여</v>
      </c>
      <c r="F23" s="71">
        <f t="shared" si="3"/>
        <v>1</v>
      </c>
      <c r="G23" s="26" t="s">
        <v>25</v>
      </c>
      <c r="H23" s="26" t="s">
        <v>25</v>
      </c>
      <c r="I23" s="26" t="s">
        <v>25</v>
      </c>
      <c r="J23" s="26" t="s">
        <v>25</v>
      </c>
      <c r="K23" s="26" t="s">
        <v>25</v>
      </c>
      <c r="L23" s="26" t="s">
        <v>25</v>
      </c>
      <c r="M23" s="26" t="s">
        <v>25</v>
      </c>
      <c r="N23" s="26" t="s">
        <v>25</v>
      </c>
      <c r="O23" s="26" t="s">
        <v>25</v>
      </c>
    </row>
    <row r="24" ht="15.75" customHeight="1">
      <c r="A24" s="28"/>
      <c r="B24" s="29">
        <v>20.0</v>
      </c>
      <c r="C24" s="22" t="s">
        <v>60</v>
      </c>
      <c r="D24" s="23" t="s">
        <v>61</v>
      </c>
      <c r="E24" s="70" t="str">
        <f t="shared" si="2"/>
        <v>9번 중 7번 참여</v>
      </c>
      <c r="F24" s="71">
        <f t="shared" si="3"/>
        <v>0.7777777778</v>
      </c>
      <c r="G24" s="26" t="s">
        <v>25</v>
      </c>
      <c r="H24" s="26" t="s">
        <v>25</v>
      </c>
      <c r="I24" s="26" t="s">
        <v>25</v>
      </c>
      <c r="J24" s="26"/>
      <c r="K24" s="26"/>
      <c r="L24" s="26" t="s">
        <v>25</v>
      </c>
      <c r="M24" s="26" t="s">
        <v>25</v>
      </c>
      <c r="N24" s="26" t="s">
        <v>25</v>
      </c>
      <c r="O24" s="26" t="s">
        <v>25</v>
      </c>
    </row>
    <row r="25" ht="15.75" customHeight="1">
      <c r="A25" s="20"/>
      <c r="B25" s="21">
        <v>21.0</v>
      </c>
      <c r="C25" s="42" t="s">
        <v>62</v>
      </c>
      <c r="D25" s="196" t="s">
        <v>63</v>
      </c>
      <c r="E25" s="70" t="str">
        <f t="shared" si="2"/>
        <v>9번 중 9번 참여</v>
      </c>
      <c r="F25" s="71">
        <f t="shared" si="3"/>
        <v>1</v>
      </c>
      <c r="G25" s="26" t="s">
        <v>25</v>
      </c>
      <c r="H25" s="26" t="s">
        <v>25</v>
      </c>
      <c r="I25" s="26" t="s">
        <v>25</v>
      </c>
      <c r="J25" s="26" t="s">
        <v>25</v>
      </c>
      <c r="K25" s="26" t="s">
        <v>25</v>
      </c>
      <c r="L25" s="26" t="s">
        <v>25</v>
      </c>
      <c r="M25" s="26" t="s">
        <v>25</v>
      </c>
      <c r="N25" s="26" t="s">
        <v>25</v>
      </c>
      <c r="O25" s="26" t="s">
        <v>25</v>
      </c>
    </row>
    <row r="26" ht="15.75" customHeight="1">
      <c r="A26" s="28"/>
      <c r="B26" s="29">
        <v>22.0</v>
      </c>
      <c r="C26" s="22" t="s">
        <v>64</v>
      </c>
      <c r="D26" s="22" t="s">
        <v>65</v>
      </c>
      <c r="E26" s="70" t="str">
        <f t="shared" si="2"/>
        <v>9번 중 8번 참여</v>
      </c>
      <c r="F26" s="71">
        <f t="shared" si="3"/>
        <v>0.8888888889</v>
      </c>
      <c r="G26" s="26"/>
      <c r="H26" s="26" t="s">
        <v>25</v>
      </c>
      <c r="I26" s="26" t="s">
        <v>25</v>
      </c>
      <c r="J26" s="26" t="s">
        <v>25</v>
      </c>
      <c r="K26" s="26" t="s">
        <v>25</v>
      </c>
      <c r="L26" s="26" t="s">
        <v>25</v>
      </c>
      <c r="M26" s="26" t="s">
        <v>25</v>
      </c>
      <c r="N26" s="26" t="s">
        <v>25</v>
      </c>
      <c r="O26" s="26" t="s">
        <v>25</v>
      </c>
    </row>
    <row r="27" ht="15.75" customHeight="1">
      <c r="A27" s="20"/>
      <c r="B27" s="21">
        <v>23.0</v>
      </c>
      <c r="C27" s="30" t="s">
        <v>66</v>
      </c>
      <c r="D27" s="30" t="s">
        <v>67</v>
      </c>
      <c r="E27" s="70" t="str">
        <f t="shared" si="2"/>
        <v>9번 중 9번 참여</v>
      </c>
      <c r="F27" s="71">
        <f t="shared" si="3"/>
        <v>1</v>
      </c>
      <c r="G27" s="26" t="s">
        <v>25</v>
      </c>
      <c r="H27" s="26" t="s">
        <v>25</v>
      </c>
      <c r="I27" s="26" t="s">
        <v>25</v>
      </c>
      <c r="J27" s="26" t="s">
        <v>25</v>
      </c>
      <c r="K27" s="26" t="s">
        <v>25</v>
      </c>
      <c r="L27" s="26" t="s">
        <v>25</v>
      </c>
      <c r="M27" s="26" t="s">
        <v>25</v>
      </c>
      <c r="N27" s="26" t="s">
        <v>25</v>
      </c>
      <c r="O27" s="26" t="s">
        <v>25</v>
      </c>
    </row>
    <row r="28" ht="15.75" customHeight="1">
      <c r="A28" s="28"/>
      <c r="B28" s="29">
        <v>24.0</v>
      </c>
      <c r="C28" s="75" t="s">
        <v>537</v>
      </c>
      <c r="D28" s="75" t="s">
        <v>538</v>
      </c>
      <c r="E28" s="70" t="str">
        <f t="shared" si="2"/>
        <v>9번 중 9번 참여</v>
      </c>
      <c r="F28" s="71">
        <f t="shared" si="3"/>
        <v>1</v>
      </c>
      <c r="G28" s="26" t="s">
        <v>25</v>
      </c>
      <c r="H28" s="26" t="s">
        <v>25</v>
      </c>
      <c r="I28" s="26" t="s">
        <v>25</v>
      </c>
      <c r="J28" s="26" t="s">
        <v>25</v>
      </c>
      <c r="K28" s="26" t="s">
        <v>25</v>
      </c>
      <c r="L28" s="26" t="s">
        <v>25</v>
      </c>
      <c r="M28" s="26" t="s">
        <v>25</v>
      </c>
      <c r="N28" s="26" t="s">
        <v>25</v>
      </c>
      <c r="O28" s="26" t="s">
        <v>25</v>
      </c>
    </row>
    <row r="29" ht="15.75" customHeight="1">
      <c r="A29" s="20"/>
      <c r="B29" s="21">
        <v>25.0</v>
      </c>
      <c r="C29" s="30" t="s">
        <v>74</v>
      </c>
      <c r="D29" s="30" t="s">
        <v>75</v>
      </c>
      <c r="E29" s="70" t="str">
        <f t="shared" si="2"/>
        <v>9번 중 7번 참여</v>
      </c>
      <c r="F29" s="71">
        <f t="shared" si="3"/>
        <v>0.7777777778</v>
      </c>
      <c r="G29" s="26" t="s">
        <v>25</v>
      </c>
      <c r="H29" s="26" t="s">
        <v>25</v>
      </c>
      <c r="I29" s="26" t="s">
        <v>25</v>
      </c>
      <c r="J29" s="26"/>
      <c r="K29" s="26" t="s">
        <v>25</v>
      </c>
      <c r="L29" s="26" t="s">
        <v>25</v>
      </c>
      <c r="M29" s="26" t="s">
        <v>25</v>
      </c>
      <c r="N29" s="26"/>
      <c r="O29" s="26" t="s">
        <v>25</v>
      </c>
    </row>
    <row r="30" ht="15.75" customHeight="1">
      <c r="A30" s="28"/>
      <c r="B30" s="29">
        <v>26.0</v>
      </c>
      <c r="C30" s="22" t="s">
        <v>76</v>
      </c>
      <c r="D30" s="23" t="s">
        <v>77</v>
      </c>
      <c r="E30" s="70" t="str">
        <f t="shared" si="2"/>
        <v>9번 중 4번 참여</v>
      </c>
      <c r="F30" s="71">
        <f t="shared" si="3"/>
        <v>0.4444444444</v>
      </c>
      <c r="G30" s="26"/>
      <c r="H30" s="26"/>
      <c r="I30" s="26" t="s">
        <v>25</v>
      </c>
      <c r="J30" s="26" t="s">
        <v>25</v>
      </c>
      <c r="K30" s="26" t="s">
        <v>25</v>
      </c>
      <c r="L30" s="26" t="s">
        <v>25</v>
      </c>
      <c r="M30" s="26"/>
      <c r="N30" s="26"/>
      <c r="O30" s="26"/>
    </row>
    <row r="31" ht="15.75" customHeight="1">
      <c r="A31" s="20"/>
      <c r="B31" s="21">
        <v>27.0</v>
      </c>
      <c r="C31" s="30" t="s">
        <v>78</v>
      </c>
      <c r="D31" s="103" t="s">
        <v>79</v>
      </c>
      <c r="E31" s="70" t="str">
        <f t="shared" si="2"/>
        <v>9번 중 9번 참여</v>
      </c>
      <c r="F31" s="71">
        <f t="shared" si="3"/>
        <v>1</v>
      </c>
      <c r="G31" s="26" t="s">
        <v>25</v>
      </c>
      <c r="H31" s="26" t="s">
        <v>25</v>
      </c>
      <c r="I31" s="26" t="s">
        <v>25</v>
      </c>
      <c r="J31" s="26" t="s">
        <v>25</v>
      </c>
      <c r="K31" s="26" t="s">
        <v>25</v>
      </c>
      <c r="L31" s="26" t="s">
        <v>25</v>
      </c>
      <c r="M31" s="26" t="s">
        <v>25</v>
      </c>
      <c r="N31" s="26" t="s">
        <v>25</v>
      </c>
      <c r="O31" s="26" t="s">
        <v>25</v>
      </c>
    </row>
    <row r="32" ht="15.75" customHeight="1">
      <c r="A32" s="28"/>
      <c r="B32" s="29">
        <v>28.0</v>
      </c>
      <c r="C32" s="22" t="s">
        <v>130</v>
      </c>
      <c r="D32" s="22" t="s">
        <v>340</v>
      </c>
      <c r="E32" s="70" t="str">
        <f t="shared" si="2"/>
        <v>9번 중 1번 참여</v>
      </c>
      <c r="F32" s="71">
        <f t="shared" si="3"/>
        <v>0.1111111111</v>
      </c>
      <c r="G32" s="26"/>
      <c r="H32" s="26" t="s">
        <v>25</v>
      </c>
      <c r="I32" s="26"/>
      <c r="J32" s="26"/>
      <c r="K32" s="26"/>
      <c r="L32" s="26"/>
      <c r="M32" s="26"/>
      <c r="N32" s="26"/>
      <c r="O32" s="26"/>
    </row>
    <row r="33" ht="15.75" customHeight="1">
      <c r="A33" s="20"/>
      <c r="B33" s="21">
        <v>29.0</v>
      </c>
      <c r="C33" s="30" t="s">
        <v>81</v>
      </c>
      <c r="D33" s="30" t="s">
        <v>82</v>
      </c>
      <c r="E33" s="70" t="str">
        <f t="shared" si="2"/>
        <v>9번 중 9번 참여</v>
      </c>
      <c r="F33" s="71">
        <f t="shared" si="3"/>
        <v>1</v>
      </c>
      <c r="G33" s="26" t="s">
        <v>25</v>
      </c>
      <c r="H33" s="26" t="s">
        <v>25</v>
      </c>
      <c r="I33" s="26" t="s">
        <v>25</v>
      </c>
      <c r="J33" s="26" t="s">
        <v>25</v>
      </c>
      <c r="K33" s="26" t="s">
        <v>25</v>
      </c>
      <c r="L33" s="26" t="s">
        <v>25</v>
      </c>
      <c r="M33" s="26" t="s">
        <v>25</v>
      </c>
      <c r="N33" s="26" t="s">
        <v>25</v>
      </c>
      <c r="O33" s="26" t="s">
        <v>25</v>
      </c>
    </row>
    <row r="34" ht="15.75" customHeight="1">
      <c r="A34" s="28"/>
      <c r="B34" s="29">
        <v>30.0</v>
      </c>
      <c r="C34" s="22" t="s">
        <v>83</v>
      </c>
      <c r="D34" s="22" t="s">
        <v>84</v>
      </c>
      <c r="E34" s="70" t="str">
        <f t="shared" si="2"/>
        <v>9번 중 7번 참여</v>
      </c>
      <c r="F34" s="71">
        <f t="shared" si="3"/>
        <v>0.7777777778</v>
      </c>
      <c r="G34" s="26" t="s">
        <v>25</v>
      </c>
      <c r="H34" s="26"/>
      <c r="I34" s="26"/>
      <c r="J34" s="26" t="s">
        <v>25</v>
      </c>
      <c r="K34" s="26" t="s">
        <v>25</v>
      </c>
      <c r="L34" s="26" t="s">
        <v>25</v>
      </c>
      <c r="M34" s="26" t="s">
        <v>25</v>
      </c>
      <c r="N34" s="26" t="s">
        <v>25</v>
      </c>
      <c r="O34" s="26" t="s">
        <v>25</v>
      </c>
    </row>
    <row r="35" ht="15.75" customHeight="1">
      <c r="A35" s="20"/>
      <c r="B35" s="21">
        <v>31.0</v>
      </c>
      <c r="C35" s="30" t="s">
        <v>85</v>
      </c>
      <c r="D35" s="30" t="s">
        <v>86</v>
      </c>
      <c r="E35" s="70" t="str">
        <f t="shared" si="2"/>
        <v>9번 중 8번 참여</v>
      </c>
      <c r="F35" s="71">
        <f t="shared" si="3"/>
        <v>0.8888888889</v>
      </c>
      <c r="G35" s="26" t="s">
        <v>25</v>
      </c>
      <c r="H35" s="26" t="s">
        <v>25</v>
      </c>
      <c r="I35" s="26" t="s">
        <v>25</v>
      </c>
      <c r="J35" s="26" t="s">
        <v>25</v>
      </c>
      <c r="K35" s="26" t="s">
        <v>25</v>
      </c>
      <c r="L35" s="26" t="s">
        <v>25</v>
      </c>
      <c r="M35" s="26"/>
      <c r="N35" s="26" t="s">
        <v>25</v>
      </c>
      <c r="O35" s="26" t="s">
        <v>25</v>
      </c>
    </row>
    <row r="36" ht="15.75" customHeight="1">
      <c r="A36" s="28"/>
      <c r="B36" s="29">
        <v>32.0</v>
      </c>
      <c r="C36" s="22" t="s">
        <v>87</v>
      </c>
      <c r="D36" s="23" t="s">
        <v>88</v>
      </c>
      <c r="E36" s="70" t="str">
        <f t="shared" si="2"/>
        <v>9번 중 7번 참여</v>
      </c>
      <c r="F36" s="71">
        <f t="shared" si="3"/>
        <v>0.7777777778</v>
      </c>
      <c r="G36" s="26"/>
      <c r="H36" s="26" t="s">
        <v>25</v>
      </c>
      <c r="I36" s="26" t="s">
        <v>25</v>
      </c>
      <c r="J36" s="26" t="s">
        <v>25</v>
      </c>
      <c r="K36" s="26" t="s">
        <v>25</v>
      </c>
      <c r="L36" s="26" t="s">
        <v>25</v>
      </c>
      <c r="M36" s="26" t="s">
        <v>25</v>
      </c>
      <c r="N36" s="26"/>
      <c r="O36" s="26" t="s">
        <v>25</v>
      </c>
    </row>
    <row r="37" ht="15.75" customHeight="1">
      <c r="A37" s="20"/>
      <c r="B37" s="21">
        <v>33.0</v>
      </c>
      <c r="C37" s="105" t="s">
        <v>539</v>
      </c>
      <c r="D37" s="104" t="s">
        <v>346</v>
      </c>
      <c r="E37" s="70" t="str">
        <f t="shared" si="2"/>
        <v>9번 중 8번 참여</v>
      </c>
      <c r="F37" s="71">
        <f t="shared" si="3"/>
        <v>0.8888888889</v>
      </c>
      <c r="G37" s="26" t="s">
        <v>25</v>
      </c>
      <c r="H37" s="26"/>
      <c r="I37" s="26" t="s">
        <v>25</v>
      </c>
      <c r="J37" s="26" t="s">
        <v>25</v>
      </c>
      <c r="K37" s="26" t="s">
        <v>25</v>
      </c>
      <c r="L37" s="26" t="s">
        <v>25</v>
      </c>
      <c r="M37" s="26" t="s">
        <v>25</v>
      </c>
      <c r="N37" s="26" t="s">
        <v>25</v>
      </c>
      <c r="O37" s="26" t="s">
        <v>25</v>
      </c>
    </row>
    <row r="38" ht="15.75" customHeight="1">
      <c r="A38" s="28"/>
      <c r="B38" s="29">
        <v>34.0</v>
      </c>
      <c r="C38" s="44" t="s">
        <v>91</v>
      </c>
      <c r="D38" s="44" t="s">
        <v>92</v>
      </c>
      <c r="E38" s="70" t="str">
        <f t="shared" si="2"/>
        <v>9번 중 9번 참여</v>
      </c>
      <c r="F38" s="71">
        <f t="shared" si="3"/>
        <v>1</v>
      </c>
      <c r="G38" s="26" t="s">
        <v>25</v>
      </c>
      <c r="H38" s="26" t="s">
        <v>25</v>
      </c>
      <c r="I38" s="26" t="s">
        <v>25</v>
      </c>
      <c r="J38" s="26" t="s">
        <v>25</v>
      </c>
      <c r="K38" s="26" t="s">
        <v>25</v>
      </c>
      <c r="L38" s="26" t="s">
        <v>25</v>
      </c>
      <c r="M38" s="26" t="s">
        <v>25</v>
      </c>
      <c r="N38" s="26" t="s">
        <v>25</v>
      </c>
      <c r="O38" s="26" t="s">
        <v>25</v>
      </c>
    </row>
    <row r="39" ht="15.75" customHeight="1">
      <c r="A39" s="20"/>
      <c r="B39" s="21">
        <v>35.0</v>
      </c>
      <c r="C39" s="30" t="s">
        <v>93</v>
      </c>
      <c r="D39" s="30" t="s">
        <v>94</v>
      </c>
      <c r="E39" s="70" t="str">
        <f t="shared" si="2"/>
        <v>9번 중 8번 참여</v>
      </c>
      <c r="F39" s="71">
        <f t="shared" si="3"/>
        <v>0.8888888889</v>
      </c>
      <c r="G39" s="26" t="s">
        <v>25</v>
      </c>
      <c r="H39" s="26" t="s">
        <v>25</v>
      </c>
      <c r="I39" s="26" t="s">
        <v>25</v>
      </c>
      <c r="J39" s="26" t="s">
        <v>25</v>
      </c>
      <c r="K39" s="26" t="s">
        <v>25</v>
      </c>
      <c r="L39" s="26" t="s">
        <v>25</v>
      </c>
      <c r="M39" s="26" t="s">
        <v>25</v>
      </c>
      <c r="N39" s="26" t="s">
        <v>25</v>
      </c>
      <c r="O39" s="26"/>
    </row>
    <row r="40" ht="15.75" customHeight="1">
      <c r="A40" s="28"/>
      <c r="B40" s="29">
        <v>36.0</v>
      </c>
      <c r="C40" s="22" t="s">
        <v>124</v>
      </c>
      <c r="D40" s="22" t="s">
        <v>125</v>
      </c>
      <c r="E40" s="70" t="str">
        <f t="shared" si="2"/>
        <v>9번 중 9번 참여</v>
      </c>
      <c r="F40" s="71">
        <f t="shared" si="3"/>
        <v>1</v>
      </c>
      <c r="G40" s="26" t="s">
        <v>25</v>
      </c>
      <c r="H40" s="26" t="s">
        <v>25</v>
      </c>
      <c r="I40" s="26" t="s">
        <v>25</v>
      </c>
      <c r="J40" s="26" t="s">
        <v>25</v>
      </c>
      <c r="K40" s="26" t="s">
        <v>25</v>
      </c>
      <c r="L40" s="26" t="s">
        <v>25</v>
      </c>
      <c r="M40" s="26" t="s">
        <v>25</v>
      </c>
      <c r="N40" s="26" t="s">
        <v>25</v>
      </c>
      <c r="O40" s="26" t="s">
        <v>25</v>
      </c>
    </row>
    <row r="41" ht="15.75" customHeight="1">
      <c r="A41" s="20"/>
      <c r="B41" s="21">
        <v>37.0</v>
      </c>
      <c r="C41" s="30" t="s">
        <v>128</v>
      </c>
      <c r="D41" s="30" t="s">
        <v>129</v>
      </c>
      <c r="E41" s="70" t="str">
        <f t="shared" si="2"/>
        <v>9번 중 9번 참여</v>
      </c>
      <c r="F41" s="71">
        <f t="shared" si="3"/>
        <v>1</v>
      </c>
      <c r="G41" s="26" t="s">
        <v>25</v>
      </c>
      <c r="H41" s="26" t="s">
        <v>25</v>
      </c>
      <c r="I41" s="26" t="s">
        <v>25</v>
      </c>
      <c r="J41" s="26" t="s">
        <v>25</v>
      </c>
      <c r="K41" s="26" t="s">
        <v>25</v>
      </c>
      <c r="L41" s="26" t="s">
        <v>25</v>
      </c>
      <c r="M41" s="26" t="s">
        <v>25</v>
      </c>
      <c r="N41" s="26" t="s">
        <v>25</v>
      </c>
      <c r="O41" s="26" t="s">
        <v>25</v>
      </c>
    </row>
    <row r="42" ht="15.75" customHeight="1">
      <c r="A42" s="28"/>
      <c r="B42" s="29">
        <v>38.0</v>
      </c>
      <c r="C42" s="22" t="s">
        <v>99</v>
      </c>
      <c r="D42" s="22" t="s">
        <v>100</v>
      </c>
      <c r="E42" s="70" t="str">
        <f t="shared" si="2"/>
        <v>9번 중 8번 참여</v>
      </c>
      <c r="F42" s="71">
        <f t="shared" si="3"/>
        <v>0.8888888889</v>
      </c>
      <c r="G42" s="26"/>
      <c r="H42" s="26" t="s">
        <v>25</v>
      </c>
      <c r="I42" s="26" t="s">
        <v>25</v>
      </c>
      <c r="J42" s="26" t="s">
        <v>25</v>
      </c>
      <c r="K42" s="26" t="s">
        <v>25</v>
      </c>
      <c r="L42" s="26" t="s">
        <v>25</v>
      </c>
      <c r="M42" s="26" t="s">
        <v>25</v>
      </c>
      <c r="N42" s="26" t="s">
        <v>25</v>
      </c>
      <c r="O42" s="26" t="s">
        <v>25</v>
      </c>
    </row>
    <row r="43" ht="15.75" customHeight="1">
      <c r="A43" s="20"/>
      <c r="B43" s="21">
        <v>39.0</v>
      </c>
      <c r="C43" s="30" t="s">
        <v>349</v>
      </c>
      <c r="D43" s="30" t="s">
        <v>350</v>
      </c>
      <c r="E43" s="70" t="str">
        <f t="shared" si="2"/>
        <v>9번 중 8번 참여</v>
      </c>
      <c r="F43" s="71">
        <f t="shared" si="3"/>
        <v>0.8888888889</v>
      </c>
      <c r="G43" s="26" t="s">
        <v>25</v>
      </c>
      <c r="H43" s="26" t="s">
        <v>25</v>
      </c>
      <c r="I43" s="26" t="s">
        <v>25</v>
      </c>
      <c r="J43" s="26" t="s">
        <v>25</v>
      </c>
      <c r="K43" s="26" t="s">
        <v>25</v>
      </c>
      <c r="L43" s="26" t="s">
        <v>25</v>
      </c>
      <c r="M43" s="26" t="s">
        <v>25</v>
      </c>
      <c r="N43" s="26" t="s">
        <v>25</v>
      </c>
      <c r="O43" s="26"/>
    </row>
    <row r="44" ht="15.75" customHeight="1">
      <c r="A44" s="28"/>
      <c r="B44" s="29">
        <v>40.0</v>
      </c>
      <c r="C44" s="22" t="s">
        <v>95</v>
      </c>
      <c r="D44" s="22" t="s">
        <v>96</v>
      </c>
      <c r="E44" s="70" t="str">
        <f t="shared" si="2"/>
        <v>9번 중 9번 참여</v>
      </c>
      <c r="F44" s="71">
        <f t="shared" si="3"/>
        <v>1</v>
      </c>
      <c r="G44" s="26" t="s">
        <v>25</v>
      </c>
      <c r="H44" s="26" t="s">
        <v>25</v>
      </c>
      <c r="I44" s="26" t="s">
        <v>25</v>
      </c>
      <c r="J44" s="26" t="s">
        <v>25</v>
      </c>
      <c r="K44" s="26" t="s">
        <v>25</v>
      </c>
      <c r="L44" s="26" t="s">
        <v>25</v>
      </c>
      <c r="M44" s="26" t="s">
        <v>25</v>
      </c>
      <c r="N44" s="26" t="s">
        <v>25</v>
      </c>
      <c r="O44" s="26" t="s">
        <v>25</v>
      </c>
    </row>
    <row r="45" ht="15.75" customHeight="1">
      <c r="A45" s="20"/>
      <c r="B45" s="21">
        <v>41.0</v>
      </c>
      <c r="C45" s="30" t="s">
        <v>97</v>
      </c>
      <c r="D45" s="30" t="s">
        <v>98</v>
      </c>
      <c r="E45" s="70" t="str">
        <f t="shared" si="2"/>
        <v>9번 중 9번 참여</v>
      </c>
      <c r="F45" s="71">
        <f t="shared" si="3"/>
        <v>1</v>
      </c>
      <c r="G45" s="26" t="s">
        <v>25</v>
      </c>
      <c r="H45" s="26" t="s">
        <v>25</v>
      </c>
      <c r="I45" s="26" t="s">
        <v>25</v>
      </c>
      <c r="J45" s="26" t="s">
        <v>25</v>
      </c>
      <c r="K45" s="26" t="s">
        <v>25</v>
      </c>
      <c r="L45" s="26" t="s">
        <v>25</v>
      </c>
      <c r="M45" s="26" t="s">
        <v>25</v>
      </c>
      <c r="N45" s="26" t="s">
        <v>25</v>
      </c>
      <c r="O45" s="26" t="s">
        <v>25</v>
      </c>
    </row>
    <row r="46" ht="15.75" customHeight="1">
      <c r="A46" s="28"/>
      <c r="B46" s="29">
        <v>42.0</v>
      </c>
      <c r="C46" s="42" t="s">
        <v>540</v>
      </c>
      <c r="D46" s="42" t="s">
        <v>541</v>
      </c>
      <c r="E46" s="70" t="str">
        <f t="shared" si="2"/>
        <v>9번 중 5번 참여</v>
      </c>
      <c r="F46" s="71">
        <f t="shared" si="3"/>
        <v>0.5555555556</v>
      </c>
      <c r="G46" s="26"/>
      <c r="H46" s="26" t="s">
        <v>25</v>
      </c>
      <c r="I46" s="26" t="s">
        <v>25</v>
      </c>
      <c r="J46" s="26" t="s">
        <v>25</v>
      </c>
      <c r="K46" s="26"/>
      <c r="L46" s="26" t="s">
        <v>25</v>
      </c>
      <c r="M46" s="26" t="s">
        <v>25</v>
      </c>
      <c r="N46" s="26"/>
      <c r="O46" s="26"/>
    </row>
    <row r="47" ht="15.75" customHeight="1">
      <c r="A47" s="20"/>
      <c r="B47" s="21">
        <v>43.0</v>
      </c>
      <c r="C47" s="22" t="s">
        <v>103</v>
      </c>
      <c r="D47" s="22" t="s">
        <v>104</v>
      </c>
      <c r="E47" s="70" t="str">
        <f t="shared" si="2"/>
        <v>9번 중 8번 참여</v>
      </c>
      <c r="F47" s="71">
        <f t="shared" si="3"/>
        <v>0.8888888889</v>
      </c>
      <c r="G47" s="26" t="s">
        <v>25</v>
      </c>
      <c r="H47" s="26"/>
      <c r="I47" s="26" t="s">
        <v>25</v>
      </c>
      <c r="J47" s="26" t="s">
        <v>25</v>
      </c>
      <c r="K47" s="26" t="s">
        <v>25</v>
      </c>
      <c r="L47" s="26" t="s">
        <v>25</v>
      </c>
      <c r="M47" s="26" t="s">
        <v>25</v>
      </c>
      <c r="N47" s="26" t="s">
        <v>25</v>
      </c>
      <c r="O47" s="26" t="s">
        <v>25</v>
      </c>
    </row>
    <row r="48" ht="15.75" customHeight="1">
      <c r="A48" s="28"/>
      <c r="B48" s="29">
        <v>44.0</v>
      </c>
      <c r="C48" s="30" t="s">
        <v>353</v>
      </c>
      <c r="D48" s="30" t="s">
        <v>354</v>
      </c>
      <c r="E48" s="70" t="str">
        <f t="shared" si="2"/>
        <v>9번 중 6번 참여</v>
      </c>
      <c r="F48" s="71">
        <f t="shared" si="3"/>
        <v>0.6666666667</v>
      </c>
      <c r="G48" s="26"/>
      <c r="H48" s="26"/>
      <c r="I48" s="26" t="s">
        <v>25</v>
      </c>
      <c r="J48" s="26" t="s">
        <v>25</v>
      </c>
      <c r="K48" s="26" t="s">
        <v>25</v>
      </c>
      <c r="L48" s="26" t="s">
        <v>25</v>
      </c>
      <c r="M48" s="26" t="s">
        <v>25</v>
      </c>
      <c r="N48" s="26" t="s">
        <v>25</v>
      </c>
      <c r="O48" s="26"/>
    </row>
    <row r="49" ht="15.75" customHeight="1">
      <c r="A49" s="20"/>
      <c r="B49" s="21">
        <v>45.0</v>
      </c>
      <c r="C49" s="22" t="s">
        <v>286</v>
      </c>
      <c r="D49" s="22" t="s">
        <v>121</v>
      </c>
      <c r="E49" s="70" t="str">
        <f t="shared" si="2"/>
        <v>9번 중 9번 참여</v>
      </c>
      <c r="F49" s="71">
        <f t="shared" si="3"/>
        <v>1</v>
      </c>
      <c r="G49" s="26" t="s">
        <v>25</v>
      </c>
      <c r="H49" s="26" t="s">
        <v>25</v>
      </c>
      <c r="I49" s="26" t="s">
        <v>25</v>
      </c>
      <c r="J49" s="26" t="s">
        <v>25</v>
      </c>
      <c r="K49" s="26" t="s">
        <v>25</v>
      </c>
      <c r="L49" s="26" t="s">
        <v>25</v>
      </c>
      <c r="M49" s="26" t="s">
        <v>25</v>
      </c>
      <c r="N49" s="26" t="s">
        <v>25</v>
      </c>
      <c r="O49" s="26" t="s">
        <v>25</v>
      </c>
    </row>
    <row r="50" ht="15.75" customHeight="1">
      <c r="A50" s="28"/>
      <c r="B50" s="29">
        <v>46.0</v>
      </c>
      <c r="C50" s="30" t="s">
        <v>101</v>
      </c>
      <c r="D50" s="30" t="s">
        <v>102</v>
      </c>
      <c r="E50" s="70" t="str">
        <f t="shared" si="2"/>
        <v>9번 중 6번 참여</v>
      </c>
      <c r="F50" s="71">
        <f t="shared" si="3"/>
        <v>0.6666666667</v>
      </c>
      <c r="G50" s="26" t="s">
        <v>25</v>
      </c>
      <c r="H50" s="26"/>
      <c r="I50" s="26" t="s">
        <v>25</v>
      </c>
      <c r="J50" s="26" t="s">
        <v>25</v>
      </c>
      <c r="K50" s="26" t="s">
        <v>25</v>
      </c>
      <c r="L50" s="26" t="s">
        <v>25</v>
      </c>
      <c r="M50" s="26" t="s">
        <v>25</v>
      </c>
      <c r="N50" s="26"/>
      <c r="O50" s="26"/>
    </row>
    <row r="51" ht="15.75" customHeight="1">
      <c r="A51" s="20"/>
      <c r="B51" s="21">
        <v>47.0</v>
      </c>
      <c r="C51" s="43" t="s">
        <v>542</v>
      </c>
      <c r="D51" s="197" t="s">
        <v>518</v>
      </c>
      <c r="E51" s="70" t="str">
        <f t="shared" si="2"/>
        <v>9번 중 8번 참여</v>
      </c>
      <c r="F51" s="71">
        <f t="shared" si="3"/>
        <v>0.8888888889</v>
      </c>
      <c r="G51" s="26" t="s">
        <v>25</v>
      </c>
      <c r="H51" s="26" t="s">
        <v>25</v>
      </c>
      <c r="I51" s="26" t="s">
        <v>25</v>
      </c>
      <c r="J51" s="26" t="s">
        <v>25</v>
      </c>
      <c r="K51" s="26" t="s">
        <v>25</v>
      </c>
      <c r="L51" s="26" t="s">
        <v>25</v>
      </c>
      <c r="M51" s="26" t="s">
        <v>25</v>
      </c>
      <c r="N51" s="26" t="s">
        <v>25</v>
      </c>
      <c r="O51" s="26"/>
    </row>
    <row r="52" ht="15.75" customHeight="1">
      <c r="A52" s="28"/>
      <c r="B52" s="29">
        <v>48.0</v>
      </c>
      <c r="C52" s="105" t="s">
        <v>543</v>
      </c>
      <c r="D52" s="105" t="s">
        <v>544</v>
      </c>
      <c r="E52" s="70" t="str">
        <f t="shared" si="2"/>
        <v>9번 중 1번 참여</v>
      </c>
      <c r="F52" s="71">
        <f t="shared" si="3"/>
        <v>0.1111111111</v>
      </c>
      <c r="G52" s="26"/>
      <c r="H52" s="26"/>
      <c r="I52" s="26"/>
      <c r="J52" s="26"/>
      <c r="K52" s="26"/>
      <c r="L52" s="26"/>
      <c r="M52" s="26" t="s">
        <v>25</v>
      </c>
      <c r="N52" s="26"/>
      <c r="O52" s="26"/>
    </row>
    <row r="53" ht="15.75" customHeight="1">
      <c r="A53" s="20"/>
      <c r="B53" s="21">
        <v>49.0</v>
      </c>
      <c r="C53" s="22" t="s">
        <v>109</v>
      </c>
      <c r="D53" s="22" t="s">
        <v>110</v>
      </c>
      <c r="E53" s="70" t="str">
        <f t="shared" si="2"/>
        <v>9번 중 7번 참여</v>
      </c>
      <c r="F53" s="71">
        <f t="shared" si="3"/>
        <v>0.7777777778</v>
      </c>
      <c r="G53" s="26" t="s">
        <v>25</v>
      </c>
      <c r="H53" s="26" t="s">
        <v>25</v>
      </c>
      <c r="I53" s="26" t="s">
        <v>25</v>
      </c>
      <c r="J53" s="26" t="s">
        <v>25</v>
      </c>
      <c r="K53" s="26"/>
      <c r="L53" s="26" t="s">
        <v>25</v>
      </c>
      <c r="M53" s="26"/>
      <c r="N53" s="26" t="s">
        <v>25</v>
      </c>
      <c r="O53" s="26" t="s">
        <v>25</v>
      </c>
    </row>
    <row r="54" ht="15.75" customHeight="1">
      <c r="A54" s="28"/>
      <c r="B54" s="29">
        <v>50.0</v>
      </c>
      <c r="C54" s="30" t="s">
        <v>111</v>
      </c>
      <c r="D54" s="30" t="s">
        <v>112</v>
      </c>
      <c r="E54" s="70" t="str">
        <f t="shared" si="2"/>
        <v>9번 중 6번 참여</v>
      </c>
      <c r="F54" s="71">
        <f t="shared" si="3"/>
        <v>0.6666666667</v>
      </c>
      <c r="G54" s="26" t="s">
        <v>25</v>
      </c>
      <c r="H54" s="26" t="s">
        <v>25</v>
      </c>
      <c r="I54" s="26" t="s">
        <v>25</v>
      </c>
      <c r="J54" s="26" t="s">
        <v>25</v>
      </c>
      <c r="K54" s="26" t="s">
        <v>25</v>
      </c>
      <c r="L54" s="26"/>
      <c r="M54" s="26" t="s">
        <v>25</v>
      </c>
      <c r="N54" s="26"/>
      <c r="O54" s="26"/>
    </row>
    <row r="55" ht="15.75" customHeight="1">
      <c r="A55" s="20"/>
      <c r="B55" s="21">
        <v>51.0</v>
      </c>
      <c r="C55" s="22" t="s">
        <v>113</v>
      </c>
      <c r="D55" s="22" t="s">
        <v>114</v>
      </c>
      <c r="E55" s="70" t="str">
        <f t="shared" si="2"/>
        <v>9번 중 9번 참여</v>
      </c>
      <c r="F55" s="71">
        <f t="shared" si="3"/>
        <v>1</v>
      </c>
      <c r="G55" s="26" t="s">
        <v>25</v>
      </c>
      <c r="H55" s="26" t="s">
        <v>25</v>
      </c>
      <c r="I55" s="26" t="s">
        <v>25</v>
      </c>
      <c r="J55" s="26" t="s">
        <v>25</v>
      </c>
      <c r="K55" s="26" t="s">
        <v>25</v>
      </c>
      <c r="L55" s="26" t="s">
        <v>25</v>
      </c>
      <c r="M55" s="26" t="s">
        <v>25</v>
      </c>
      <c r="N55" s="26" t="s">
        <v>25</v>
      </c>
      <c r="O55" s="26" t="s">
        <v>25</v>
      </c>
    </row>
    <row r="56" ht="15.75" customHeight="1">
      <c r="A56" s="28"/>
      <c r="B56" s="29">
        <v>52.0</v>
      </c>
      <c r="C56" s="30" t="s">
        <v>363</v>
      </c>
      <c r="D56" s="30" t="s">
        <v>364</v>
      </c>
      <c r="E56" s="70" t="str">
        <f t="shared" si="2"/>
        <v>9번 중 7번 참여</v>
      </c>
      <c r="F56" s="71">
        <f t="shared" si="3"/>
        <v>0.7777777778</v>
      </c>
      <c r="G56" s="26" t="s">
        <v>25</v>
      </c>
      <c r="H56" s="26" t="s">
        <v>25</v>
      </c>
      <c r="I56" s="26" t="s">
        <v>25</v>
      </c>
      <c r="J56" s="26" t="s">
        <v>25</v>
      </c>
      <c r="K56" s="26" t="s">
        <v>25</v>
      </c>
      <c r="L56" s="26"/>
      <c r="M56" s="26" t="s">
        <v>25</v>
      </c>
      <c r="N56" s="26"/>
      <c r="O56" s="26" t="s">
        <v>25</v>
      </c>
    </row>
    <row r="57" ht="15.75" customHeight="1">
      <c r="A57" s="20"/>
      <c r="B57" s="21">
        <v>53.0</v>
      </c>
      <c r="C57" s="22" t="s">
        <v>132</v>
      </c>
      <c r="D57" s="22" t="s">
        <v>133</v>
      </c>
      <c r="E57" s="70" t="str">
        <f t="shared" si="2"/>
        <v>9번 중 9번 참여</v>
      </c>
      <c r="F57" s="71">
        <f t="shared" si="3"/>
        <v>1</v>
      </c>
      <c r="G57" s="26" t="s">
        <v>25</v>
      </c>
      <c r="H57" s="26" t="s">
        <v>25</v>
      </c>
      <c r="I57" s="26" t="s">
        <v>25</v>
      </c>
      <c r="J57" s="26" t="s">
        <v>25</v>
      </c>
      <c r="K57" s="26" t="s">
        <v>25</v>
      </c>
      <c r="L57" s="26" t="s">
        <v>25</v>
      </c>
      <c r="M57" s="26" t="s">
        <v>25</v>
      </c>
      <c r="N57" s="26" t="s">
        <v>25</v>
      </c>
      <c r="O57" s="26" t="s">
        <v>25</v>
      </c>
    </row>
    <row r="58" ht="15.75" customHeight="1">
      <c r="A58" s="28" t="s">
        <v>228</v>
      </c>
      <c r="B58" s="29">
        <v>54.0</v>
      </c>
      <c r="C58" s="30" t="s">
        <v>285</v>
      </c>
      <c r="D58" s="30" t="s">
        <v>119</v>
      </c>
      <c r="E58" s="70" t="str">
        <f t="shared" si="2"/>
        <v>9번 중 9번 참여</v>
      </c>
      <c r="F58" s="71">
        <f t="shared" si="3"/>
        <v>1</v>
      </c>
      <c r="G58" s="26" t="s">
        <v>25</v>
      </c>
      <c r="H58" s="26" t="s">
        <v>25</v>
      </c>
      <c r="I58" s="26" t="s">
        <v>25</v>
      </c>
      <c r="J58" s="26" t="s">
        <v>25</v>
      </c>
      <c r="K58" s="26" t="s">
        <v>25</v>
      </c>
      <c r="L58" s="26" t="s">
        <v>25</v>
      </c>
      <c r="M58" s="26" t="s">
        <v>25</v>
      </c>
      <c r="N58" s="26" t="s">
        <v>25</v>
      </c>
      <c r="O58" s="26" t="s">
        <v>25</v>
      </c>
    </row>
    <row r="59" ht="15.75" customHeight="1">
      <c r="A59" s="20"/>
      <c r="B59" s="21">
        <v>55.0</v>
      </c>
      <c r="C59" s="22" t="s">
        <v>365</v>
      </c>
      <c r="D59" s="22" t="s">
        <v>366</v>
      </c>
      <c r="E59" s="70" t="str">
        <f t="shared" si="2"/>
        <v>9번 중 7번 참여</v>
      </c>
      <c r="F59" s="71">
        <f t="shared" si="3"/>
        <v>0.7777777778</v>
      </c>
      <c r="G59" s="26" t="s">
        <v>25</v>
      </c>
      <c r="H59" s="26" t="s">
        <v>25</v>
      </c>
      <c r="I59" s="26"/>
      <c r="J59" s="26" t="s">
        <v>25</v>
      </c>
      <c r="K59" s="26" t="s">
        <v>25</v>
      </c>
      <c r="L59" s="26" t="s">
        <v>25</v>
      </c>
      <c r="M59" s="26"/>
      <c r="N59" s="26" t="s">
        <v>25</v>
      </c>
      <c r="O59" s="26" t="s">
        <v>25</v>
      </c>
    </row>
    <row r="60" ht="15.75" customHeight="1">
      <c r="A60" s="28"/>
      <c r="B60" s="29">
        <v>56.0</v>
      </c>
      <c r="C60" s="42" t="s">
        <v>28</v>
      </c>
      <c r="D60" s="42" t="s">
        <v>70</v>
      </c>
      <c r="E60" s="70" t="str">
        <f t="shared" si="2"/>
        <v>9번 중 9번 참여</v>
      </c>
      <c r="F60" s="71">
        <f t="shared" si="3"/>
        <v>1</v>
      </c>
      <c r="G60" s="26" t="s">
        <v>25</v>
      </c>
      <c r="H60" s="26" t="s">
        <v>25</v>
      </c>
      <c r="I60" s="26" t="s">
        <v>25</v>
      </c>
      <c r="J60" s="26" t="s">
        <v>25</v>
      </c>
      <c r="K60" s="26" t="s">
        <v>25</v>
      </c>
      <c r="L60" s="26" t="s">
        <v>25</v>
      </c>
      <c r="M60" s="26" t="s">
        <v>25</v>
      </c>
      <c r="N60" s="26" t="s">
        <v>25</v>
      </c>
      <c r="O60" s="26" t="s">
        <v>25</v>
      </c>
    </row>
    <row r="61" ht="15.75" customHeight="1">
      <c r="A61" s="20"/>
      <c r="B61" s="21">
        <v>57.0</v>
      </c>
      <c r="C61" s="30" t="s">
        <v>371</v>
      </c>
      <c r="D61" s="30" t="s">
        <v>108</v>
      </c>
      <c r="E61" s="70" t="str">
        <f t="shared" si="2"/>
        <v>9번 중 8번 참여</v>
      </c>
      <c r="F61" s="71">
        <f t="shared" si="3"/>
        <v>0.8888888889</v>
      </c>
      <c r="G61" s="26" t="s">
        <v>25</v>
      </c>
      <c r="H61" s="26" t="s">
        <v>25</v>
      </c>
      <c r="I61" s="26" t="s">
        <v>25</v>
      </c>
      <c r="J61" s="26" t="s">
        <v>25</v>
      </c>
      <c r="K61" s="26" t="s">
        <v>80</v>
      </c>
      <c r="L61" s="26" t="s">
        <v>25</v>
      </c>
      <c r="M61" s="26" t="s">
        <v>25</v>
      </c>
      <c r="N61" s="26" t="s">
        <v>25</v>
      </c>
      <c r="O61" s="26" t="s">
        <v>25</v>
      </c>
    </row>
    <row r="62" ht="15.75" customHeight="1">
      <c r="A62" s="28"/>
      <c r="B62" s="29">
        <v>58.0</v>
      </c>
      <c r="C62" s="22" t="s">
        <v>138</v>
      </c>
      <c r="D62" s="22" t="s">
        <v>139</v>
      </c>
      <c r="E62" s="70" t="str">
        <f t="shared" si="2"/>
        <v>9번 중 9번 참여</v>
      </c>
      <c r="F62" s="71">
        <f t="shared" si="3"/>
        <v>1</v>
      </c>
      <c r="G62" s="26" t="s">
        <v>25</v>
      </c>
      <c r="H62" s="26" t="s">
        <v>25</v>
      </c>
      <c r="I62" s="26" t="s">
        <v>25</v>
      </c>
      <c r="J62" s="26" t="s">
        <v>25</v>
      </c>
      <c r="K62" s="26" t="s">
        <v>25</v>
      </c>
      <c r="L62" s="26" t="s">
        <v>25</v>
      </c>
      <c r="M62" s="26" t="s">
        <v>25</v>
      </c>
      <c r="N62" s="26" t="s">
        <v>25</v>
      </c>
      <c r="O62" s="26" t="s">
        <v>25</v>
      </c>
    </row>
    <row r="63" ht="15.75" customHeight="1">
      <c r="A63" s="20"/>
      <c r="B63" s="21">
        <v>59.0</v>
      </c>
      <c r="C63" s="30" t="s">
        <v>136</v>
      </c>
      <c r="D63" s="30" t="s">
        <v>137</v>
      </c>
      <c r="E63" s="70" t="str">
        <f t="shared" si="2"/>
        <v>9번 중 9번 참여</v>
      </c>
      <c r="F63" s="71">
        <f t="shared" si="3"/>
        <v>1</v>
      </c>
      <c r="G63" s="26" t="s">
        <v>25</v>
      </c>
      <c r="H63" s="26" t="s">
        <v>25</v>
      </c>
      <c r="I63" s="26" t="s">
        <v>25</v>
      </c>
      <c r="J63" s="26" t="s">
        <v>25</v>
      </c>
      <c r="K63" s="26" t="s">
        <v>25</v>
      </c>
      <c r="L63" s="26" t="s">
        <v>25</v>
      </c>
      <c r="M63" s="26" t="s">
        <v>25</v>
      </c>
      <c r="N63" s="26" t="s">
        <v>25</v>
      </c>
      <c r="O63" s="26" t="s">
        <v>25</v>
      </c>
    </row>
    <row r="64" ht="15.75" customHeight="1">
      <c r="A64" s="28"/>
      <c r="B64" s="29">
        <v>60.0</v>
      </c>
      <c r="C64" s="22" t="s">
        <v>142</v>
      </c>
      <c r="D64" s="22" t="s">
        <v>143</v>
      </c>
      <c r="E64" s="70" t="str">
        <f t="shared" si="2"/>
        <v>9번 중 4번 참여</v>
      </c>
      <c r="F64" s="71">
        <f t="shared" si="3"/>
        <v>0.4444444444</v>
      </c>
      <c r="G64" s="26" t="s">
        <v>25</v>
      </c>
      <c r="H64" s="26" t="s">
        <v>25</v>
      </c>
      <c r="I64" s="26" t="s">
        <v>25</v>
      </c>
      <c r="J64" s="26" t="s">
        <v>25</v>
      </c>
      <c r="K64" s="26"/>
      <c r="L64" s="26"/>
      <c r="M64" s="26"/>
      <c r="N64" s="26"/>
      <c r="O64" s="26"/>
    </row>
    <row r="65" ht="15.75" customHeight="1">
      <c r="A65" s="20"/>
      <c r="B65" s="21">
        <v>61.0</v>
      </c>
      <c r="C65" s="30" t="s">
        <v>144</v>
      </c>
      <c r="D65" s="30" t="s">
        <v>145</v>
      </c>
      <c r="E65" s="70" t="str">
        <f t="shared" si="2"/>
        <v>9번 중 4번 참여</v>
      </c>
      <c r="F65" s="71">
        <f t="shared" si="3"/>
        <v>0.4444444444</v>
      </c>
      <c r="G65" s="26" t="s">
        <v>25</v>
      </c>
      <c r="H65" s="26" t="s">
        <v>25</v>
      </c>
      <c r="I65" s="26" t="s">
        <v>25</v>
      </c>
      <c r="J65" s="26" t="s">
        <v>25</v>
      </c>
      <c r="K65" s="26"/>
      <c r="L65" s="26"/>
      <c r="M65" s="26"/>
      <c r="N65" s="26"/>
      <c r="O65" s="26"/>
    </row>
    <row r="66" ht="15.75" customHeight="1">
      <c r="A66" s="28"/>
      <c r="B66" s="29">
        <v>62.0</v>
      </c>
      <c r="C66" s="22" t="s">
        <v>146</v>
      </c>
      <c r="D66" s="22" t="s">
        <v>147</v>
      </c>
      <c r="E66" s="70" t="str">
        <f t="shared" si="2"/>
        <v>9번 중 9번 참여</v>
      </c>
      <c r="F66" s="71">
        <f t="shared" si="3"/>
        <v>1</v>
      </c>
      <c r="G66" s="26" t="s">
        <v>25</v>
      </c>
      <c r="H66" s="26" t="s">
        <v>25</v>
      </c>
      <c r="I66" s="26" t="s">
        <v>25</v>
      </c>
      <c r="J66" s="26" t="s">
        <v>25</v>
      </c>
      <c r="K66" s="26" t="s">
        <v>25</v>
      </c>
      <c r="L66" s="26" t="s">
        <v>25</v>
      </c>
      <c r="M66" s="26" t="s">
        <v>25</v>
      </c>
      <c r="N66" s="26" t="s">
        <v>25</v>
      </c>
      <c r="O66" s="26" t="s">
        <v>25</v>
      </c>
    </row>
    <row r="67" ht="15.75" customHeight="1">
      <c r="A67" s="20"/>
      <c r="B67" s="21">
        <v>63.0</v>
      </c>
      <c r="C67" s="30" t="s">
        <v>148</v>
      </c>
      <c r="D67" s="30" t="s">
        <v>149</v>
      </c>
      <c r="E67" s="70" t="str">
        <f t="shared" si="2"/>
        <v>9번 중 8번 참여</v>
      </c>
      <c r="F67" s="71">
        <f t="shared" si="3"/>
        <v>0.8888888889</v>
      </c>
      <c r="G67" s="26" t="s">
        <v>25</v>
      </c>
      <c r="H67" s="26" t="s">
        <v>25</v>
      </c>
      <c r="I67" s="26" t="s">
        <v>25</v>
      </c>
      <c r="J67" s="26" t="s">
        <v>25</v>
      </c>
      <c r="K67" s="26" t="s">
        <v>25</v>
      </c>
      <c r="L67" s="26" t="s">
        <v>25</v>
      </c>
      <c r="M67" s="26" t="s">
        <v>25</v>
      </c>
      <c r="N67" s="26" t="s">
        <v>25</v>
      </c>
      <c r="O67" s="26"/>
    </row>
    <row r="68" ht="15.75" customHeight="1">
      <c r="A68" s="28"/>
      <c r="B68" s="29">
        <v>64.0</v>
      </c>
      <c r="C68" s="105" t="s">
        <v>380</v>
      </c>
      <c r="D68" s="105" t="s">
        <v>381</v>
      </c>
      <c r="E68" s="70" t="str">
        <f t="shared" si="2"/>
        <v/>
      </c>
      <c r="F68" s="71" t="str">
        <f t="shared" si="3"/>
        <v/>
      </c>
      <c r="G68" s="26"/>
      <c r="H68" s="26"/>
      <c r="I68" s="26"/>
      <c r="J68" s="26"/>
      <c r="K68" s="26"/>
      <c r="L68" s="26"/>
      <c r="M68" s="26"/>
      <c r="N68" s="26"/>
      <c r="O68" s="26"/>
    </row>
    <row r="69" ht="15.75" customHeight="1">
      <c r="A69" s="20"/>
      <c r="B69" s="21">
        <v>65.0</v>
      </c>
      <c r="C69" s="22" t="s">
        <v>140</v>
      </c>
      <c r="D69" s="22" t="s">
        <v>141</v>
      </c>
      <c r="E69" s="70" t="str">
        <f t="shared" si="2"/>
        <v>9번 중 8번 참여</v>
      </c>
      <c r="F69" s="71">
        <f t="shared" si="3"/>
        <v>0.8888888889</v>
      </c>
      <c r="G69" s="26" t="s">
        <v>25</v>
      </c>
      <c r="H69" s="26" t="s">
        <v>25</v>
      </c>
      <c r="I69" s="26" t="s">
        <v>25</v>
      </c>
      <c r="J69" s="26" t="s">
        <v>25</v>
      </c>
      <c r="K69" s="26" t="s">
        <v>25</v>
      </c>
      <c r="L69" s="26" t="s">
        <v>25</v>
      </c>
      <c r="M69" s="26" t="s">
        <v>25</v>
      </c>
      <c r="N69" s="26" t="s">
        <v>25</v>
      </c>
      <c r="O69" s="26"/>
    </row>
    <row r="70" ht="15.75" customHeight="1">
      <c r="A70" s="28"/>
      <c r="B70" s="29">
        <v>66.0</v>
      </c>
      <c r="C70" s="30" t="s">
        <v>150</v>
      </c>
      <c r="D70" s="38" t="s">
        <v>151</v>
      </c>
      <c r="E70" s="70" t="str">
        <f t="shared" si="2"/>
        <v>9번 중 3번 참여</v>
      </c>
      <c r="F70" s="71">
        <f t="shared" si="3"/>
        <v>0.3333333333</v>
      </c>
      <c r="G70" s="26"/>
      <c r="H70" s="26" t="s">
        <v>25</v>
      </c>
      <c r="I70" s="26" t="s">
        <v>80</v>
      </c>
      <c r="J70" s="26" t="s">
        <v>25</v>
      </c>
      <c r="K70" s="26" t="s">
        <v>25</v>
      </c>
      <c r="L70" s="26"/>
      <c r="M70" s="26"/>
      <c r="N70" s="26"/>
      <c r="O70" s="26"/>
    </row>
    <row r="71" ht="15.75" customHeight="1">
      <c r="A71" s="20"/>
      <c r="B71" s="21">
        <v>67.0</v>
      </c>
      <c r="C71" s="22" t="s">
        <v>152</v>
      </c>
      <c r="D71" s="22" t="s">
        <v>153</v>
      </c>
      <c r="E71" s="70" t="str">
        <f t="shared" si="2"/>
        <v>9번 중 8번 참여</v>
      </c>
      <c r="F71" s="71">
        <f t="shared" si="3"/>
        <v>0.8888888889</v>
      </c>
      <c r="G71" s="26" t="s">
        <v>25</v>
      </c>
      <c r="H71" s="26" t="s">
        <v>25</v>
      </c>
      <c r="I71" s="26" t="s">
        <v>25</v>
      </c>
      <c r="J71" s="26" t="s">
        <v>25</v>
      </c>
      <c r="K71" s="26" t="s">
        <v>25</v>
      </c>
      <c r="L71" s="26" t="s">
        <v>25</v>
      </c>
      <c r="M71" s="26" t="s">
        <v>25</v>
      </c>
      <c r="N71" s="26" t="s">
        <v>25</v>
      </c>
      <c r="O71" s="26"/>
    </row>
    <row r="72" ht="15.75" customHeight="1">
      <c r="A72" s="28"/>
      <c r="B72" s="29">
        <v>68.0</v>
      </c>
      <c r="C72" s="30" t="s">
        <v>388</v>
      </c>
      <c r="D72" s="30" t="s">
        <v>389</v>
      </c>
      <c r="E72" s="70" t="str">
        <f t="shared" si="2"/>
        <v>9번 중 8번 참여</v>
      </c>
      <c r="F72" s="71">
        <f t="shared" si="3"/>
        <v>0.8888888889</v>
      </c>
      <c r="G72" s="26" t="s">
        <v>25</v>
      </c>
      <c r="H72" s="26" t="s">
        <v>25</v>
      </c>
      <c r="I72" s="26" t="s">
        <v>25</v>
      </c>
      <c r="J72" s="26" t="s">
        <v>25</v>
      </c>
      <c r="K72" s="26" t="s">
        <v>25</v>
      </c>
      <c r="L72" s="26" t="s">
        <v>25</v>
      </c>
      <c r="M72" s="26" t="s">
        <v>25</v>
      </c>
      <c r="N72" s="26" t="s">
        <v>25</v>
      </c>
      <c r="O72" s="26"/>
    </row>
    <row r="73" ht="15.75" customHeight="1">
      <c r="A73" s="20"/>
      <c r="B73" s="21">
        <v>69.0</v>
      </c>
      <c r="C73" s="22" t="s">
        <v>156</v>
      </c>
      <c r="D73" s="22" t="s">
        <v>157</v>
      </c>
      <c r="E73" s="70" t="str">
        <f t="shared" si="2"/>
        <v>9번 중 9번 참여</v>
      </c>
      <c r="F73" s="71">
        <f t="shared" si="3"/>
        <v>1</v>
      </c>
      <c r="G73" s="26" t="s">
        <v>25</v>
      </c>
      <c r="H73" s="26" t="s">
        <v>25</v>
      </c>
      <c r="I73" s="26" t="s">
        <v>25</v>
      </c>
      <c r="J73" s="26" t="s">
        <v>25</v>
      </c>
      <c r="K73" s="26" t="s">
        <v>25</v>
      </c>
      <c r="L73" s="26" t="s">
        <v>25</v>
      </c>
      <c r="M73" s="26" t="s">
        <v>25</v>
      </c>
      <c r="N73" s="26" t="s">
        <v>25</v>
      </c>
      <c r="O73" s="26" t="s">
        <v>25</v>
      </c>
    </row>
    <row r="74" ht="15.75" customHeight="1">
      <c r="A74" s="28"/>
      <c r="B74" s="29">
        <v>70.0</v>
      </c>
      <c r="C74" s="104" t="s">
        <v>427</v>
      </c>
      <c r="D74" s="104" t="s">
        <v>428</v>
      </c>
      <c r="E74" s="70" t="str">
        <f t="shared" si="2"/>
        <v>9번 중 1번 참여</v>
      </c>
      <c r="F74" s="71">
        <f t="shared" si="3"/>
        <v>0.1111111111</v>
      </c>
      <c r="G74" s="26" t="s">
        <v>25</v>
      </c>
      <c r="H74" s="26"/>
      <c r="I74" s="26"/>
      <c r="J74" s="26"/>
      <c r="K74" s="26"/>
      <c r="L74" s="26"/>
      <c r="M74" s="26"/>
      <c r="N74" s="26"/>
      <c r="O74" s="26"/>
    </row>
    <row r="75" ht="15.75" customHeight="1">
      <c r="A75" s="20"/>
      <c r="B75" s="21">
        <v>71.0</v>
      </c>
      <c r="C75" s="42" t="s">
        <v>160</v>
      </c>
      <c r="D75" s="42" t="s">
        <v>161</v>
      </c>
      <c r="E75" s="70" t="str">
        <f t="shared" si="2"/>
        <v>9번 중 9번 참여</v>
      </c>
      <c r="F75" s="71">
        <f t="shared" si="3"/>
        <v>1</v>
      </c>
      <c r="G75" s="26" t="s">
        <v>25</v>
      </c>
      <c r="H75" s="26" t="s">
        <v>25</v>
      </c>
      <c r="I75" s="26" t="s">
        <v>25</v>
      </c>
      <c r="J75" s="26" t="s">
        <v>25</v>
      </c>
      <c r="K75" s="26" t="s">
        <v>25</v>
      </c>
      <c r="L75" s="26" t="s">
        <v>25</v>
      </c>
      <c r="M75" s="26" t="s">
        <v>25</v>
      </c>
      <c r="N75" s="26" t="s">
        <v>25</v>
      </c>
      <c r="O75" s="26" t="s">
        <v>25</v>
      </c>
    </row>
    <row r="76" ht="15.75" customHeight="1">
      <c r="A76" s="28"/>
      <c r="B76" s="29">
        <v>72.0</v>
      </c>
      <c r="C76" s="30" t="s">
        <v>162</v>
      </c>
      <c r="D76" s="30" t="s">
        <v>163</v>
      </c>
      <c r="E76" s="70" t="str">
        <f t="shared" si="2"/>
        <v>9번 중 9번 참여</v>
      </c>
      <c r="F76" s="71">
        <f t="shared" si="3"/>
        <v>1</v>
      </c>
      <c r="G76" s="26" t="s">
        <v>25</v>
      </c>
      <c r="H76" s="26" t="s">
        <v>25</v>
      </c>
      <c r="I76" s="26" t="s">
        <v>25</v>
      </c>
      <c r="J76" s="26" t="s">
        <v>25</v>
      </c>
      <c r="K76" s="26" t="s">
        <v>25</v>
      </c>
      <c r="L76" s="26" t="s">
        <v>25</v>
      </c>
      <c r="M76" s="26" t="s">
        <v>25</v>
      </c>
      <c r="N76" s="26" t="s">
        <v>25</v>
      </c>
      <c r="O76" s="26" t="s">
        <v>25</v>
      </c>
    </row>
    <row r="77" ht="15.75" customHeight="1">
      <c r="A77" s="20"/>
      <c r="B77" s="21">
        <v>73.0</v>
      </c>
      <c r="C77" s="22" t="s">
        <v>164</v>
      </c>
      <c r="D77" s="22" t="s">
        <v>165</v>
      </c>
      <c r="E77" s="70" t="str">
        <f t="shared" si="2"/>
        <v>9번 중 8번 참여</v>
      </c>
      <c r="F77" s="71">
        <f t="shared" si="3"/>
        <v>0.8888888889</v>
      </c>
      <c r="G77" s="26" t="s">
        <v>25</v>
      </c>
      <c r="H77" s="26" t="s">
        <v>25</v>
      </c>
      <c r="I77" s="26" t="s">
        <v>25</v>
      </c>
      <c r="J77" s="26" t="s">
        <v>25</v>
      </c>
      <c r="K77" s="26" t="s">
        <v>25</v>
      </c>
      <c r="L77" s="26" t="s">
        <v>25</v>
      </c>
      <c r="M77" s="26" t="s">
        <v>25</v>
      </c>
      <c r="N77" s="26" t="s">
        <v>25</v>
      </c>
      <c r="O77" s="26"/>
    </row>
    <row r="78" ht="15.75" customHeight="1">
      <c r="A78" s="28"/>
      <c r="B78" s="29">
        <v>74.0</v>
      </c>
      <c r="C78" s="30"/>
      <c r="D78" s="30"/>
      <c r="E78" s="70" t="str">
        <f t="shared" si="2"/>
        <v/>
      </c>
      <c r="F78" s="71" t="str">
        <f t="shared" si="3"/>
        <v/>
      </c>
      <c r="G78" s="26"/>
      <c r="H78" s="26" t="s">
        <v>80</v>
      </c>
      <c r="I78" s="26" t="s">
        <v>80</v>
      </c>
      <c r="J78" s="26"/>
      <c r="K78" s="26"/>
      <c r="L78" s="26"/>
      <c r="M78" s="26"/>
      <c r="N78" s="26"/>
      <c r="O78" s="26"/>
    </row>
    <row r="79" ht="15.75" customHeight="1">
      <c r="A79" s="20"/>
      <c r="B79" s="21">
        <v>75.0</v>
      </c>
      <c r="C79" s="105" t="s">
        <v>134</v>
      </c>
      <c r="D79" s="106" t="s">
        <v>431</v>
      </c>
      <c r="E79" s="70" t="str">
        <f t="shared" si="2"/>
        <v/>
      </c>
      <c r="F79" s="71" t="str">
        <f t="shared" si="3"/>
        <v/>
      </c>
      <c r="G79" s="26"/>
      <c r="H79" s="26"/>
      <c r="I79" s="26"/>
      <c r="J79" s="26"/>
      <c r="K79" s="26"/>
      <c r="L79" s="26"/>
      <c r="M79" s="26"/>
      <c r="N79" s="26"/>
      <c r="O79" s="26"/>
    </row>
    <row r="80" ht="15.75" customHeight="1">
      <c r="A80" s="28"/>
      <c r="B80" s="29">
        <v>76.0</v>
      </c>
      <c r="C80" s="30" t="s">
        <v>154</v>
      </c>
      <c r="D80" s="30" t="s">
        <v>155</v>
      </c>
      <c r="E80" s="70" t="str">
        <f t="shared" si="2"/>
        <v>9번 중 9번 참여</v>
      </c>
      <c r="F80" s="71">
        <f t="shared" si="3"/>
        <v>1</v>
      </c>
      <c r="G80" s="26" t="s">
        <v>25</v>
      </c>
      <c r="H80" s="26" t="s">
        <v>25</v>
      </c>
      <c r="I80" s="26" t="s">
        <v>25</v>
      </c>
      <c r="J80" s="26" t="s">
        <v>25</v>
      </c>
      <c r="K80" s="26" t="s">
        <v>25</v>
      </c>
      <c r="L80" s="26" t="s">
        <v>25</v>
      </c>
      <c r="M80" s="26" t="s">
        <v>25</v>
      </c>
      <c r="N80" s="26" t="s">
        <v>25</v>
      </c>
      <c r="O80" s="26" t="s">
        <v>25</v>
      </c>
    </row>
    <row r="81" ht="15.75" customHeight="1">
      <c r="A81" s="20"/>
      <c r="B81" s="21">
        <v>77.0</v>
      </c>
      <c r="C81" s="30" t="s">
        <v>432</v>
      </c>
      <c r="D81" s="30" t="s">
        <v>433</v>
      </c>
      <c r="E81" s="70" t="str">
        <f t="shared" si="2"/>
        <v/>
      </c>
      <c r="F81" s="71" t="str">
        <f t="shared" si="3"/>
        <v/>
      </c>
      <c r="G81" s="26"/>
      <c r="H81" s="26"/>
      <c r="I81" s="26"/>
      <c r="J81" s="26"/>
      <c r="K81" s="26"/>
      <c r="L81" s="26"/>
      <c r="M81" s="26"/>
      <c r="N81" s="26"/>
      <c r="O81" s="26"/>
    </row>
    <row r="82" ht="15.75" customHeight="1">
      <c r="A82" s="28"/>
      <c r="B82" s="29">
        <v>78.0</v>
      </c>
      <c r="C82" s="30" t="s">
        <v>170</v>
      </c>
      <c r="D82" s="30" t="s">
        <v>171</v>
      </c>
      <c r="E82" s="70" t="str">
        <f t="shared" si="2"/>
        <v>9번 중 9번 참여</v>
      </c>
      <c r="F82" s="71">
        <f t="shared" si="3"/>
        <v>1</v>
      </c>
      <c r="G82" s="26" t="s">
        <v>25</v>
      </c>
      <c r="H82" s="26" t="s">
        <v>25</v>
      </c>
      <c r="I82" s="26" t="s">
        <v>25</v>
      </c>
      <c r="J82" s="26" t="s">
        <v>25</v>
      </c>
      <c r="K82" s="26" t="s">
        <v>25</v>
      </c>
      <c r="L82" s="26" t="s">
        <v>25</v>
      </c>
      <c r="M82" s="26" t="s">
        <v>25</v>
      </c>
      <c r="N82" s="26" t="s">
        <v>25</v>
      </c>
      <c r="O82" s="26" t="s">
        <v>25</v>
      </c>
    </row>
    <row r="83" ht="15.75" customHeight="1">
      <c r="A83" s="20"/>
      <c r="B83" s="21">
        <v>79.0</v>
      </c>
      <c r="C83" s="22" t="s">
        <v>172</v>
      </c>
      <c r="D83" s="22" t="s">
        <v>173</v>
      </c>
      <c r="E83" s="70" t="str">
        <f t="shared" si="2"/>
        <v>9번 중 9번 참여</v>
      </c>
      <c r="F83" s="71">
        <f t="shared" si="3"/>
        <v>1</v>
      </c>
      <c r="G83" s="26" t="s">
        <v>25</v>
      </c>
      <c r="H83" s="26" t="s">
        <v>25</v>
      </c>
      <c r="I83" s="26" t="s">
        <v>25</v>
      </c>
      <c r="J83" s="26" t="s">
        <v>25</v>
      </c>
      <c r="K83" s="26" t="s">
        <v>25</v>
      </c>
      <c r="L83" s="26" t="s">
        <v>25</v>
      </c>
      <c r="M83" s="26" t="s">
        <v>25</v>
      </c>
      <c r="N83" s="26" t="s">
        <v>25</v>
      </c>
      <c r="O83" s="26" t="s">
        <v>25</v>
      </c>
    </row>
    <row r="84" ht="15.75" customHeight="1">
      <c r="A84" s="28"/>
      <c r="B84" s="29">
        <v>80.0</v>
      </c>
      <c r="C84" s="105" t="s">
        <v>424</v>
      </c>
      <c r="D84" s="105" t="s">
        <v>425</v>
      </c>
      <c r="E84" s="70" t="str">
        <f t="shared" si="2"/>
        <v/>
      </c>
      <c r="F84" s="71" t="str">
        <f t="shared" si="3"/>
        <v/>
      </c>
      <c r="G84" s="26"/>
      <c r="H84" s="26"/>
      <c r="I84" s="26"/>
      <c r="J84" s="26"/>
      <c r="K84" s="26"/>
      <c r="L84" s="26"/>
      <c r="M84" s="26"/>
      <c r="N84" s="26"/>
      <c r="O84" s="26"/>
    </row>
    <row r="85" ht="15.75" customHeight="1">
      <c r="A85" s="20"/>
      <c r="B85" s="21">
        <v>81.0</v>
      </c>
      <c r="C85" s="105" t="s">
        <v>341</v>
      </c>
      <c r="D85" s="105" t="s">
        <v>342</v>
      </c>
      <c r="E85" s="70" t="str">
        <f t="shared" si="2"/>
        <v/>
      </c>
      <c r="F85" s="71" t="str">
        <f t="shared" si="3"/>
        <v/>
      </c>
      <c r="G85" s="26"/>
      <c r="H85" s="26"/>
      <c r="I85" s="26"/>
      <c r="J85" s="26"/>
      <c r="K85" s="26"/>
      <c r="L85" s="26"/>
      <c r="M85" s="26"/>
      <c r="N85" s="26"/>
      <c r="O85" s="26"/>
    </row>
    <row r="86" ht="15.75" customHeight="1">
      <c r="A86" s="28"/>
      <c r="B86" s="29">
        <v>82.0</v>
      </c>
      <c r="C86" s="30" t="s">
        <v>174</v>
      </c>
      <c r="D86" s="38" t="s">
        <v>175</v>
      </c>
      <c r="E86" s="70" t="str">
        <f t="shared" si="2"/>
        <v>9번 중 4번 참여</v>
      </c>
      <c r="F86" s="71">
        <f t="shared" si="3"/>
        <v>0.4444444444</v>
      </c>
      <c r="G86" s="26"/>
      <c r="H86" s="26" t="s">
        <v>25</v>
      </c>
      <c r="I86" s="26" t="s">
        <v>25</v>
      </c>
      <c r="J86" s="26"/>
      <c r="K86" s="26"/>
      <c r="L86" s="26"/>
      <c r="M86" s="26"/>
      <c r="N86" s="26" t="s">
        <v>25</v>
      </c>
      <c r="O86" s="26" t="s">
        <v>25</v>
      </c>
    </row>
    <row r="87" ht="15.75" customHeight="1">
      <c r="A87" s="20"/>
      <c r="B87" s="21">
        <v>83.0</v>
      </c>
      <c r="C87" s="22" t="s">
        <v>168</v>
      </c>
      <c r="D87" s="22" t="s">
        <v>169</v>
      </c>
      <c r="E87" s="70" t="str">
        <f t="shared" si="2"/>
        <v>9번 중 2번 참여</v>
      </c>
      <c r="F87" s="71">
        <f t="shared" si="3"/>
        <v>0.2222222222</v>
      </c>
      <c r="G87" s="26"/>
      <c r="H87" s="26"/>
      <c r="I87" s="26"/>
      <c r="J87" s="26"/>
      <c r="K87" s="26"/>
      <c r="L87" s="26" t="s">
        <v>25</v>
      </c>
      <c r="M87" s="26"/>
      <c r="N87" s="26" t="s">
        <v>25</v>
      </c>
      <c r="O87" s="26"/>
    </row>
    <row r="88" ht="15.75" customHeight="1">
      <c r="A88" s="28"/>
      <c r="B88" s="29">
        <v>84.0</v>
      </c>
      <c r="C88" s="105" t="s">
        <v>386</v>
      </c>
      <c r="D88" s="105" t="s">
        <v>387</v>
      </c>
      <c r="E88" s="70" t="str">
        <f t="shared" si="2"/>
        <v/>
      </c>
      <c r="F88" s="71" t="str">
        <f t="shared" si="3"/>
        <v/>
      </c>
      <c r="G88" s="26"/>
      <c r="H88" s="26"/>
      <c r="I88" s="26"/>
      <c r="J88" s="26"/>
      <c r="K88" s="26"/>
      <c r="L88" s="26"/>
      <c r="M88" s="26"/>
      <c r="N88" s="26"/>
      <c r="O88" s="26"/>
    </row>
    <row r="89" ht="15.75" customHeight="1">
      <c r="A89" s="20"/>
      <c r="B89" s="21">
        <v>85.0</v>
      </c>
      <c r="C89" s="39" t="s">
        <v>176</v>
      </c>
      <c r="D89" s="39" t="s">
        <v>177</v>
      </c>
      <c r="E89" s="70" t="str">
        <f t="shared" si="2"/>
        <v>9번 중 9번 참여</v>
      </c>
      <c r="F89" s="71">
        <f t="shared" si="3"/>
        <v>1</v>
      </c>
      <c r="G89" s="26" t="s">
        <v>25</v>
      </c>
      <c r="H89" s="26" t="s">
        <v>25</v>
      </c>
      <c r="I89" s="26" t="s">
        <v>25</v>
      </c>
      <c r="J89" s="26" t="s">
        <v>25</v>
      </c>
      <c r="K89" s="26" t="s">
        <v>25</v>
      </c>
      <c r="L89" s="26" t="s">
        <v>25</v>
      </c>
      <c r="M89" s="26" t="s">
        <v>25</v>
      </c>
      <c r="N89" s="26" t="s">
        <v>25</v>
      </c>
      <c r="O89" s="26" t="s">
        <v>25</v>
      </c>
    </row>
    <row r="90" ht="15.75" customHeight="1">
      <c r="A90" s="28"/>
      <c r="B90" s="29">
        <v>86.0</v>
      </c>
      <c r="C90" s="105" t="s">
        <v>461</v>
      </c>
      <c r="D90" s="105" t="s">
        <v>377</v>
      </c>
      <c r="E90" s="70" t="str">
        <f t="shared" si="2"/>
        <v/>
      </c>
      <c r="F90" s="71" t="str">
        <f t="shared" si="3"/>
        <v/>
      </c>
      <c r="G90" s="26"/>
      <c r="H90" s="26"/>
      <c r="I90" s="26"/>
      <c r="J90" s="26"/>
      <c r="K90" s="26"/>
      <c r="L90" s="26"/>
      <c r="M90" s="26"/>
      <c r="N90" s="26"/>
      <c r="O90" s="26"/>
    </row>
    <row r="91" ht="15.75" customHeight="1">
      <c r="A91" s="20"/>
      <c r="B91" s="21">
        <v>87.0</v>
      </c>
      <c r="C91" s="198" t="s">
        <v>180</v>
      </c>
      <c r="D91" s="198" t="s">
        <v>181</v>
      </c>
      <c r="E91" s="70" t="str">
        <f t="shared" si="2"/>
        <v>9번 중 9번 참여</v>
      </c>
      <c r="F91" s="71">
        <f t="shared" si="3"/>
        <v>1</v>
      </c>
      <c r="G91" s="26" t="s">
        <v>25</v>
      </c>
      <c r="H91" s="26" t="s">
        <v>25</v>
      </c>
      <c r="I91" s="26" t="s">
        <v>25</v>
      </c>
      <c r="J91" s="26" t="s">
        <v>25</v>
      </c>
      <c r="K91" s="26" t="s">
        <v>25</v>
      </c>
      <c r="L91" s="26" t="s">
        <v>25</v>
      </c>
      <c r="M91" s="26" t="s">
        <v>25</v>
      </c>
      <c r="N91" s="26" t="s">
        <v>25</v>
      </c>
      <c r="O91" s="26" t="s">
        <v>25</v>
      </c>
    </row>
    <row r="92" ht="15.75" customHeight="1">
      <c r="A92" s="28"/>
      <c r="B92" s="29">
        <v>88.0</v>
      </c>
      <c r="C92" s="168" t="s">
        <v>462</v>
      </c>
      <c r="D92" s="168" t="s">
        <v>463</v>
      </c>
      <c r="E92" s="70" t="str">
        <f t="shared" si="2"/>
        <v>9번 중 8번 참여</v>
      </c>
      <c r="F92" s="71">
        <f t="shared" si="3"/>
        <v>0.8888888889</v>
      </c>
      <c r="G92" s="26" t="s">
        <v>25</v>
      </c>
      <c r="H92" s="26" t="s">
        <v>25</v>
      </c>
      <c r="I92" s="26" t="s">
        <v>25</v>
      </c>
      <c r="J92" s="26" t="s">
        <v>25</v>
      </c>
      <c r="K92" s="26" t="s">
        <v>25</v>
      </c>
      <c r="L92" s="26" t="s">
        <v>25</v>
      </c>
      <c r="M92" s="26" t="s">
        <v>25</v>
      </c>
      <c r="N92" s="26"/>
      <c r="O92" s="26" t="s">
        <v>25</v>
      </c>
    </row>
    <row r="93" ht="15.75" customHeight="1">
      <c r="A93" s="20"/>
      <c r="B93" s="21">
        <v>89.0</v>
      </c>
      <c r="C93" s="167" t="s">
        <v>464</v>
      </c>
      <c r="D93" s="199" t="s">
        <v>465</v>
      </c>
      <c r="E93" s="70" t="str">
        <f t="shared" si="2"/>
        <v>9번 중 8번 참여</v>
      </c>
      <c r="F93" s="71">
        <f t="shared" si="3"/>
        <v>0.8888888889</v>
      </c>
      <c r="G93" s="26" t="s">
        <v>25</v>
      </c>
      <c r="H93" s="26" t="s">
        <v>25</v>
      </c>
      <c r="I93" s="26" t="s">
        <v>25</v>
      </c>
      <c r="J93" s="26" t="s">
        <v>25</v>
      </c>
      <c r="K93" s="26" t="s">
        <v>25</v>
      </c>
      <c r="L93" s="26" t="s">
        <v>25</v>
      </c>
      <c r="M93" s="26" t="s">
        <v>25</v>
      </c>
      <c r="N93" s="26" t="s">
        <v>25</v>
      </c>
      <c r="O93" s="26"/>
    </row>
    <row r="94" ht="15.75" customHeight="1">
      <c r="A94" s="28"/>
      <c r="B94" s="29">
        <v>90.0</v>
      </c>
      <c r="C94" s="200" t="s">
        <v>466</v>
      </c>
      <c r="D94" s="200" t="s">
        <v>467</v>
      </c>
      <c r="E94" s="70" t="str">
        <f t="shared" si="2"/>
        <v/>
      </c>
      <c r="F94" s="71" t="str">
        <f t="shared" si="3"/>
        <v/>
      </c>
      <c r="G94" s="26"/>
      <c r="H94" s="26"/>
      <c r="I94" s="26"/>
      <c r="J94" s="26"/>
      <c r="K94" s="26"/>
      <c r="L94" s="26"/>
      <c r="M94" s="26"/>
      <c r="N94" s="26"/>
      <c r="O94" s="26"/>
    </row>
    <row r="95" ht="15.75" customHeight="1">
      <c r="A95" s="20"/>
      <c r="B95" s="21">
        <v>91.0</v>
      </c>
      <c r="C95" s="167" t="s">
        <v>182</v>
      </c>
      <c r="D95" s="167" t="s">
        <v>183</v>
      </c>
      <c r="E95" s="70" t="str">
        <f t="shared" si="2"/>
        <v>9번 중 9번 참여</v>
      </c>
      <c r="F95" s="71">
        <f t="shared" si="3"/>
        <v>1</v>
      </c>
      <c r="G95" s="26" t="s">
        <v>25</v>
      </c>
      <c r="H95" s="26" t="s">
        <v>25</v>
      </c>
      <c r="I95" s="26" t="s">
        <v>25</v>
      </c>
      <c r="J95" s="26" t="s">
        <v>25</v>
      </c>
      <c r="K95" s="26" t="s">
        <v>25</v>
      </c>
      <c r="L95" s="26" t="s">
        <v>25</v>
      </c>
      <c r="M95" s="26" t="s">
        <v>25</v>
      </c>
      <c r="N95" s="26" t="s">
        <v>25</v>
      </c>
      <c r="O95" s="26" t="s">
        <v>25</v>
      </c>
    </row>
    <row r="96" ht="15.75" customHeight="1">
      <c r="A96" s="28"/>
      <c r="B96" s="29">
        <v>92.0</v>
      </c>
      <c r="C96" s="168" t="s">
        <v>491</v>
      </c>
      <c r="D96" s="201" t="s">
        <v>492</v>
      </c>
      <c r="E96" s="70" t="str">
        <f t="shared" si="2"/>
        <v>9번 중 9번 참여</v>
      </c>
      <c r="F96" s="71">
        <f t="shared" si="3"/>
        <v>1</v>
      </c>
      <c r="G96" s="26" t="s">
        <v>25</v>
      </c>
      <c r="H96" s="26" t="s">
        <v>25</v>
      </c>
      <c r="I96" s="26" t="s">
        <v>25</v>
      </c>
      <c r="J96" s="26" t="s">
        <v>25</v>
      </c>
      <c r="K96" s="26" t="s">
        <v>25</v>
      </c>
      <c r="L96" s="26" t="s">
        <v>25</v>
      </c>
      <c r="M96" s="26" t="s">
        <v>25</v>
      </c>
      <c r="N96" s="26" t="s">
        <v>25</v>
      </c>
      <c r="O96" s="26" t="s">
        <v>25</v>
      </c>
    </row>
    <row r="97" ht="15.75" customHeight="1">
      <c r="A97" s="20"/>
      <c r="B97" s="21">
        <v>93.0</v>
      </c>
      <c r="C97" s="43" t="s">
        <v>184</v>
      </c>
      <c r="D97" s="187" t="s">
        <v>545</v>
      </c>
      <c r="E97" s="70" t="str">
        <f t="shared" si="2"/>
        <v>9번 중 7번 참여</v>
      </c>
      <c r="F97" s="71">
        <f t="shared" si="3"/>
        <v>0.7777777778</v>
      </c>
      <c r="G97" s="26" t="s">
        <v>25</v>
      </c>
      <c r="H97" s="26" t="s">
        <v>25</v>
      </c>
      <c r="I97" s="26" t="s">
        <v>25</v>
      </c>
      <c r="J97" s="26" t="s">
        <v>25</v>
      </c>
      <c r="K97" s="26" t="s">
        <v>25</v>
      </c>
      <c r="L97" s="26" t="s">
        <v>25</v>
      </c>
      <c r="M97" s="26" t="s">
        <v>25</v>
      </c>
      <c r="N97" s="26"/>
      <c r="O97" s="26"/>
    </row>
    <row r="98" ht="15.75" customHeight="1">
      <c r="A98" s="28"/>
      <c r="B98" s="29">
        <v>94.0</v>
      </c>
      <c r="C98" s="44" t="s">
        <v>126</v>
      </c>
      <c r="D98" s="44" t="s">
        <v>127</v>
      </c>
      <c r="E98" s="70" t="str">
        <f t="shared" si="2"/>
        <v>9번 중 9번 참여</v>
      </c>
      <c r="F98" s="71">
        <f t="shared" si="3"/>
        <v>1</v>
      </c>
      <c r="G98" s="26" t="s">
        <v>25</v>
      </c>
      <c r="H98" s="26" t="s">
        <v>25</v>
      </c>
      <c r="I98" s="26" t="s">
        <v>25</v>
      </c>
      <c r="J98" s="26" t="s">
        <v>25</v>
      </c>
      <c r="K98" s="26" t="s">
        <v>25</v>
      </c>
      <c r="L98" s="26" t="s">
        <v>25</v>
      </c>
      <c r="M98" s="26" t="s">
        <v>25</v>
      </c>
      <c r="N98" s="26" t="s">
        <v>25</v>
      </c>
      <c r="O98" s="26" t="s">
        <v>25</v>
      </c>
    </row>
    <row r="99" ht="15.75" customHeight="1">
      <c r="A99" s="20"/>
      <c r="B99" s="21">
        <v>95.0</v>
      </c>
      <c r="C99" s="106" t="s">
        <v>495</v>
      </c>
      <c r="D99" s="106" t="s">
        <v>208</v>
      </c>
      <c r="E99" s="70" t="str">
        <f t="shared" si="2"/>
        <v/>
      </c>
      <c r="F99" s="71" t="str">
        <f t="shared" si="3"/>
        <v/>
      </c>
      <c r="G99" s="26"/>
      <c r="H99" s="26"/>
      <c r="I99" s="26"/>
      <c r="J99" s="26"/>
      <c r="K99" s="26"/>
      <c r="L99" s="26"/>
      <c r="M99" s="26"/>
      <c r="N99" s="26"/>
      <c r="O99" s="26"/>
    </row>
    <row r="100" ht="15.75" customHeight="1">
      <c r="A100" s="28"/>
      <c r="B100" s="29">
        <v>96.0</v>
      </c>
      <c r="C100" s="104" t="s">
        <v>546</v>
      </c>
      <c r="D100" s="104" t="s">
        <v>547</v>
      </c>
      <c r="E100" s="70" t="str">
        <f t="shared" si="2"/>
        <v/>
      </c>
      <c r="F100" s="71" t="str">
        <f t="shared" si="3"/>
        <v/>
      </c>
      <c r="G100" s="26"/>
      <c r="H100" s="26"/>
      <c r="I100" s="26"/>
      <c r="J100" s="26"/>
      <c r="K100" s="26"/>
      <c r="L100" s="26"/>
      <c r="M100" s="26"/>
      <c r="N100" s="26"/>
      <c r="O100" s="26"/>
    </row>
    <row r="101" ht="15.75" customHeight="1">
      <c r="A101" s="20"/>
      <c r="B101" s="21">
        <v>97.0</v>
      </c>
      <c r="C101" s="39" t="s">
        <v>89</v>
      </c>
      <c r="D101" s="39" t="s">
        <v>90</v>
      </c>
      <c r="E101" s="70" t="str">
        <f t="shared" si="2"/>
        <v>9번 중 8번 참여</v>
      </c>
      <c r="F101" s="71">
        <f t="shared" si="3"/>
        <v>0.8888888889</v>
      </c>
      <c r="G101" s="26" t="s">
        <v>25</v>
      </c>
      <c r="H101" s="26" t="s">
        <v>25</v>
      </c>
      <c r="I101" s="26" t="s">
        <v>25</v>
      </c>
      <c r="J101" s="26" t="s">
        <v>25</v>
      </c>
      <c r="K101" s="26" t="s">
        <v>25</v>
      </c>
      <c r="L101" s="26" t="s">
        <v>25</v>
      </c>
      <c r="M101" s="26" t="s">
        <v>25</v>
      </c>
      <c r="N101" s="26" t="s">
        <v>25</v>
      </c>
      <c r="O101" s="26"/>
    </row>
    <row r="102" ht="15.75" customHeight="1">
      <c r="A102" s="28"/>
      <c r="B102" s="29">
        <v>98.0</v>
      </c>
      <c r="C102" s="202" t="s">
        <v>184</v>
      </c>
      <c r="D102" s="35" t="s">
        <v>548</v>
      </c>
      <c r="E102" s="70" t="str">
        <f t="shared" si="2"/>
        <v/>
      </c>
      <c r="F102" s="71" t="str">
        <f t="shared" si="3"/>
        <v/>
      </c>
      <c r="G102" s="26" t="s">
        <v>80</v>
      </c>
      <c r="H102" s="26"/>
      <c r="I102" s="26"/>
      <c r="J102" s="26"/>
      <c r="K102" s="26"/>
      <c r="L102" s="26"/>
      <c r="M102" s="26"/>
      <c r="N102" s="26"/>
      <c r="O102" s="26"/>
    </row>
    <row r="103" ht="15.75" customHeight="1">
      <c r="A103" s="20"/>
      <c r="B103" s="21">
        <v>99.0</v>
      </c>
      <c r="C103" s="203" t="s">
        <v>176</v>
      </c>
      <c r="D103" s="33" t="s">
        <v>549</v>
      </c>
      <c r="E103" s="70" t="str">
        <f t="shared" si="2"/>
        <v/>
      </c>
      <c r="F103" s="71" t="str">
        <f t="shared" si="3"/>
        <v/>
      </c>
      <c r="G103" s="26" t="s">
        <v>80</v>
      </c>
      <c r="H103" s="26"/>
      <c r="I103" s="26"/>
      <c r="J103" s="26"/>
      <c r="K103" s="26"/>
      <c r="L103" s="26"/>
      <c r="M103" s="26"/>
      <c r="N103" s="26"/>
      <c r="O103" s="26"/>
    </row>
    <row r="104" ht="15.75" customHeight="1">
      <c r="A104" s="28"/>
      <c r="B104" s="29">
        <v>100.0</v>
      </c>
      <c r="C104" s="202" t="s">
        <v>160</v>
      </c>
      <c r="D104" s="35" t="s">
        <v>550</v>
      </c>
      <c r="E104" s="70" t="str">
        <f t="shared" si="2"/>
        <v/>
      </c>
      <c r="F104" s="71" t="str">
        <f t="shared" si="3"/>
        <v/>
      </c>
      <c r="G104" s="26" t="s">
        <v>80</v>
      </c>
      <c r="H104" s="26"/>
      <c r="I104" s="26"/>
      <c r="J104" s="26"/>
      <c r="K104" s="26"/>
      <c r="L104" s="26"/>
      <c r="M104" s="26"/>
      <c r="N104" s="26"/>
      <c r="O104" s="26"/>
    </row>
    <row r="105" ht="15.75" customHeight="1">
      <c r="A105" s="20"/>
      <c r="B105" s="21">
        <v>101.0</v>
      </c>
      <c r="C105" s="203" t="s">
        <v>539</v>
      </c>
      <c r="D105" s="33" t="s">
        <v>551</v>
      </c>
      <c r="E105" s="171" t="s">
        <v>552</v>
      </c>
      <c r="F105" s="71" t="str">
        <f t="shared" si="3"/>
        <v/>
      </c>
      <c r="G105" s="26" t="s">
        <v>80</v>
      </c>
      <c r="H105" s="26"/>
      <c r="I105" s="26"/>
      <c r="J105" s="26"/>
      <c r="K105" s="26"/>
      <c r="L105" s="26"/>
      <c r="M105" s="26"/>
      <c r="N105" s="26"/>
      <c r="O105" s="26"/>
    </row>
    <row r="106" ht="15.75" customHeight="1">
      <c r="A106" s="28"/>
      <c r="B106" s="29">
        <v>102.0</v>
      </c>
      <c r="C106" s="202" t="s">
        <v>540</v>
      </c>
      <c r="D106" s="35" t="s">
        <v>553</v>
      </c>
      <c r="E106" s="70" t="str">
        <f t="shared" ref="E106:E124" si="4">IF(COUNTIF(G106:O106, "완료")=0, "", COUNTIF($G$4:$O$4, "완료") &amp; "번 중 " &amp; COUNTIF(G106:O106, "완료") &amp; "번 참여")
</f>
        <v/>
      </c>
      <c r="F106" s="71" t="str">
        <f t="shared" si="3"/>
        <v/>
      </c>
      <c r="G106" s="26"/>
      <c r="H106" s="26"/>
      <c r="I106" s="26"/>
      <c r="J106" s="26"/>
      <c r="K106" s="26"/>
      <c r="L106" s="26"/>
      <c r="M106" s="26"/>
      <c r="N106" s="26"/>
      <c r="O106" s="26"/>
    </row>
    <row r="107" ht="15.75" customHeight="1">
      <c r="A107" s="20"/>
      <c r="B107" s="21">
        <v>103.0</v>
      </c>
      <c r="C107" s="33" t="s">
        <v>554</v>
      </c>
      <c r="D107" s="33" t="s">
        <v>555</v>
      </c>
      <c r="E107" s="70" t="str">
        <f t="shared" si="4"/>
        <v/>
      </c>
      <c r="F107" s="71" t="str">
        <f t="shared" si="3"/>
        <v/>
      </c>
      <c r="G107" s="26"/>
      <c r="H107" s="26"/>
      <c r="I107" s="26"/>
      <c r="J107" s="26"/>
      <c r="K107" s="26"/>
      <c r="L107" s="26"/>
      <c r="M107" s="26"/>
      <c r="N107" s="26"/>
      <c r="O107" s="26"/>
    </row>
    <row r="108" ht="15.75" customHeight="1">
      <c r="A108" s="28"/>
      <c r="B108" s="29">
        <v>104.0</v>
      </c>
      <c r="C108" s="204" t="s">
        <v>166</v>
      </c>
      <c r="D108" s="35" t="s">
        <v>556</v>
      </c>
      <c r="E108" s="70" t="str">
        <f t="shared" si="4"/>
        <v/>
      </c>
      <c r="F108" s="71" t="str">
        <f t="shared" si="3"/>
        <v/>
      </c>
      <c r="G108" s="26"/>
      <c r="H108" s="26"/>
      <c r="I108" s="26"/>
      <c r="J108" s="26"/>
      <c r="K108" s="26"/>
      <c r="L108" s="26"/>
      <c r="M108" s="26"/>
      <c r="N108" s="26"/>
      <c r="O108" s="26"/>
    </row>
    <row r="109" ht="15.75" customHeight="1">
      <c r="A109" s="20"/>
      <c r="B109" s="21">
        <v>105.0</v>
      </c>
      <c r="C109" s="33" t="s">
        <v>557</v>
      </c>
      <c r="D109" s="33" t="s">
        <v>558</v>
      </c>
      <c r="E109" s="70" t="str">
        <f t="shared" si="4"/>
        <v/>
      </c>
      <c r="F109" s="71" t="str">
        <f t="shared" si="3"/>
        <v/>
      </c>
      <c r="G109" s="26"/>
      <c r="H109" s="26"/>
      <c r="I109" s="26"/>
      <c r="J109" s="26"/>
      <c r="K109" s="26"/>
      <c r="L109" s="26"/>
      <c r="M109" s="26"/>
      <c r="N109" s="26"/>
      <c r="O109" s="26"/>
    </row>
    <row r="110" ht="15.75" customHeight="1">
      <c r="A110" s="28"/>
      <c r="B110" s="29">
        <v>106.0</v>
      </c>
      <c r="C110" s="35"/>
      <c r="D110" s="35"/>
      <c r="E110" s="70" t="str">
        <f t="shared" si="4"/>
        <v/>
      </c>
      <c r="F110" s="71" t="str">
        <f t="shared" si="3"/>
        <v/>
      </c>
      <c r="G110" s="26"/>
      <c r="H110" s="26"/>
      <c r="I110" s="26"/>
      <c r="J110" s="26"/>
      <c r="K110" s="26"/>
      <c r="L110" s="26"/>
      <c r="M110" s="26"/>
      <c r="N110" s="26"/>
      <c r="O110" s="26"/>
    </row>
    <row r="111" ht="15.75" customHeight="1">
      <c r="A111" s="20"/>
      <c r="B111" s="21">
        <v>107.0</v>
      </c>
      <c r="C111" s="33"/>
      <c r="D111" s="33"/>
      <c r="E111" s="70" t="str">
        <f t="shared" si="4"/>
        <v/>
      </c>
      <c r="F111" s="71" t="str">
        <f t="shared" si="3"/>
        <v/>
      </c>
      <c r="G111" s="26"/>
      <c r="H111" s="26"/>
      <c r="I111" s="26"/>
      <c r="J111" s="26"/>
      <c r="K111" s="26"/>
      <c r="L111" s="26"/>
      <c r="M111" s="26"/>
      <c r="N111" s="26"/>
      <c r="O111" s="26"/>
    </row>
    <row r="112" ht="15.75" customHeight="1">
      <c r="A112" s="28"/>
      <c r="B112" s="29">
        <v>108.0</v>
      </c>
      <c r="C112" s="35"/>
      <c r="D112" s="35"/>
      <c r="E112" s="70" t="str">
        <f t="shared" si="4"/>
        <v/>
      </c>
      <c r="F112" s="71" t="str">
        <f t="shared" si="3"/>
        <v/>
      </c>
      <c r="G112" s="26"/>
      <c r="H112" s="26"/>
      <c r="I112" s="26"/>
      <c r="J112" s="26"/>
      <c r="K112" s="26"/>
      <c r="L112" s="26"/>
      <c r="M112" s="26"/>
      <c r="N112" s="26"/>
      <c r="O112" s="26"/>
    </row>
    <row r="113" ht="15.75" customHeight="1">
      <c r="A113" s="20"/>
      <c r="B113" s="21">
        <v>109.0</v>
      </c>
      <c r="C113" s="33"/>
      <c r="D113" s="33"/>
      <c r="E113" s="70" t="str">
        <f t="shared" si="4"/>
        <v/>
      </c>
      <c r="F113" s="71" t="str">
        <f t="shared" si="3"/>
        <v/>
      </c>
      <c r="G113" s="26"/>
      <c r="H113" s="26"/>
      <c r="I113" s="26"/>
      <c r="J113" s="26"/>
      <c r="K113" s="26"/>
      <c r="L113" s="26"/>
      <c r="M113" s="26"/>
      <c r="N113" s="26"/>
      <c r="O113" s="26"/>
    </row>
    <row r="114" ht="15.75" customHeight="1">
      <c r="A114" s="28"/>
      <c r="B114" s="29">
        <v>110.0</v>
      </c>
      <c r="C114" s="35"/>
      <c r="D114" s="35"/>
      <c r="E114" s="70" t="str">
        <f t="shared" si="4"/>
        <v/>
      </c>
      <c r="F114" s="71" t="str">
        <f t="shared" si="3"/>
        <v/>
      </c>
      <c r="G114" s="26"/>
      <c r="H114" s="26"/>
      <c r="I114" s="26"/>
      <c r="J114" s="26"/>
      <c r="K114" s="26"/>
      <c r="L114" s="26"/>
      <c r="M114" s="26"/>
      <c r="N114" s="26"/>
      <c r="O114" s="26"/>
    </row>
    <row r="115" ht="15.75" customHeight="1">
      <c r="A115" s="20"/>
      <c r="B115" s="21">
        <v>111.0</v>
      </c>
      <c r="C115" s="33"/>
      <c r="D115" s="33"/>
      <c r="E115" s="70" t="str">
        <f t="shared" si="4"/>
        <v/>
      </c>
      <c r="F115" s="71" t="str">
        <f t="shared" si="3"/>
        <v/>
      </c>
      <c r="G115" s="26"/>
      <c r="H115" s="26"/>
      <c r="I115" s="26"/>
      <c r="J115" s="26"/>
      <c r="K115" s="26"/>
      <c r="L115" s="26"/>
      <c r="M115" s="26"/>
      <c r="N115" s="26"/>
      <c r="O115" s="26"/>
    </row>
    <row r="116" ht="15.75" customHeight="1">
      <c r="A116" s="28"/>
      <c r="B116" s="29">
        <v>112.0</v>
      </c>
      <c r="C116" s="35"/>
      <c r="D116" s="35"/>
      <c r="E116" s="70" t="str">
        <f t="shared" si="4"/>
        <v/>
      </c>
      <c r="F116" s="71" t="str">
        <f t="shared" si="3"/>
        <v/>
      </c>
      <c r="G116" s="26"/>
      <c r="H116" s="26"/>
      <c r="I116" s="26"/>
      <c r="J116" s="26"/>
      <c r="K116" s="26"/>
      <c r="L116" s="26"/>
      <c r="M116" s="26"/>
      <c r="N116" s="26"/>
      <c r="O116" s="26"/>
    </row>
    <row r="117" ht="15.75" customHeight="1">
      <c r="A117" s="20"/>
      <c r="B117" s="21">
        <v>113.0</v>
      </c>
      <c r="C117" s="33"/>
      <c r="D117" s="33"/>
      <c r="E117" s="70" t="str">
        <f t="shared" si="4"/>
        <v/>
      </c>
      <c r="F117" s="71" t="str">
        <f t="shared" si="3"/>
        <v/>
      </c>
      <c r="G117" s="26"/>
      <c r="H117" s="26"/>
      <c r="I117" s="26"/>
      <c r="J117" s="26"/>
      <c r="K117" s="26"/>
      <c r="L117" s="26"/>
      <c r="M117" s="26"/>
      <c r="N117" s="26"/>
      <c r="O117" s="26"/>
    </row>
    <row r="118" ht="15.75" customHeight="1">
      <c r="A118" s="28"/>
      <c r="B118" s="29">
        <v>114.0</v>
      </c>
      <c r="C118" s="35"/>
      <c r="D118" s="35"/>
      <c r="E118" s="70" t="str">
        <f t="shared" si="4"/>
        <v/>
      </c>
      <c r="F118" s="71" t="str">
        <f t="shared" si="3"/>
        <v/>
      </c>
      <c r="G118" s="26"/>
      <c r="H118" s="26"/>
      <c r="I118" s="26"/>
      <c r="J118" s="26"/>
      <c r="K118" s="26"/>
      <c r="L118" s="26"/>
      <c r="M118" s="26"/>
      <c r="N118" s="26"/>
      <c r="O118" s="26"/>
    </row>
    <row r="119" ht="15.75" customHeight="1">
      <c r="A119" s="20"/>
      <c r="B119" s="21">
        <v>115.0</v>
      </c>
      <c r="C119" s="33"/>
      <c r="D119" s="33"/>
      <c r="E119" s="70" t="str">
        <f t="shared" si="4"/>
        <v/>
      </c>
      <c r="F119" s="71" t="str">
        <f t="shared" si="3"/>
        <v/>
      </c>
      <c r="G119" s="26"/>
      <c r="H119" s="26"/>
      <c r="I119" s="26"/>
      <c r="J119" s="26"/>
      <c r="K119" s="26"/>
      <c r="L119" s="26"/>
      <c r="M119" s="26"/>
      <c r="N119" s="26"/>
      <c r="O119" s="26"/>
    </row>
    <row r="120" ht="15.75" customHeight="1">
      <c r="A120" s="28"/>
      <c r="B120" s="29">
        <v>116.0</v>
      </c>
      <c r="C120" s="35"/>
      <c r="D120" s="35"/>
      <c r="E120" s="70" t="str">
        <f t="shared" si="4"/>
        <v/>
      </c>
      <c r="F120" s="71" t="str">
        <f t="shared" si="3"/>
        <v/>
      </c>
      <c r="G120" s="26"/>
      <c r="H120" s="26"/>
      <c r="I120" s="26"/>
      <c r="J120" s="26"/>
      <c r="K120" s="26"/>
      <c r="L120" s="26"/>
      <c r="M120" s="26"/>
      <c r="N120" s="26"/>
      <c r="O120" s="26"/>
    </row>
    <row r="121" ht="15.75" customHeight="1">
      <c r="A121" s="20"/>
      <c r="B121" s="21">
        <v>117.0</v>
      </c>
      <c r="C121" s="33"/>
      <c r="D121" s="33"/>
      <c r="E121" s="70" t="str">
        <f t="shared" si="4"/>
        <v/>
      </c>
      <c r="F121" s="71" t="str">
        <f t="shared" si="3"/>
        <v/>
      </c>
      <c r="G121" s="26"/>
      <c r="H121" s="26"/>
      <c r="I121" s="26"/>
      <c r="J121" s="26"/>
      <c r="K121" s="26"/>
      <c r="L121" s="26"/>
      <c r="M121" s="26"/>
      <c r="N121" s="26"/>
      <c r="O121" s="26"/>
    </row>
    <row r="122" ht="15.75" customHeight="1">
      <c r="A122" s="13"/>
      <c r="B122" s="55">
        <v>118.0</v>
      </c>
      <c r="C122" s="56"/>
      <c r="D122" s="56"/>
      <c r="E122" s="92" t="str">
        <f t="shared" si="4"/>
        <v/>
      </c>
      <c r="F122" s="93" t="str">
        <f t="shared" si="3"/>
        <v/>
      </c>
      <c r="G122" s="17"/>
      <c r="H122" s="17"/>
      <c r="I122" s="17"/>
      <c r="J122" s="17"/>
      <c r="K122" s="17"/>
      <c r="L122" s="17"/>
      <c r="M122" s="17"/>
      <c r="N122" s="17"/>
      <c r="O122" s="17"/>
    </row>
    <row r="123" ht="15.75" customHeight="1">
      <c r="A123" s="13"/>
      <c r="B123" s="55">
        <v>119.0</v>
      </c>
      <c r="C123" s="56"/>
      <c r="D123" s="56"/>
      <c r="E123" s="92" t="str">
        <f t="shared" si="4"/>
        <v/>
      </c>
      <c r="F123" s="93" t="str">
        <f t="shared" si="3"/>
        <v/>
      </c>
      <c r="G123" s="17"/>
      <c r="H123" s="17"/>
      <c r="I123" s="17"/>
      <c r="J123" s="17"/>
      <c r="K123" s="17"/>
      <c r="L123" s="17"/>
      <c r="M123" s="17"/>
      <c r="N123" s="17"/>
      <c r="O123" s="17"/>
    </row>
    <row r="124" ht="15.75" customHeight="1">
      <c r="A124" s="13"/>
      <c r="B124" s="55">
        <v>120.0</v>
      </c>
      <c r="C124" s="56"/>
      <c r="D124" s="56"/>
      <c r="E124" s="92" t="str">
        <f t="shared" si="4"/>
        <v/>
      </c>
      <c r="F124" s="93" t="str">
        <f t="shared" si="3"/>
        <v/>
      </c>
      <c r="G124" s="17"/>
      <c r="H124" s="17"/>
      <c r="I124" s="17"/>
      <c r="J124" s="17"/>
      <c r="K124" s="17"/>
      <c r="L124" s="17"/>
      <c r="M124" s="17"/>
      <c r="N124" s="17"/>
      <c r="O124" s="17"/>
    </row>
    <row r="125" ht="15.75" customHeight="1">
      <c r="A125" s="13"/>
      <c r="B125" s="13"/>
      <c r="C125" s="13"/>
      <c r="D125" s="13"/>
      <c r="E125" s="13"/>
      <c r="F125" s="13"/>
      <c r="G125" s="13"/>
      <c r="H125" s="13"/>
      <c r="I125" s="13"/>
      <c r="J125" s="13"/>
      <c r="K125" s="13"/>
      <c r="L125" s="13"/>
      <c r="M125" s="13"/>
      <c r="N125" s="13"/>
      <c r="O125" s="13"/>
    </row>
    <row r="126" ht="15.75" customHeight="1">
      <c r="A126" s="13"/>
      <c r="B126" s="13"/>
      <c r="C126" s="13"/>
      <c r="D126" s="13"/>
      <c r="E126" s="13"/>
      <c r="F126" s="13"/>
      <c r="G126" s="13"/>
      <c r="H126" s="13"/>
      <c r="I126" s="13"/>
      <c r="J126" s="13"/>
      <c r="K126" s="13"/>
      <c r="L126" s="13"/>
      <c r="M126" s="13"/>
      <c r="N126" s="13"/>
      <c r="O126" s="13"/>
    </row>
    <row r="127" ht="15.75" customHeight="1">
      <c r="A127" s="13"/>
      <c r="B127" s="13"/>
      <c r="C127" s="13"/>
      <c r="D127" s="13"/>
      <c r="E127" s="13"/>
      <c r="F127" s="13"/>
      <c r="G127" s="13"/>
      <c r="H127" s="13"/>
      <c r="I127" s="13"/>
      <c r="J127" s="13"/>
      <c r="K127" s="13"/>
      <c r="L127" s="13"/>
      <c r="M127" s="13"/>
      <c r="N127" s="13"/>
      <c r="O127" s="13"/>
    </row>
    <row r="128" ht="15.75" customHeight="1">
      <c r="A128" s="13"/>
      <c r="B128" s="13"/>
      <c r="C128" s="13"/>
      <c r="D128" s="13"/>
      <c r="E128" s="13"/>
      <c r="F128" s="13"/>
      <c r="G128" s="13"/>
      <c r="H128" s="13"/>
      <c r="I128" s="13"/>
      <c r="J128" s="13"/>
      <c r="K128" s="13"/>
      <c r="L128" s="13"/>
      <c r="M128" s="13"/>
      <c r="N128" s="13"/>
      <c r="O128" s="13"/>
    </row>
    <row r="129" ht="15.75" customHeight="1">
      <c r="A129" s="13"/>
      <c r="B129" s="13"/>
      <c r="C129" s="13"/>
      <c r="D129" s="13"/>
      <c r="E129" s="13"/>
      <c r="F129" s="13"/>
      <c r="G129" s="13"/>
      <c r="H129" s="13"/>
      <c r="I129" s="13"/>
      <c r="J129" s="13"/>
      <c r="K129" s="13"/>
      <c r="L129" s="13"/>
      <c r="M129" s="13"/>
      <c r="N129" s="13"/>
      <c r="O129" s="13"/>
    </row>
    <row r="130" ht="15.75" customHeight="1">
      <c r="A130" s="13"/>
      <c r="B130" s="13"/>
      <c r="C130" s="13"/>
      <c r="D130" s="13"/>
      <c r="E130" s="13"/>
      <c r="F130" s="13"/>
      <c r="G130" s="13"/>
      <c r="H130" s="13"/>
      <c r="I130" s="13"/>
      <c r="J130" s="13"/>
      <c r="K130" s="13"/>
      <c r="L130" s="13"/>
      <c r="M130" s="13"/>
      <c r="N130" s="13"/>
      <c r="O130" s="13"/>
    </row>
    <row r="131" ht="15.75" customHeight="1">
      <c r="A131" s="13"/>
      <c r="B131" s="13"/>
      <c r="C131" s="13"/>
      <c r="D131" s="13"/>
      <c r="E131" s="13"/>
      <c r="F131" s="13"/>
      <c r="G131" s="13"/>
      <c r="H131" s="13"/>
      <c r="I131" s="13"/>
      <c r="J131" s="13"/>
      <c r="K131" s="13"/>
      <c r="L131" s="13"/>
      <c r="M131" s="13"/>
      <c r="N131" s="13"/>
      <c r="O131" s="13"/>
    </row>
    <row r="132" ht="15.75" customHeight="1">
      <c r="A132" s="13"/>
      <c r="B132" s="13"/>
      <c r="C132" s="13"/>
      <c r="D132" s="13"/>
      <c r="E132" s="13"/>
      <c r="F132" s="13"/>
      <c r="G132" s="13"/>
      <c r="H132" s="13"/>
      <c r="I132" s="13"/>
      <c r="J132" s="13"/>
      <c r="K132" s="13"/>
      <c r="L132" s="13"/>
      <c r="M132" s="13"/>
      <c r="N132" s="13"/>
      <c r="O132" s="13"/>
    </row>
    <row r="133" ht="15.75" customHeight="1">
      <c r="A133" s="13"/>
      <c r="B133" s="13"/>
      <c r="C133" s="13"/>
      <c r="D133" s="13"/>
      <c r="E133" s="13"/>
      <c r="F133" s="13"/>
      <c r="G133" s="13"/>
      <c r="H133" s="13"/>
      <c r="I133" s="13"/>
      <c r="J133" s="13"/>
      <c r="K133" s="13"/>
      <c r="L133" s="13"/>
      <c r="M133" s="13"/>
      <c r="N133" s="13"/>
      <c r="O133" s="13"/>
    </row>
    <row r="134" ht="15.75" customHeight="1">
      <c r="A134" s="13"/>
      <c r="B134" s="13"/>
      <c r="C134" s="13"/>
      <c r="D134" s="13"/>
      <c r="E134" s="13"/>
      <c r="F134" s="13"/>
      <c r="G134" s="13"/>
      <c r="H134" s="13"/>
      <c r="I134" s="13"/>
      <c r="J134" s="13"/>
      <c r="K134" s="13"/>
      <c r="L134" s="13"/>
      <c r="M134" s="13"/>
      <c r="N134" s="13"/>
      <c r="O134" s="13"/>
    </row>
    <row r="135" ht="15.75" customHeight="1">
      <c r="A135" s="13"/>
      <c r="B135" s="13"/>
      <c r="C135" s="13"/>
      <c r="D135" s="13"/>
      <c r="E135" s="13"/>
      <c r="F135" s="13"/>
      <c r="G135" s="13"/>
      <c r="H135" s="13"/>
      <c r="I135" s="13"/>
      <c r="J135" s="13"/>
      <c r="K135" s="13"/>
      <c r="L135" s="13"/>
      <c r="M135" s="13"/>
      <c r="N135" s="13"/>
      <c r="O135" s="13"/>
    </row>
    <row r="136" ht="15.75" customHeight="1">
      <c r="A136" s="13"/>
      <c r="B136" s="13"/>
      <c r="C136" s="13"/>
      <c r="D136" s="13"/>
      <c r="E136" s="13"/>
      <c r="F136" s="13"/>
      <c r="G136" s="13"/>
      <c r="H136" s="13"/>
      <c r="I136" s="13"/>
      <c r="J136" s="13"/>
      <c r="K136" s="13"/>
      <c r="L136" s="13"/>
      <c r="M136" s="13"/>
      <c r="N136" s="13"/>
      <c r="O136" s="13"/>
    </row>
    <row r="137" ht="15.75" customHeight="1">
      <c r="A137" s="13"/>
      <c r="B137" s="13"/>
      <c r="C137" s="13"/>
      <c r="D137" s="13"/>
      <c r="E137" s="13"/>
      <c r="F137" s="13"/>
      <c r="G137" s="13"/>
      <c r="H137" s="13"/>
      <c r="I137" s="13"/>
      <c r="J137" s="13"/>
      <c r="K137" s="13"/>
      <c r="L137" s="13"/>
      <c r="M137" s="13"/>
      <c r="N137" s="13"/>
      <c r="O137" s="13"/>
    </row>
    <row r="138" ht="15.75" customHeight="1">
      <c r="A138" s="13"/>
      <c r="B138" s="13"/>
      <c r="C138" s="13"/>
      <c r="D138" s="13"/>
      <c r="E138" s="13"/>
      <c r="F138" s="13"/>
      <c r="G138" s="13"/>
      <c r="H138" s="13"/>
      <c r="I138" s="13"/>
      <c r="J138" s="13"/>
      <c r="K138" s="13"/>
      <c r="L138" s="13"/>
      <c r="M138" s="13"/>
      <c r="N138" s="13"/>
      <c r="O138" s="13"/>
    </row>
    <row r="139" ht="15.75" customHeight="1">
      <c r="A139" s="13"/>
      <c r="B139" s="13"/>
      <c r="C139" s="13"/>
      <c r="D139" s="13"/>
      <c r="E139" s="13"/>
      <c r="F139" s="13"/>
      <c r="G139" s="13"/>
      <c r="H139" s="13"/>
      <c r="I139" s="13"/>
      <c r="J139" s="13"/>
      <c r="K139" s="13"/>
      <c r="L139" s="13"/>
      <c r="M139" s="13"/>
      <c r="N139" s="13"/>
      <c r="O139" s="13"/>
    </row>
    <row r="140" ht="15.75" customHeight="1">
      <c r="A140" s="13"/>
      <c r="B140" s="13"/>
      <c r="C140" s="13"/>
      <c r="D140" s="13"/>
      <c r="E140" s="13"/>
      <c r="F140" s="13"/>
      <c r="G140" s="13"/>
      <c r="H140" s="13"/>
      <c r="I140" s="13"/>
      <c r="J140" s="13"/>
      <c r="K140" s="13"/>
      <c r="L140" s="13"/>
      <c r="M140" s="13"/>
      <c r="N140" s="13"/>
      <c r="O140" s="13"/>
    </row>
    <row r="141" ht="15.75" customHeight="1">
      <c r="A141" s="13"/>
      <c r="B141" s="13"/>
      <c r="C141" s="13"/>
      <c r="D141" s="13"/>
      <c r="E141" s="13"/>
      <c r="F141" s="13"/>
      <c r="G141" s="13"/>
      <c r="H141" s="13"/>
      <c r="I141" s="13"/>
      <c r="J141" s="13"/>
      <c r="K141" s="13"/>
      <c r="L141" s="13"/>
      <c r="M141" s="13"/>
      <c r="N141" s="13"/>
      <c r="O141" s="13"/>
    </row>
    <row r="142" ht="15.75" customHeight="1">
      <c r="A142" s="13"/>
      <c r="B142" s="13"/>
      <c r="C142" s="13"/>
      <c r="D142" s="13"/>
      <c r="E142" s="13"/>
      <c r="F142" s="13"/>
      <c r="G142" s="13"/>
      <c r="H142" s="13"/>
      <c r="I142" s="13"/>
      <c r="J142" s="13"/>
      <c r="K142" s="13"/>
      <c r="L142" s="13"/>
      <c r="M142" s="13"/>
      <c r="N142" s="13"/>
      <c r="O142" s="13"/>
    </row>
    <row r="143" ht="15.75" customHeight="1">
      <c r="A143" s="13"/>
      <c r="B143" s="13"/>
      <c r="C143" s="13"/>
      <c r="D143" s="13"/>
      <c r="E143" s="13"/>
      <c r="F143" s="13"/>
      <c r="G143" s="13"/>
      <c r="H143" s="13"/>
      <c r="I143" s="13"/>
      <c r="J143" s="13"/>
      <c r="K143" s="13"/>
      <c r="L143" s="13"/>
      <c r="M143" s="13"/>
      <c r="N143" s="13"/>
      <c r="O143" s="13"/>
    </row>
    <row r="144" ht="15.75" customHeight="1">
      <c r="A144" s="13"/>
      <c r="B144" s="13"/>
      <c r="C144" s="13"/>
      <c r="D144" s="13"/>
      <c r="E144" s="13"/>
      <c r="F144" s="13"/>
      <c r="G144" s="13"/>
      <c r="H144" s="13"/>
      <c r="I144" s="13"/>
      <c r="J144" s="13"/>
      <c r="K144" s="13"/>
      <c r="L144" s="13"/>
      <c r="M144" s="13"/>
      <c r="N144" s="13"/>
      <c r="O144" s="13"/>
    </row>
    <row r="145" ht="15.75" customHeight="1">
      <c r="A145" s="13"/>
      <c r="B145" s="13"/>
      <c r="C145" s="13"/>
      <c r="D145" s="13"/>
      <c r="E145" s="13"/>
      <c r="F145" s="13"/>
      <c r="G145" s="13"/>
      <c r="H145" s="13"/>
      <c r="I145" s="13"/>
      <c r="J145" s="13"/>
      <c r="K145" s="13"/>
      <c r="L145" s="13"/>
      <c r="M145" s="13"/>
      <c r="N145" s="13"/>
      <c r="O145" s="13"/>
    </row>
    <row r="146" ht="15.75" customHeight="1">
      <c r="A146" s="13"/>
      <c r="B146" s="13"/>
      <c r="C146" s="13"/>
      <c r="D146" s="13"/>
      <c r="E146" s="13"/>
      <c r="F146" s="13"/>
      <c r="G146" s="13"/>
      <c r="H146" s="13"/>
      <c r="I146" s="13"/>
      <c r="J146" s="13"/>
      <c r="K146" s="13"/>
      <c r="L146" s="13"/>
      <c r="M146" s="13"/>
      <c r="N146" s="13"/>
      <c r="O146" s="13"/>
    </row>
    <row r="147" ht="15.75" customHeight="1">
      <c r="A147" s="13"/>
      <c r="B147" s="13"/>
      <c r="C147" s="13"/>
      <c r="D147" s="13"/>
      <c r="E147" s="13"/>
      <c r="F147" s="13"/>
      <c r="G147" s="13"/>
      <c r="H147" s="13"/>
      <c r="I147" s="13"/>
      <c r="J147" s="13"/>
      <c r="K147" s="13"/>
      <c r="L147" s="13"/>
      <c r="M147" s="13"/>
      <c r="N147" s="13"/>
      <c r="O147" s="13"/>
    </row>
    <row r="148" ht="15.75" customHeight="1">
      <c r="A148" s="13"/>
      <c r="B148" s="13"/>
      <c r="C148" s="13"/>
      <c r="D148" s="13"/>
      <c r="E148" s="13"/>
      <c r="F148" s="13"/>
      <c r="G148" s="13"/>
      <c r="H148" s="13"/>
      <c r="I148" s="13"/>
      <c r="J148" s="13"/>
      <c r="K148" s="13"/>
      <c r="L148" s="13"/>
      <c r="M148" s="13"/>
      <c r="N148" s="13"/>
      <c r="O148" s="13"/>
    </row>
    <row r="149" ht="15.75" customHeight="1">
      <c r="A149" s="13"/>
      <c r="B149" s="13"/>
      <c r="C149" s="13"/>
      <c r="D149" s="13"/>
      <c r="E149" s="13"/>
      <c r="F149" s="13"/>
      <c r="G149" s="13"/>
      <c r="H149" s="13"/>
      <c r="I149" s="13"/>
      <c r="J149" s="13"/>
      <c r="K149" s="13"/>
      <c r="L149" s="13"/>
      <c r="M149" s="13"/>
      <c r="N149" s="13"/>
      <c r="O149" s="13"/>
    </row>
    <row r="150" ht="15.75" customHeight="1">
      <c r="A150" s="13"/>
      <c r="B150" s="13"/>
      <c r="C150" s="13"/>
      <c r="D150" s="13"/>
      <c r="E150" s="13"/>
      <c r="F150" s="13"/>
      <c r="G150" s="13"/>
      <c r="H150" s="13"/>
      <c r="I150" s="13"/>
      <c r="J150" s="13"/>
      <c r="K150" s="13"/>
      <c r="L150" s="13"/>
      <c r="M150" s="13"/>
      <c r="N150" s="13"/>
      <c r="O150" s="13"/>
    </row>
    <row r="151" ht="15.75" customHeight="1">
      <c r="A151" s="13"/>
      <c r="B151" s="13"/>
      <c r="C151" s="13"/>
      <c r="D151" s="13"/>
      <c r="E151" s="13"/>
      <c r="F151" s="13"/>
      <c r="G151" s="13"/>
      <c r="H151" s="13"/>
      <c r="I151" s="13"/>
      <c r="J151" s="13"/>
      <c r="K151" s="13"/>
      <c r="L151" s="13"/>
      <c r="M151" s="13"/>
      <c r="N151" s="13"/>
      <c r="O151" s="13"/>
    </row>
    <row r="152" ht="15.75" customHeight="1">
      <c r="A152" s="13"/>
      <c r="B152" s="13"/>
      <c r="C152" s="13"/>
      <c r="D152" s="13"/>
      <c r="E152" s="13"/>
      <c r="F152" s="13"/>
      <c r="G152" s="13"/>
      <c r="H152" s="13"/>
      <c r="I152" s="13"/>
      <c r="J152" s="13"/>
      <c r="K152" s="13"/>
      <c r="L152" s="13"/>
      <c r="M152" s="13"/>
      <c r="N152" s="13"/>
      <c r="O152" s="13"/>
    </row>
    <row r="153" ht="15.75" customHeight="1">
      <c r="A153" s="13"/>
      <c r="B153" s="13"/>
      <c r="C153" s="13"/>
      <c r="D153" s="13"/>
      <c r="E153" s="13"/>
      <c r="F153" s="13"/>
      <c r="G153" s="13"/>
      <c r="H153" s="13"/>
      <c r="I153" s="13"/>
      <c r="J153" s="13"/>
      <c r="K153" s="13"/>
      <c r="L153" s="13"/>
      <c r="M153" s="13"/>
      <c r="N153" s="13"/>
      <c r="O153" s="13"/>
    </row>
    <row r="154" ht="15.75" customHeight="1">
      <c r="A154" s="13"/>
      <c r="B154" s="13"/>
      <c r="C154" s="13"/>
      <c r="D154" s="13"/>
      <c r="E154" s="13"/>
      <c r="F154" s="13"/>
      <c r="G154" s="13"/>
      <c r="H154" s="13"/>
      <c r="I154" s="13"/>
      <c r="J154" s="13"/>
      <c r="K154" s="13"/>
      <c r="L154" s="13"/>
      <c r="M154" s="13"/>
      <c r="N154" s="13"/>
      <c r="O154" s="13"/>
    </row>
    <row r="155" ht="15.75" customHeight="1">
      <c r="A155" s="13"/>
      <c r="B155" s="13"/>
      <c r="C155" s="13"/>
      <c r="D155" s="13"/>
      <c r="E155" s="13"/>
      <c r="F155" s="13"/>
      <c r="G155" s="13"/>
      <c r="H155" s="13"/>
      <c r="I155" s="13"/>
      <c r="J155" s="13"/>
      <c r="K155" s="13"/>
      <c r="L155" s="13"/>
      <c r="M155" s="13"/>
      <c r="N155" s="13"/>
      <c r="O155" s="13"/>
    </row>
    <row r="156" ht="15.75" customHeight="1">
      <c r="A156" s="13"/>
      <c r="B156" s="13"/>
      <c r="C156" s="13"/>
      <c r="D156" s="13"/>
      <c r="E156" s="13"/>
      <c r="F156" s="13"/>
      <c r="G156" s="13"/>
      <c r="H156" s="13"/>
      <c r="I156" s="13"/>
      <c r="J156" s="13"/>
      <c r="K156" s="13"/>
      <c r="L156" s="13"/>
      <c r="M156" s="13"/>
      <c r="N156" s="13"/>
      <c r="O156" s="13"/>
    </row>
    <row r="157" ht="15.75" customHeight="1">
      <c r="A157" s="13"/>
      <c r="B157" s="13"/>
      <c r="C157" s="13"/>
      <c r="D157" s="13"/>
      <c r="E157" s="13"/>
      <c r="F157" s="13"/>
      <c r="G157" s="13"/>
      <c r="H157" s="13"/>
      <c r="I157" s="13"/>
      <c r="J157" s="13"/>
      <c r="K157" s="13"/>
      <c r="L157" s="13"/>
      <c r="M157" s="13"/>
      <c r="N157" s="13"/>
      <c r="O157" s="13"/>
    </row>
    <row r="158" ht="15.75" customHeight="1">
      <c r="A158" s="13"/>
      <c r="B158" s="13"/>
      <c r="C158" s="13"/>
      <c r="D158" s="13"/>
      <c r="E158" s="13"/>
      <c r="F158" s="13"/>
      <c r="G158" s="13"/>
      <c r="H158" s="13"/>
      <c r="I158" s="13"/>
      <c r="J158" s="13"/>
      <c r="K158" s="13"/>
      <c r="L158" s="13"/>
      <c r="M158" s="13"/>
      <c r="N158" s="13"/>
      <c r="O158" s="13"/>
    </row>
    <row r="159" ht="15.75" customHeight="1">
      <c r="A159" s="13"/>
      <c r="B159" s="13"/>
      <c r="C159" s="13"/>
      <c r="D159" s="13"/>
      <c r="E159" s="13"/>
      <c r="F159" s="13"/>
      <c r="G159" s="13"/>
      <c r="H159" s="13"/>
      <c r="I159" s="13"/>
      <c r="J159" s="13"/>
      <c r="K159" s="13"/>
      <c r="L159" s="13"/>
      <c r="M159" s="13"/>
      <c r="N159" s="13"/>
      <c r="O159" s="13"/>
    </row>
    <row r="160" ht="15.75" customHeight="1">
      <c r="A160" s="13"/>
      <c r="B160" s="13"/>
      <c r="C160" s="13"/>
      <c r="D160" s="13"/>
      <c r="E160" s="13"/>
      <c r="F160" s="13"/>
      <c r="G160" s="13"/>
      <c r="H160" s="13"/>
      <c r="I160" s="13"/>
      <c r="J160" s="13"/>
      <c r="K160" s="13"/>
      <c r="L160" s="13"/>
      <c r="M160" s="13"/>
      <c r="N160" s="13"/>
      <c r="O160" s="13"/>
    </row>
    <row r="161" ht="15.75" customHeight="1">
      <c r="A161" s="13"/>
      <c r="B161" s="13"/>
      <c r="C161" s="13"/>
      <c r="D161" s="13"/>
      <c r="E161" s="13"/>
      <c r="F161" s="13"/>
      <c r="G161" s="13"/>
      <c r="H161" s="13"/>
      <c r="I161" s="13"/>
      <c r="J161" s="13"/>
      <c r="K161" s="13"/>
      <c r="L161" s="13"/>
      <c r="M161" s="13"/>
      <c r="N161" s="13"/>
      <c r="O161" s="13"/>
    </row>
    <row r="162" ht="15.75" customHeight="1">
      <c r="A162" s="13"/>
      <c r="B162" s="13"/>
      <c r="C162" s="13"/>
      <c r="D162" s="13"/>
      <c r="E162" s="13"/>
      <c r="F162" s="13"/>
      <c r="G162" s="13"/>
      <c r="H162" s="13"/>
      <c r="I162" s="13"/>
      <c r="J162" s="13"/>
      <c r="K162" s="13"/>
      <c r="L162" s="13"/>
      <c r="M162" s="13"/>
      <c r="N162" s="13"/>
      <c r="O162" s="13"/>
    </row>
    <row r="163" ht="15.75" customHeight="1">
      <c r="A163" s="13"/>
      <c r="B163" s="13"/>
      <c r="C163" s="13"/>
      <c r="D163" s="13"/>
      <c r="E163" s="13"/>
      <c r="F163" s="13"/>
      <c r="G163" s="13"/>
      <c r="H163" s="13"/>
      <c r="I163" s="13"/>
      <c r="J163" s="13"/>
      <c r="K163" s="13"/>
      <c r="L163" s="13"/>
      <c r="M163" s="13"/>
      <c r="N163" s="13"/>
      <c r="O163" s="13"/>
    </row>
    <row r="164" ht="15.75" customHeight="1">
      <c r="A164" s="13"/>
      <c r="B164" s="13"/>
      <c r="C164" s="13"/>
      <c r="D164" s="13"/>
      <c r="E164" s="13"/>
      <c r="F164" s="13"/>
      <c r="G164" s="13"/>
      <c r="H164" s="13"/>
      <c r="I164" s="13"/>
      <c r="J164" s="13"/>
      <c r="K164" s="13"/>
      <c r="L164" s="13"/>
      <c r="M164" s="13"/>
      <c r="N164" s="13"/>
      <c r="O164" s="13"/>
    </row>
    <row r="165" ht="15.75" customHeight="1">
      <c r="A165" s="13"/>
      <c r="B165" s="13"/>
      <c r="C165" s="13"/>
      <c r="D165" s="13"/>
      <c r="E165" s="13"/>
      <c r="F165" s="13"/>
      <c r="G165" s="13"/>
      <c r="H165" s="13"/>
      <c r="I165" s="13"/>
      <c r="J165" s="13"/>
      <c r="K165" s="13"/>
      <c r="L165" s="13"/>
      <c r="M165" s="13"/>
      <c r="N165" s="13"/>
      <c r="O165" s="13"/>
    </row>
    <row r="166" ht="15.75" customHeight="1">
      <c r="A166" s="13"/>
      <c r="B166" s="13"/>
      <c r="C166" s="13"/>
      <c r="D166" s="13"/>
      <c r="E166" s="13"/>
      <c r="F166" s="13"/>
      <c r="G166" s="13"/>
      <c r="H166" s="13"/>
      <c r="I166" s="13"/>
      <c r="J166" s="13"/>
      <c r="K166" s="13"/>
      <c r="L166" s="13"/>
      <c r="M166" s="13"/>
      <c r="N166" s="13"/>
      <c r="O166" s="13"/>
    </row>
    <row r="167" ht="15.75" customHeight="1">
      <c r="A167" s="13"/>
      <c r="B167" s="13"/>
      <c r="C167" s="13"/>
      <c r="D167" s="13"/>
      <c r="E167" s="13"/>
      <c r="F167" s="13"/>
      <c r="G167" s="13"/>
      <c r="H167" s="13"/>
      <c r="I167" s="13"/>
      <c r="J167" s="13"/>
      <c r="K167" s="13"/>
      <c r="L167" s="13"/>
      <c r="M167" s="13"/>
      <c r="N167" s="13"/>
      <c r="O167" s="13"/>
    </row>
    <row r="168" ht="15.75" customHeight="1">
      <c r="A168" s="13"/>
      <c r="B168" s="13"/>
      <c r="C168" s="13"/>
      <c r="D168" s="13"/>
      <c r="E168" s="13"/>
      <c r="F168" s="13"/>
      <c r="G168" s="13"/>
      <c r="H168" s="13"/>
      <c r="I168" s="13"/>
      <c r="J168" s="13"/>
      <c r="K168" s="13"/>
      <c r="L168" s="13"/>
      <c r="M168" s="13"/>
      <c r="N168" s="13"/>
      <c r="O168" s="13"/>
    </row>
    <row r="169" ht="15.75" customHeight="1">
      <c r="A169" s="13"/>
      <c r="B169" s="13"/>
      <c r="C169" s="13"/>
      <c r="D169" s="13"/>
      <c r="E169" s="13"/>
      <c r="F169" s="13"/>
      <c r="G169" s="13"/>
      <c r="H169" s="13"/>
      <c r="I169" s="13"/>
      <c r="J169" s="13"/>
      <c r="K169" s="13"/>
      <c r="L169" s="13"/>
      <c r="M169" s="13"/>
      <c r="N169" s="13"/>
      <c r="O169" s="13"/>
    </row>
    <row r="170" ht="15.75" customHeight="1">
      <c r="A170" s="13"/>
      <c r="B170" s="13"/>
      <c r="C170" s="13"/>
      <c r="D170" s="13"/>
      <c r="E170" s="13"/>
      <c r="F170" s="13"/>
      <c r="G170" s="13"/>
      <c r="H170" s="13"/>
      <c r="I170" s="13"/>
      <c r="J170" s="13"/>
      <c r="K170" s="13"/>
      <c r="L170" s="13"/>
      <c r="M170" s="13"/>
      <c r="N170" s="13"/>
      <c r="O170" s="13"/>
    </row>
    <row r="171" ht="15.75" customHeight="1">
      <c r="A171" s="13"/>
      <c r="B171" s="13"/>
      <c r="C171" s="13"/>
      <c r="D171" s="13"/>
      <c r="E171" s="13"/>
      <c r="F171" s="13"/>
      <c r="G171" s="13"/>
      <c r="H171" s="13"/>
      <c r="I171" s="13"/>
      <c r="J171" s="13"/>
      <c r="K171" s="13"/>
      <c r="L171" s="13"/>
      <c r="M171" s="13"/>
      <c r="N171" s="13"/>
      <c r="O171" s="13"/>
    </row>
    <row r="172" ht="15.75" customHeight="1">
      <c r="A172" s="13"/>
      <c r="B172" s="13"/>
      <c r="C172" s="13"/>
      <c r="D172" s="13"/>
      <c r="E172" s="13"/>
      <c r="F172" s="13"/>
      <c r="G172" s="13"/>
      <c r="H172" s="13"/>
      <c r="I172" s="13"/>
      <c r="J172" s="13"/>
      <c r="K172" s="13"/>
      <c r="L172" s="13"/>
      <c r="M172" s="13"/>
      <c r="N172" s="13"/>
      <c r="O172" s="13"/>
    </row>
    <row r="173" ht="15.75" customHeight="1">
      <c r="A173" s="13"/>
      <c r="B173" s="13"/>
      <c r="C173" s="13"/>
      <c r="D173" s="13"/>
      <c r="E173" s="13"/>
      <c r="F173" s="13"/>
      <c r="G173" s="13"/>
      <c r="H173" s="13"/>
      <c r="I173" s="13"/>
      <c r="J173" s="13"/>
      <c r="K173" s="13"/>
      <c r="L173" s="13"/>
      <c r="M173" s="13"/>
      <c r="N173" s="13"/>
      <c r="O173" s="13"/>
    </row>
    <row r="174" ht="15.75" customHeight="1">
      <c r="A174" s="13"/>
      <c r="B174" s="13"/>
      <c r="C174" s="13"/>
      <c r="D174" s="13"/>
      <c r="E174" s="13"/>
      <c r="F174" s="13"/>
      <c r="G174" s="13"/>
      <c r="H174" s="13"/>
      <c r="I174" s="13"/>
      <c r="J174" s="13"/>
      <c r="K174" s="13"/>
      <c r="L174" s="13"/>
      <c r="M174" s="13"/>
      <c r="N174" s="13"/>
      <c r="O174" s="13"/>
    </row>
    <row r="175" ht="15.75" customHeight="1">
      <c r="A175" s="13"/>
      <c r="B175" s="13"/>
      <c r="C175" s="13"/>
      <c r="D175" s="13"/>
      <c r="E175" s="13"/>
      <c r="F175" s="13"/>
      <c r="G175" s="13"/>
      <c r="H175" s="13"/>
      <c r="I175" s="13"/>
      <c r="J175" s="13"/>
      <c r="K175" s="13"/>
      <c r="L175" s="13"/>
      <c r="M175" s="13"/>
      <c r="N175" s="13"/>
      <c r="O175" s="13"/>
    </row>
    <row r="176" ht="15.75" customHeight="1">
      <c r="A176" s="13"/>
      <c r="B176" s="13"/>
      <c r="C176" s="13"/>
      <c r="D176" s="13"/>
      <c r="E176" s="13"/>
      <c r="F176" s="13"/>
      <c r="G176" s="13"/>
      <c r="H176" s="13"/>
      <c r="I176" s="13"/>
      <c r="J176" s="13"/>
      <c r="K176" s="13"/>
      <c r="L176" s="13"/>
      <c r="M176" s="13"/>
      <c r="N176" s="13"/>
      <c r="O176" s="13"/>
    </row>
    <row r="177" ht="15.75" customHeight="1">
      <c r="A177" s="13"/>
      <c r="B177" s="13"/>
      <c r="C177" s="13"/>
      <c r="D177" s="13"/>
      <c r="E177" s="13"/>
      <c r="F177" s="13"/>
      <c r="G177" s="13"/>
      <c r="H177" s="13"/>
      <c r="I177" s="13"/>
      <c r="J177" s="13"/>
      <c r="K177" s="13"/>
      <c r="L177" s="13"/>
      <c r="M177" s="13"/>
      <c r="N177" s="13"/>
      <c r="O177" s="13"/>
    </row>
    <row r="178" ht="15.75" customHeight="1">
      <c r="A178" s="13"/>
      <c r="B178" s="13"/>
      <c r="C178" s="13"/>
      <c r="D178" s="13"/>
      <c r="E178" s="13"/>
      <c r="F178" s="13"/>
      <c r="G178" s="13"/>
      <c r="H178" s="13"/>
      <c r="I178" s="13"/>
      <c r="J178" s="13"/>
      <c r="K178" s="13"/>
      <c r="L178" s="13"/>
      <c r="M178" s="13"/>
      <c r="N178" s="13"/>
      <c r="O178" s="13"/>
    </row>
    <row r="179" ht="15.75" customHeight="1">
      <c r="A179" s="13"/>
      <c r="B179" s="13"/>
      <c r="C179" s="13"/>
      <c r="D179" s="13"/>
      <c r="E179" s="13"/>
      <c r="F179" s="13"/>
      <c r="G179" s="13"/>
      <c r="H179" s="13"/>
      <c r="I179" s="13"/>
      <c r="J179" s="13"/>
      <c r="K179" s="13"/>
      <c r="L179" s="13"/>
      <c r="M179" s="13"/>
      <c r="N179" s="13"/>
      <c r="O179" s="13"/>
    </row>
    <row r="180" ht="15.75" customHeight="1">
      <c r="A180" s="13"/>
      <c r="B180" s="13"/>
      <c r="C180" s="13"/>
      <c r="D180" s="13"/>
      <c r="E180" s="13"/>
      <c r="F180" s="13"/>
      <c r="G180" s="13"/>
      <c r="H180" s="13"/>
      <c r="I180" s="13"/>
      <c r="J180" s="13"/>
      <c r="K180" s="13"/>
      <c r="L180" s="13"/>
      <c r="M180" s="13"/>
      <c r="N180" s="13"/>
      <c r="O180" s="13"/>
    </row>
    <row r="181" ht="15.75" customHeight="1">
      <c r="A181" s="13"/>
      <c r="B181" s="13"/>
      <c r="C181" s="13"/>
      <c r="D181" s="13"/>
      <c r="E181" s="13"/>
      <c r="F181" s="13"/>
      <c r="G181" s="13"/>
      <c r="H181" s="13"/>
      <c r="I181" s="13"/>
      <c r="J181" s="13"/>
      <c r="K181" s="13"/>
      <c r="L181" s="13"/>
      <c r="M181" s="13"/>
      <c r="N181" s="13"/>
      <c r="O181" s="13"/>
    </row>
    <row r="182" ht="15.75" customHeight="1">
      <c r="A182" s="13"/>
      <c r="B182" s="13"/>
      <c r="C182" s="13"/>
      <c r="D182" s="13"/>
      <c r="E182" s="13"/>
      <c r="F182" s="13"/>
      <c r="G182" s="13"/>
      <c r="H182" s="13"/>
      <c r="I182" s="13"/>
      <c r="J182" s="13"/>
      <c r="K182" s="13"/>
      <c r="L182" s="13"/>
      <c r="M182" s="13"/>
      <c r="N182" s="13"/>
      <c r="O182" s="13"/>
    </row>
    <row r="183" ht="15.75" customHeight="1">
      <c r="A183" s="13"/>
      <c r="B183" s="13"/>
      <c r="C183" s="13"/>
      <c r="D183" s="13"/>
      <c r="E183" s="13"/>
      <c r="F183" s="13"/>
      <c r="G183" s="13"/>
      <c r="H183" s="13"/>
      <c r="I183" s="13"/>
      <c r="J183" s="13"/>
      <c r="K183" s="13"/>
      <c r="L183" s="13"/>
      <c r="M183" s="13"/>
      <c r="N183" s="13"/>
      <c r="O183" s="13"/>
    </row>
    <row r="184" ht="15.75" customHeight="1">
      <c r="A184" s="13"/>
      <c r="B184" s="13"/>
      <c r="C184" s="13"/>
      <c r="D184" s="13"/>
      <c r="E184" s="13"/>
      <c r="F184" s="13"/>
      <c r="G184" s="13"/>
      <c r="H184" s="13"/>
      <c r="I184" s="13"/>
      <c r="J184" s="13"/>
      <c r="K184" s="13"/>
      <c r="L184" s="13"/>
      <c r="M184" s="13"/>
      <c r="N184" s="13"/>
      <c r="O184" s="13"/>
    </row>
    <row r="185" ht="15.75" customHeight="1">
      <c r="A185" s="13"/>
      <c r="B185" s="13"/>
      <c r="C185" s="13"/>
      <c r="D185" s="13"/>
      <c r="E185" s="13"/>
      <c r="F185" s="13"/>
      <c r="G185" s="13"/>
      <c r="H185" s="13"/>
      <c r="I185" s="13"/>
      <c r="J185" s="13"/>
      <c r="K185" s="13"/>
      <c r="L185" s="13"/>
      <c r="M185" s="13"/>
      <c r="N185" s="13"/>
      <c r="O185" s="13"/>
    </row>
    <row r="186" ht="15.75" customHeight="1">
      <c r="A186" s="13"/>
      <c r="B186" s="13"/>
      <c r="C186" s="13"/>
      <c r="D186" s="13"/>
      <c r="E186" s="13"/>
      <c r="F186" s="13"/>
      <c r="G186" s="13"/>
      <c r="H186" s="13"/>
      <c r="I186" s="13"/>
      <c r="J186" s="13"/>
      <c r="K186" s="13"/>
      <c r="L186" s="13"/>
      <c r="M186" s="13"/>
      <c r="N186" s="13"/>
      <c r="O186" s="13"/>
    </row>
    <row r="187" ht="15.75" customHeight="1">
      <c r="A187" s="13"/>
      <c r="B187" s="13"/>
      <c r="C187" s="13"/>
      <c r="D187" s="13"/>
      <c r="E187" s="13"/>
      <c r="F187" s="13"/>
      <c r="G187" s="13"/>
      <c r="H187" s="13"/>
      <c r="I187" s="13"/>
      <c r="J187" s="13"/>
      <c r="K187" s="13"/>
      <c r="L187" s="13"/>
      <c r="M187" s="13"/>
      <c r="N187" s="13"/>
      <c r="O187" s="13"/>
    </row>
    <row r="188" ht="15.75" customHeight="1">
      <c r="A188" s="13"/>
      <c r="B188" s="13"/>
      <c r="C188" s="13"/>
      <c r="D188" s="13"/>
      <c r="E188" s="13"/>
      <c r="F188" s="13"/>
      <c r="G188" s="13"/>
      <c r="H188" s="13"/>
      <c r="I188" s="13"/>
      <c r="J188" s="13"/>
      <c r="K188" s="13"/>
      <c r="L188" s="13"/>
      <c r="M188" s="13"/>
      <c r="N188" s="13"/>
      <c r="O188" s="13"/>
    </row>
    <row r="189" ht="15.75" customHeight="1">
      <c r="A189" s="13"/>
      <c r="B189" s="13"/>
      <c r="C189" s="13"/>
      <c r="D189" s="13"/>
      <c r="E189" s="13"/>
      <c r="F189" s="13"/>
      <c r="G189" s="13"/>
      <c r="H189" s="13"/>
      <c r="I189" s="13"/>
      <c r="J189" s="13"/>
      <c r="K189" s="13"/>
      <c r="L189" s="13"/>
      <c r="M189" s="13"/>
      <c r="N189" s="13"/>
      <c r="O189" s="13"/>
    </row>
    <row r="190" ht="15.75" customHeight="1">
      <c r="A190" s="13"/>
      <c r="B190" s="13"/>
      <c r="C190" s="13"/>
      <c r="D190" s="13"/>
      <c r="E190" s="13"/>
      <c r="F190" s="13"/>
      <c r="G190" s="13"/>
      <c r="H190" s="13"/>
      <c r="I190" s="13"/>
      <c r="J190" s="13"/>
      <c r="K190" s="13"/>
      <c r="L190" s="13"/>
      <c r="M190" s="13"/>
      <c r="N190" s="13"/>
      <c r="O190" s="13"/>
    </row>
    <row r="191" ht="15.75" customHeight="1">
      <c r="A191" s="13"/>
      <c r="B191" s="13"/>
      <c r="C191" s="13"/>
      <c r="D191" s="13"/>
      <c r="E191" s="13"/>
      <c r="F191" s="13"/>
      <c r="G191" s="13"/>
      <c r="H191" s="13"/>
      <c r="I191" s="13"/>
      <c r="J191" s="13"/>
      <c r="K191" s="13"/>
      <c r="L191" s="13"/>
      <c r="M191" s="13"/>
      <c r="N191" s="13"/>
      <c r="O191" s="13"/>
    </row>
    <row r="192" ht="15.75" customHeight="1">
      <c r="A192" s="13"/>
      <c r="B192" s="13"/>
      <c r="C192" s="13"/>
      <c r="D192" s="13"/>
      <c r="E192" s="13"/>
      <c r="F192" s="13"/>
      <c r="G192" s="13"/>
      <c r="H192" s="13"/>
      <c r="I192" s="13"/>
      <c r="J192" s="13"/>
      <c r="K192" s="13"/>
      <c r="L192" s="13"/>
      <c r="M192" s="13"/>
      <c r="N192" s="13"/>
      <c r="O192" s="13"/>
    </row>
    <row r="193" ht="15.75" customHeight="1">
      <c r="A193" s="13"/>
      <c r="B193" s="13"/>
      <c r="C193" s="13"/>
      <c r="D193" s="13"/>
      <c r="E193" s="13"/>
      <c r="F193" s="13"/>
      <c r="G193" s="13"/>
      <c r="H193" s="13"/>
      <c r="I193" s="13"/>
      <c r="J193" s="13"/>
      <c r="K193" s="13"/>
      <c r="L193" s="13"/>
      <c r="M193" s="13"/>
      <c r="N193" s="13"/>
      <c r="O193" s="13"/>
    </row>
    <row r="194" ht="15.75" customHeight="1">
      <c r="A194" s="13"/>
      <c r="B194" s="13"/>
      <c r="C194" s="13"/>
      <c r="D194" s="13"/>
      <c r="E194" s="13"/>
      <c r="F194" s="13"/>
      <c r="G194" s="13"/>
      <c r="H194" s="13"/>
      <c r="I194" s="13"/>
      <c r="J194" s="13"/>
      <c r="K194" s="13"/>
      <c r="L194" s="13"/>
      <c r="M194" s="13"/>
      <c r="N194" s="13"/>
      <c r="O194" s="13"/>
    </row>
    <row r="195" ht="15.75" customHeight="1">
      <c r="A195" s="13"/>
      <c r="B195" s="13"/>
      <c r="C195" s="13"/>
      <c r="D195" s="13"/>
      <c r="E195" s="13"/>
      <c r="F195" s="13"/>
      <c r="G195" s="13"/>
      <c r="H195" s="13"/>
      <c r="I195" s="13"/>
      <c r="J195" s="13"/>
      <c r="K195" s="13"/>
      <c r="L195" s="13"/>
      <c r="M195" s="13"/>
      <c r="N195" s="13"/>
      <c r="O195" s="13"/>
    </row>
    <row r="196" ht="15.75" customHeight="1">
      <c r="A196" s="13"/>
      <c r="B196" s="13"/>
      <c r="C196" s="13"/>
      <c r="D196" s="13"/>
      <c r="E196" s="13"/>
      <c r="F196" s="13"/>
      <c r="G196" s="13"/>
      <c r="H196" s="13"/>
      <c r="I196" s="13"/>
      <c r="J196" s="13"/>
      <c r="K196" s="13"/>
      <c r="L196" s="13"/>
      <c r="M196" s="13"/>
      <c r="N196" s="13"/>
      <c r="O196" s="13"/>
    </row>
    <row r="197" ht="15.75" customHeight="1">
      <c r="A197" s="13"/>
      <c r="B197" s="13"/>
      <c r="C197" s="13"/>
      <c r="D197" s="13"/>
      <c r="E197" s="13"/>
      <c r="F197" s="13"/>
      <c r="G197" s="13"/>
      <c r="H197" s="13"/>
      <c r="I197" s="13"/>
      <c r="J197" s="13"/>
      <c r="K197" s="13"/>
      <c r="L197" s="13"/>
      <c r="M197" s="13"/>
      <c r="N197" s="13"/>
      <c r="O197" s="13"/>
    </row>
    <row r="198" ht="15.75" customHeight="1">
      <c r="A198" s="13"/>
      <c r="B198" s="13"/>
      <c r="C198" s="13"/>
      <c r="D198" s="13"/>
      <c r="E198" s="13"/>
      <c r="F198" s="13"/>
      <c r="G198" s="13"/>
      <c r="H198" s="13"/>
      <c r="I198" s="13"/>
      <c r="J198" s="13"/>
      <c r="K198" s="13"/>
      <c r="L198" s="13"/>
      <c r="M198" s="13"/>
      <c r="N198" s="13"/>
      <c r="O198" s="13"/>
    </row>
    <row r="199" ht="15.75" customHeight="1">
      <c r="A199" s="13"/>
      <c r="B199" s="13"/>
      <c r="C199" s="13"/>
      <c r="D199" s="13"/>
      <c r="E199" s="13"/>
      <c r="F199" s="13"/>
      <c r="G199" s="13"/>
      <c r="H199" s="13"/>
      <c r="I199" s="13"/>
      <c r="J199" s="13"/>
      <c r="K199" s="13"/>
      <c r="L199" s="13"/>
      <c r="M199" s="13"/>
      <c r="N199" s="13"/>
      <c r="O199" s="13"/>
    </row>
    <row r="200" ht="15.75" customHeight="1">
      <c r="A200" s="13"/>
      <c r="B200" s="13"/>
      <c r="C200" s="13"/>
      <c r="D200" s="13"/>
      <c r="E200" s="13"/>
      <c r="F200" s="13"/>
      <c r="G200" s="13"/>
      <c r="H200" s="13"/>
      <c r="I200" s="13"/>
      <c r="J200" s="13"/>
      <c r="K200" s="13"/>
      <c r="L200" s="13"/>
      <c r="M200" s="13"/>
      <c r="N200" s="13"/>
      <c r="O200" s="13"/>
    </row>
    <row r="201" ht="15.75" customHeight="1">
      <c r="A201" s="13"/>
      <c r="B201" s="13"/>
      <c r="C201" s="13"/>
      <c r="D201" s="13"/>
      <c r="E201" s="13"/>
      <c r="F201" s="13"/>
      <c r="G201" s="13"/>
      <c r="H201" s="13"/>
      <c r="I201" s="13"/>
      <c r="J201" s="13"/>
      <c r="K201" s="13"/>
      <c r="L201" s="13"/>
      <c r="M201" s="13"/>
      <c r="N201" s="13"/>
      <c r="O201" s="13"/>
    </row>
    <row r="202" ht="15.75" customHeight="1">
      <c r="A202" s="13"/>
      <c r="B202" s="13"/>
      <c r="C202" s="13"/>
      <c r="D202" s="13"/>
      <c r="E202" s="13"/>
      <c r="F202" s="13"/>
      <c r="G202" s="13"/>
      <c r="H202" s="13"/>
      <c r="I202" s="13"/>
      <c r="J202" s="13"/>
      <c r="K202" s="13"/>
      <c r="L202" s="13"/>
      <c r="M202" s="13"/>
      <c r="N202" s="13"/>
      <c r="O202" s="13"/>
    </row>
    <row r="203" ht="15.75" customHeight="1">
      <c r="A203" s="13"/>
      <c r="B203" s="13"/>
      <c r="C203" s="13"/>
      <c r="D203" s="13"/>
      <c r="E203" s="13"/>
      <c r="F203" s="13"/>
      <c r="G203" s="13"/>
      <c r="H203" s="13"/>
      <c r="I203" s="13"/>
      <c r="J203" s="13"/>
      <c r="K203" s="13"/>
      <c r="L203" s="13"/>
      <c r="M203" s="13"/>
      <c r="N203" s="13"/>
      <c r="O203" s="13"/>
    </row>
    <row r="204" ht="15.75" customHeight="1">
      <c r="A204" s="13"/>
      <c r="B204" s="13"/>
      <c r="C204" s="13"/>
      <c r="D204" s="13"/>
      <c r="E204" s="13"/>
      <c r="F204" s="13"/>
      <c r="G204" s="13"/>
      <c r="H204" s="13"/>
      <c r="I204" s="13"/>
      <c r="J204" s="13"/>
      <c r="K204" s="13"/>
      <c r="L204" s="13"/>
      <c r="M204" s="13"/>
      <c r="N204" s="13"/>
      <c r="O204" s="13"/>
    </row>
    <row r="205" ht="15.75" customHeight="1">
      <c r="A205" s="13"/>
      <c r="B205" s="13"/>
      <c r="C205" s="13"/>
      <c r="D205" s="13"/>
      <c r="E205" s="13"/>
      <c r="F205" s="13"/>
      <c r="G205" s="13"/>
      <c r="H205" s="13"/>
      <c r="I205" s="13"/>
      <c r="J205" s="13"/>
      <c r="K205" s="13"/>
      <c r="L205" s="13"/>
      <c r="M205" s="13"/>
      <c r="N205" s="13"/>
      <c r="O205" s="13"/>
    </row>
    <row r="206" ht="15.75" customHeight="1">
      <c r="A206" s="13"/>
      <c r="B206" s="13"/>
      <c r="C206" s="13"/>
      <c r="D206" s="13"/>
      <c r="E206" s="13"/>
      <c r="F206" s="13"/>
      <c r="G206" s="13"/>
      <c r="H206" s="13"/>
      <c r="I206" s="13"/>
      <c r="J206" s="13"/>
      <c r="K206" s="13"/>
      <c r="L206" s="13"/>
      <c r="M206" s="13"/>
      <c r="N206" s="13"/>
      <c r="O206" s="13"/>
    </row>
    <row r="207" ht="15.75" customHeight="1">
      <c r="A207" s="13"/>
      <c r="B207" s="13"/>
      <c r="C207" s="13"/>
      <c r="D207" s="13"/>
      <c r="E207" s="13"/>
      <c r="F207" s="13"/>
      <c r="G207" s="13"/>
      <c r="H207" s="13"/>
      <c r="I207" s="13"/>
      <c r="J207" s="13"/>
      <c r="K207" s="13"/>
      <c r="L207" s="13"/>
      <c r="M207" s="13"/>
      <c r="N207" s="13"/>
      <c r="O207" s="13"/>
    </row>
    <row r="208" ht="15.75" customHeight="1">
      <c r="A208" s="13"/>
      <c r="B208" s="13"/>
      <c r="C208" s="13"/>
      <c r="D208" s="13"/>
      <c r="E208" s="13"/>
      <c r="F208" s="13"/>
      <c r="G208" s="13"/>
      <c r="H208" s="13"/>
      <c r="I208" s="13"/>
      <c r="J208" s="13"/>
      <c r="K208" s="13"/>
      <c r="L208" s="13"/>
      <c r="M208" s="13"/>
      <c r="N208" s="13"/>
      <c r="O208" s="13"/>
    </row>
    <row r="209" ht="15.75" customHeight="1">
      <c r="A209" s="13"/>
      <c r="B209" s="13"/>
      <c r="C209" s="13"/>
      <c r="D209" s="13"/>
      <c r="E209" s="13"/>
      <c r="F209" s="13"/>
      <c r="G209" s="13"/>
      <c r="H209" s="13"/>
      <c r="I209" s="13"/>
      <c r="J209" s="13"/>
      <c r="K209" s="13"/>
      <c r="L209" s="13"/>
      <c r="M209" s="13"/>
      <c r="N209" s="13"/>
      <c r="O209" s="13"/>
    </row>
    <row r="210" ht="15.75" customHeight="1">
      <c r="A210" s="13"/>
      <c r="B210" s="13"/>
      <c r="C210" s="13"/>
      <c r="D210" s="13"/>
      <c r="E210" s="13"/>
      <c r="F210" s="13"/>
      <c r="G210" s="13"/>
      <c r="H210" s="13"/>
      <c r="I210" s="13"/>
      <c r="J210" s="13"/>
      <c r="K210" s="13"/>
      <c r="L210" s="13"/>
      <c r="M210" s="13"/>
      <c r="N210" s="13"/>
      <c r="O210" s="13"/>
    </row>
    <row r="211" ht="15.75" customHeight="1">
      <c r="A211" s="13"/>
      <c r="B211" s="13"/>
      <c r="C211" s="13"/>
      <c r="D211" s="13"/>
      <c r="E211" s="13"/>
      <c r="F211" s="13"/>
      <c r="G211" s="13"/>
      <c r="H211" s="13"/>
      <c r="I211" s="13"/>
      <c r="J211" s="13"/>
      <c r="K211" s="13"/>
      <c r="L211" s="13"/>
      <c r="M211" s="13"/>
      <c r="N211" s="13"/>
      <c r="O211" s="13"/>
    </row>
    <row r="212" ht="15.75" customHeight="1">
      <c r="A212" s="13"/>
      <c r="B212" s="13"/>
      <c r="C212" s="13"/>
      <c r="D212" s="13"/>
      <c r="E212" s="13"/>
      <c r="F212" s="13"/>
      <c r="G212" s="13"/>
      <c r="H212" s="13"/>
      <c r="I212" s="13"/>
      <c r="J212" s="13"/>
      <c r="K212" s="13"/>
      <c r="L212" s="13"/>
      <c r="M212" s="13"/>
      <c r="N212" s="13"/>
      <c r="O212" s="13"/>
    </row>
    <row r="213" ht="15.75" customHeight="1">
      <c r="A213" s="13"/>
      <c r="B213" s="13"/>
      <c r="C213" s="13"/>
      <c r="D213" s="13"/>
      <c r="E213" s="13"/>
      <c r="F213" s="13"/>
      <c r="G213" s="13"/>
      <c r="H213" s="13"/>
      <c r="I213" s="13"/>
      <c r="J213" s="13"/>
      <c r="K213" s="13"/>
      <c r="L213" s="13"/>
      <c r="M213" s="13"/>
      <c r="N213" s="13"/>
      <c r="O213" s="13"/>
    </row>
    <row r="214" ht="15.75" customHeight="1">
      <c r="A214" s="13"/>
      <c r="B214" s="13"/>
      <c r="C214" s="13"/>
      <c r="D214" s="13"/>
      <c r="E214" s="13"/>
      <c r="F214" s="13"/>
      <c r="G214" s="13"/>
      <c r="H214" s="13"/>
      <c r="I214" s="13"/>
      <c r="J214" s="13"/>
      <c r="K214" s="13"/>
      <c r="L214" s="13"/>
      <c r="M214" s="13"/>
      <c r="N214" s="13"/>
      <c r="O214" s="13"/>
    </row>
    <row r="215" ht="15.75" customHeight="1">
      <c r="A215" s="13"/>
      <c r="B215" s="13"/>
      <c r="C215" s="13"/>
      <c r="D215" s="13"/>
      <c r="E215" s="13"/>
      <c r="F215" s="13"/>
      <c r="G215" s="13"/>
      <c r="H215" s="13"/>
      <c r="I215" s="13"/>
      <c r="J215" s="13"/>
      <c r="K215" s="13"/>
      <c r="L215" s="13"/>
      <c r="M215" s="13"/>
      <c r="N215" s="13"/>
      <c r="O215" s="13"/>
    </row>
    <row r="216" ht="15.75" customHeight="1">
      <c r="A216" s="13"/>
      <c r="B216" s="13"/>
      <c r="C216" s="13"/>
      <c r="D216" s="13"/>
      <c r="E216" s="13"/>
      <c r="F216" s="13"/>
      <c r="G216" s="13"/>
      <c r="H216" s="13"/>
      <c r="I216" s="13"/>
      <c r="J216" s="13"/>
      <c r="K216" s="13"/>
      <c r="L216" s="13"/>
      <c r="M216" s="13"/>
      <c r="N216" s="13"/>
      <c r="O216" s="13"/>
    </row>
    <row r="217" ht="15.75" customHeight="1">
      <c r="A217" s="13"/>
      <c r="B217" s="13"/>
      <c r="C217" s="13"/>
      <c r="D217" s="13"/>
      <c r="E217" s="13"/>
      <c r="F217" s="13"/>
      <c r="G217" s="13"/>
      <c r="H217" s="13"/>
      <c r="I217" s="13"/>
      <c r="J217" s="13"/>
      <c r="K217" s="13"/>
      <c r="L217" s="13"/>
      <c r="M217" s="13"/>
      <c r="N217" s="13"/>
      <c r="O217" s="13"/>
    </row>
    <row r="218" ht="15.75" customHeight="1">
      <c r="A218" s="13"/>
      <c r="B218" s="13"/>
      <c r="C218" s="13"/>
      <c r="D218" s="13"/>
      <c r="E218" s="13"/>
      <c r="F218" s="13"/>
      <c r="G218" s="13"/>
      <c r="H218" s="13"/>
      <c r="I218" s="13"/>
      <c r="J218" s="13"/>
      <c r="K218" s="13"/>
      <c r="L218" s="13"/>
      <c r="M218" s="13"/>
      <c r="N218" s="13"/>
      <c r="O218" s="13"/>
    </row>
    <row r="219" ht="15.75" customHeight="1">
      <c r="A219" s="13"/>
      <c r="B219" s="13"/>
      <c r="C219" s="13"/>
      <c r="D219" s="13"/>
      <c r="E219" s="13"/>
      <c r="F219" s="13"/>
      <c r="G219" s="13"/>
      <c r="H219" s="13"/>
      <c r="I219" s="13"/>
      <c r="J219" s="13"/>
      <c r="K219" s="13"/>
      <c r="L219" s="13"/>
      <c r="M219" s="13"/>
      <c r="N219" s="13"/>
      <c r="O219" s="13"/>
    </row>
    <row r="220" ht="15.75" customHeight="1">
      <c r="A220" s="13"/>
      <c r="B220" s="13"/>
      <c r="C220" s="13"/>
      <c r="D220" s="13"/>
      <c r="E220" s="13"/>
      <c r="F220" s="13"/>
      <c r="G220" s="13"/>
      <c r="H220" s="13"/>
      <c r="I220" s="13"/>
      <c r="J220" s="13"/>
      <c r="K220" s="13"/>
      <c r="L220" s="13"/>
      <c r="M220" s="13"/>
      <c r="N220" s="13"/>
      <c r="O220" s="13"/>
    </row>
    <row r="221" ht="15.75" customHeight="1">
      <c r="A221" s="13"/>
      <c r="B221" s="13"/>
      <c r="C221" s="13"/>
      <c r="D221" s="13"/>
      <c r="E221" s="13"/>
      <c r="F221" s="13"/>
      <c r="G221" s="13"/>
      <c r="H221" s="13"/>
      <c r="I221" s="13"/>
      <c r="J221" s="13"/>
      <c r="K221" s="13"/>
      <c r="L221" s="13"/>
      <c r="M221" s="13"/>
      <c r="N221" s="13"/>
      <c r="O221" s="13"/>
    </row>
    <row r="222" ht="15.75" customHeight="1">
      <c r="A222" s="13"/>
      <c r="B222" s="13"/>
      <c r="C222" s="13"/>
      <c r="D222" s="13"/>
      <c r="E222" s="13"/>
      <c r="F222" s="13"/>
      <c r="G222" s="13"/>
      <c r="H222" s="13"/>
      <c r="I222" s="13"/>
      <c r="J222" s="13"/>
      <c r="K222" s="13"/>
      <c r="L222" s="13"/>
      <c r="M222" s="13"/>
      <c r="N222" s="13"/>
      <c r="O222" s="13"/>
    </row>
    <row r="223" ht="15.75" customHeight="1">
      <c r="A223" s="13"/>
      <c r="B223" s="13"/>
      <c r="C223" s="13"/>
      <c r="D223" s="13"/>
      <c r="E223" s="13"/>
      <c r="F223" s="13"/>
      <c r="G223" s="13"/>
      <c r="H223" s="13"/>
      <c r="I223" s="13"/>
      <c r="J223" s="13"/>
      <c r="K223" s="13"/>
      <c r="L223" s="13"/>
      <c r="M223" s="13"/>
      <c r="N223" s="13"/>
      <c r="O223" s="13"/>
    </row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C1:D2"/>
    <mergeCell ref="E1:F2"/>
  </mergeCells>
  <dataValidations>
    <dataValidation type="list" allowBlank="1" showErrorMessage="1" sqref="G4:O124">
      <formula1>"선택,완료"</formula1>
    </dataValidation>
  </dataValidations>
  <hyperlinks>
    <hyperlink r:id="rId2" ref="D5"/>
    <hyperlink r:id="rId3" ref="D24"/>
    <hyperlink r:id="rId4" ref="D25"/>
    <hyperlink r:id="rId5" ref="D30"/>
    <hyperlink r:id="rId6" ref="D31"/>
    <hyperlink r:id="rId7" ref="D36"/>
    <hyperlink r:id="rId8" ref="D51"/>
    <hyperlink r:id="rId9" ref="D70"/>
    <hyperlink r:id="rId10" ref="D86"/>
    <hyperlink r:id="rId11" ref="D93"/>
    <hyperlink r:id="rId12" ref="D96"/>
    <hyperlink r:id="rId13" ref="D97"/>
  </hyperlinks>
  <drawing r:id="rId14"/>
  <legacyDrawing r:id="rId15"/>
  <tableParts count="1">
    <tablePart r:id="rId17"/>
  </tableParts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0"/>
  <cols>
    <col customWidth="1" min="1" max="1" width="4.0"/>
    <col customWidth="1" min="2" max="2" width="6.0"/>
    <col customWidth="1" min="3" max="3" width="18.63"/>
    <col customWidth="1" min="4" max="4" width="21.13"/>
    <col customWidth="1" min="5" max="6" width="12.63"/>
  </cols>
  <sheetData>
    <row r="1" ht="15.75" customHeight="1">
      <c r="A1" s="1"/>
      <c r="B1" s="60" t="s">
        <v>0</v>
      </c>
      <c r="E1" s="3" t="s">
        <v>1</v>
      </c>
      <c r="G1" s="5" t="s">
        <v>559</v>
      </c>
      <c r="H1" s="5" t="s">
        <v>560</v>
      </c>
      <c r="I1" s="5" t="s">
        <v>561</v>
      </c>
      <c r="J1" s="5" t="s">
        <v>562</v>
      </c>
      <c r="K1" s="5" t="s">
        <v>563</v>
      </c>
      <c r="L1" s="5" t="s">
        <v>564</v>
      </c>
      <c r="M1" s="5" t="s">
        <v>565</v>
      </c>
      <c r="N1" s="5" t="s">
        <v>566</v>
      </c>
      <c r="O1" s="5" t="s">
        <v>567</v>
      </c>
    </row>
    <row r="2" ht="15.75" customHeight="1">
      <c r="A2" s="1"/>
      <c r="G2" s="7" t="s">
        <v>568</v>
      </c>
      <c r="H2" s="7" t="s">
        <v>569</v>
      </c>
      <c r="I2" s="7" t="s">
        <v>570</v>
      </c>
      <c r="J2" s="7" t="s">
        <v>571</v>
      </c>
      <c r="K2" s="7" t="s">
        <v>572</v>
      </c>
      <c r="L2" s="7" t="s">
        <v>573</v>
      </c>
      <c r="M2" s="7" t="s">
        <v>574</v>
      </c>
      <c r="N2" s="7" t="s">
        <v>575</v>
      </c>
      <c r="O2" s="7" t="s">
        <v>576</v>
      </c>
    </row>
    <row r="3" ht="15.75" customHeight="1">
      <c r="A3" s="1"/>
      <c r="B3" s="1"/>
      <c r="C3" s="1"/>
      <c r="D3" s="1"/>
      <c r="E3" s="8"/>
      <c r="F3" s="8"/>
      <c r="G3" s="10" t="str">
        <f t="shared" ref="G3:O3" si="1">COUNTIF(G5:G200, "완료") &amp; "명 완료"
</f>
        <v>76명 완료</v>
      </c>
      <c r="H3" s="10" t="str">
        <f t="shared" si="1"/>
        <v>71명 완료</v>
      </c>
      <c r="I3" s="10" t="str">
        <f t="shared" si="1"/>
        <v>73명 완료</v>
      </c>
      <c r="J3" s="10" t="str">
        <f t="shared" si="1"/>
        <v>72명 완료</v>
      </c>
      <c r="K3" s="10" t="str">
        <f t="shared" si="1"/>
        <v>73명 완료</v>
      </c>
      <c r="L3" s="10" t="str">
        <f t="shared" si="1"/>
        <v>72명 완료</v>
      </c>
      <c r="M3" s="10" t="str">
        <f t="shared" si="1"/>
        <v>74명 완료</v>
      </c>
      <c r="N3" s="10" t="str">
        <f t="shared" si="1"/>
        <v>66명 완료</v>
      </c>
      <c r="O3" s="10" t="str">
        <f t="shared" si="1"/>
        <v>66명 완료</v>
      </c>
    </row>
    <row r="4" ht="15.75" customHeight="1">
      <c r="A4" s="192"/>
      <c r="B4" s="63" t="s">
        <v>20</v>
      </c>
      <c r="C4" s="64" t="s">
        <v>21</v>
      </c>
      <c r="D4" s="64" t="s">
        <v>22</v>
      </c>
      <c r="E4" s="65" t="s">
        <v>23</v>
      </c>
      <c r="F4" s="65" t="s">
        <v>24</v>
      </c>
      <c r="G4" s="66" t="s">
        <v>25</v>
      </c>
      <c r="H4" s="66" t="s">
        <v>25</v>
      </c>
      <c r="I4" s="66" t="s">
        <v>25</v>
      </c>
      <c r="J4" s="66" t="s">
        <v>25</v>
      </c>
      <c r="K4" s="66" t="s">
        <v>25</v>
      </c>
      <c r="L4" s="66" t="s">
        <v>25</v>
      </c>
      <c r="M4" s="66" t="s">
        <v>25</v>
      </c>
      <c r="N4" s="66" t="s">
        <v>25</v>
      </c>
      <c r="O4" s="66" t="s">
        <v>25</v>
      </c>
    </row>
    <row r="5" ht="15.75" customHeight="1">
      <c r="A5" s="20"/>
      <c r="B5" s="21">
        <v>1.0</v>
      </c>
      <c r="C5" s="22" t="s">
        <v>26</v>
      </c>
      <c r="D5" s="23" t="s">
        <v>27</v>
      </c>
      <c r="E5" s="70" t="str">
        <f t="shared" ref="E5:E124" si="2">IF(COUNTIF(G5:O5, "완료")=0, "", COUNTIF($G$4:$O$4, "완료") &amp; "번 중 " &amp; COUNTIF(G5:O5, "완료") &amp; "번 참여")
</f>
        <v>9번 중 9번 참여</v>
      </c>
      <c r="F5" s="71">
        <f t="shared" ref="F5:F124" si="3">IF(COUNTIF($G$4:$O$4, "완료")=0, "", IF(COUNTIF(G5:O5, "완료")=0, "", COUNTIF(G5:O5, "완료") / COUNTIF($G$4:$O$4, "완료")))
</f>
        <v>1</v>
      </c>
      <c r="G5" s="26" t="s">
        <v>25</v>
      </c>
      <c r="H5" s="26" t="s">
        <v>25</v>
      </c>
      <c r="I5" s="26" t="s">
        <v>25</v>
      </c>
      <c r="J5" s="26" t="s">
        <v>25</v>
      </c>
      <c r="K5" s="26" t="s">
        <v>25</v>
      </c>
      <c r="L5" s="26" t="s">
        <v>25</v>
      </c>
      <c r="M5" s="26" t="s">
        <v>25</v>
      </c>
      <c r="N5" s="26" t="s">
        <v>25</v>
      </c>
      <c r="O5" s="26" t="s">
        <v>25</v>
      </c>
    </row>
    <row r="6" ht="15.75" customHeight="1">
      <c r="A6" s="28"/>
      <c r="B6" s="29">
        <v>2.0</v>
      </c>
      <c r="C6" s="30" t="s">
        <v>28</v>
      </c>
      <c r="D6" s="30" t="s">
        <v>29</v>
      </c>
      <c r="E6" s="70" t="str">
        <f t="shared" si="2"/>
        <v>9번 중 9번 참여</v>
      </c>
      <c r="F6" s="71">
        <f t="shared" si="3"/>
        <v>1</v>
      </c>
      <c r="G6" s="26" t="s">
        <v>25</v>
      </c>
      <c r="H6" s="26" t="s">
        <v>25</v>
      </c>
      <c r="I6" s="26" t="s">
        <v>25</v>
      </c>
      <c r="J6" s="26" t="s">
        <v>25</v>
      </c>
      <c r="K6" s="26" t="s">
        <v>25</v>
      </c>
      <c r="L6" s="26" t="s">
        <v>25</v>
      </c>
      <c r="M6" s="26" t="s">
        <v>25</v>
      </c>
      <c r="N6" s="26" t="s">
        <v>25</v>
      </c>
      <c r="O6" s="26" t="s">
        <v>25</v>
      </c>
    </row>
    <row r="7" ht="15.75" customHeight="1">
      <c r="A7" s="20"/>
      <c r="B7" s="21">
        <v>3.0</v>
      </c>
      <c r="C7" s="30" t="s">
        <v>30</v>
      </c>
      <c r="D7" s="30" t="s">
        <v>31</v>
      </c>
      <c r="E7" s="70" t="str">
        <f t="shared" si="2"/>
        <v>9번 중 8번 참여</v>
      </c>
      <c r="F7" s="71">
        <f t="shared" si="3"/>
        <v>0.8888888889</v>
      </c>
      <c r="G7" s="26" t="s">
        <v>25</v>
      </c>
      <c r="H7" s="26" t="s">
        <v>25</v>
      </c>
      <c r="I7" s="26" t="s">
        <v>25</v>
      </c>
      <c r="J7" s="26" t="s">
        <v>25</v>
      </c>
      <c r="K7" s="26" t="s">
        <v>25</v>
      </c>
      <c r="L7" s="26" t="s">
        <v>25</v>
      </c>
      <c r="M7" s="26" t="s">
        <v>25</v>
      </c>
      <c r="N7" s="26" t="s">
        <v>25</v>
      </c>
      <c r="O7" s="26"/>
    </row>
    <row r="8" ht="15.75" customHeight="1">
      <c r="A8" s="28"/>
      <c r="B8" s="29">
        <v>4.0</v>
      </c>
      <c r="C8" s="22" t="s">
        <v>32</v>
      </c>
      <c r="D8" s="22" t="s">
        <v>33</v>
      </c>
      <c r="E8" s="70" t="str">
        <f t="shared" si="2"/>
        <v>9번 중 8번 참여</v>
      </c>
      <c r="F8" s="71">
        <f t="shared" si="3"/>
        <v>0.8888888889</v>
      </c>
      <c r="G8" s="26" t="s">
        <v>25</v>
      </c>
      <c r="H8" s="26" t="s">
        <v>25</v>
      </c>
      <c r="I8" s="26" t="s">
        <v>25</v>
      </c>
      <c r="J8" s="26" t="s">
        <v>25</v>
      </c>
      <c r="K8" s="26" t="s">
        <v>25</v>
      </c>
      <c r="L8" s="26" t="s">
        <v>25</v>
      </c>
      <c r="M8" s="26" t="s">
        <v>25</v>
      </c>
      <c r="N8" s="26" t="s">
        <v>25</v>
      </c>
      <c r="O8" s="26"/>
    </row>
    <row r="9" ht="15.75" customHeight="1">
      <c r="A9" s="20"/>
      <c r="B9" s="21">
        <v>5.0</v>
      </c>
      <c r="C9" s="30" t="s">
        <v>34</v>
      </c>
      <c r="D9" s="30" t="s">
        <v>35</v>
      </c>
      <c r="E9" s="70" t="str">
        <f t="shared" si="2"/>
        <v>9번 중 8번 참여</v>
      </c>
      <c r="F9" s="71">
        <f t="shared" si="3"/>
        <v>0.8888888889</v>
      </c>
      <c r="G9" s="26" t="s">
        <v>25</v>
      </c>
      <c r="H9" s="26"/>
      <c r="I9" s="26" t="s">
        <v>25</v>
      </c>
      <c r="J9" s="26" t="s">
        <v>25</v>
      </c>
      <c r="K9" s="26" t="s">
        <v>25</v>
      </c>
      <c r="L9" s="26" t="s">
        <v>25</v>
      </c>
      <c r="M9" s="26" t="s">
        <v>25</v>
      </c>
      <c r="N9" s="26" t="s">
        <v>25</v>
      </c>
      <c r="O9" s="26" t="s">
        <v>25</v>
      </c>
    </row>
    <row r="10" ht="15.75" customHeight="1">
      <c r="A10" s="28"/>
      <c r="B10" s="29">
        <v>6.0</v>
      </c>
      <c r="C10" s="22" t="s">
        <v>36</v>
      </c>
      <c r="D10" s="22" t="s">
        <v>72</v>
      </c>
      <c r="E10" s="70" t="str">
        <f t="shared" si="2"/>
        <v>9번 중 9번 참여</v>
      </c>
      <c r="F10" s="71">
        <f t="shared" si="3"/>
        <v>1</v>
      </c>
      <c r="G10" s="26" t="s">
        <v>25</v>
      </c>
      <c r="H10" s="26" t="s">
        <v>25</v>
      </c>
      <c r="I10" s="26" t="s">
        <v>25</v>
      </c>
      <c r="J10" s="26" t="s">
        <v>25</v>
      </c>
      <c r="K10" s="26" t="s">
        <v>25</v>
      </c>
      <c r="L10" s="26" t="s">
        <v>25</v>
      </c>
      <c r="M10" s="26" t="s">
        <v>25</v>
      </c>
      <c r="N10" s="26" t="s">
        <v>25</v>
      </c>
      <c r="O10" s="26" t="s">
        <v>25</v>
      </c>
    </row>
    <row r="11" ht="15.75" customHeight="1">
      <c r="A11" s="20"/>
      <c r="B11" s="21">
        <v>7.0</v>
      </c>
      <c r="C11" s="30" t="s">
        <v>38</v>
      </c>
      <c r="D11" s="30" t="s">
        <v>39</v>
      </c>
      <c r="E11" s="70" t="str">
        <f t="shared" si="2"/>
        <v>9번 중 9번 참여</v>
      </c>
      <c r="F11" s="71">
        <f t="shared" si="3"/>
        <v>1</v>
      </c>
      <c r="G11" s="26" t="s">
        <v>25</v>
      </c>
      <c r="H11" s="26" t="s">
        <v>25</v>
      </c>
      <c r="I11" s="26" t="s">
        <v>25</v>
      </c>
      <c r="J11" s="26" t="s">
        <v>25</v>
      </c>
      <c r="K11" s="26" t="s">
        <v>25</v>
      </c>
      <c r="L11" s="26" t="s">
        <v>25</v>
      </c>
      <c r="M11" s="26" t="s">
        <v>25</v>
      </c>
      <c r="N11" s="26" t="s">
        <v>25</v>
      </c>
      <c r="O11" s="26" t="s">
        <v>25</v>
      </c>
    </row>
    <row r="12" ht="15.75" customHeight="1">
      <c r="A12" s="28"/>
      <c r="B12" s="29">
        <v>8.0</v>
      </c>
      <c r="C12" s="22" t="s">
        <v>40</v>
      </c>
      <c r="D12" s="22" t="s">
        <v>41</v>
      </c>
      <c r="E12" s="70" t="str">
        <f t="shared" si="2"/>
        <v>9번 중 9번 참여</v>
      </c>
      <c r="F12" s="71">
        <f t="shared" si="3"/>
        <v>1</v>
      </c>
      <c r="G12" s="26" t="s">
        <v>25</v>
      </c>
      <c r="H12" s="26" t="s">
        <v>25</v>
      </c>
      <c r="I12" s="26" t="s">
        <v>25</v>
      </c>
      <c r="J12" s="26" t="s">
        <v>25</v>
      </c>
      <c r="K12" s="26" t="s">
        <v>25</v>
      </c>
      <c r="L12" s="26" t="s">
        <v>25</v>
      </c>
      <c r="M12" s="26" t="s">
        <v>25</v>
      </c>
      <c r="N12" s="26" t="s">
        <v>25</v>
      </c>
      <c r="O12" s="26" t="s">
        <v>25</v>
      </c>
    </row>
    <row r="13" ht="15.75" customHeight="1">
      <c r="A13" s="20"/>
      <c r="B13" s="21">
        <v>9.0</v>
      </c>
      <c r="C13" s="30" t="s">
        <v>42</v>
      </c>
      <c r="D13" s="30" t="s">
        <v>43</v>
      </c>
      <c r="E13" s="70" t="str">
        <f t="shared" si="2"/>
        <v>9번 중 5번 참여</v>
      </c>
      <c r="F13" s="71">
        <f t="shared" si="3"/>
        <v>0.5555555556</v>
      </c>
      <c r="G13" s="26" t="s">
        <v>80</v>
      </c>
      <c r="H13" s="26"/>
      <c r="I13" s="26" t="s">
        <v>25</v>
      </c>
      <c r="J13" s="26" t="s">
        <v>25</v>
      </c>
      <c r="K13" s="26"/>
      <c r="L13" s="26" t="s">
        <v>25</v>
      </c>
      <c r="M13" s="26" t="s">
        <v>25</v>
      </c>
      <c r="N13" s="26" t="s">
        <v>25</v>
      </c>
      <c r="O13" s="26"/>
    </row>
    <row r="14" ht="15.75" customHeight="1">
      <c r="A14" s="28"/>
      <c r="B14" s="29">
        <v>10.0</v>
      </c>
      <c r="C14" s="105" t="s">
        <v>420</v>
      </c>
      <c r="D14" s="105" t="s">
        <v>329</v>
      </c>
      <c r="E14" s="70" t="str">
        <f t="shared" si="2"/>
        <v/>
      </c>
      <c r="F14" s="71" t="str">
        <f t="shared" si="3"/>
        <v/>
      </c>
      <c r="G14" s="26"/>
      <c r="H14" s="26"/>
      <c r="I14" s="26"/>
      <c r="J14" s="26"/>
      <c r="K14" s="26"/>
      <c r="L14" s="26"/>
      <c r="M14" s="26"/>
      <c r="N14" s="26"/>
      <c r="O14" s="26"/>
    </row>
    <row r="15" ht="15.75" customHeight="1">
      <c r="A15" s="20"/>
      <c r="B15" s="21">
        <v>11.0</v>
      </c>
      <c r="C15" s="105" t="s">
        <v>421</v>
      </c>
      <c r="D15" s="105" t="s">
        <v>330</v>
      </c>
      <c r="E15" s="70" t="str">
        <f t="shared" si="2"/>
        <v/>
      </c>
      <c r="F15" s="71" t="str">
        <f t="shared" si="3"/>
        <v/>
      </c>
      <c r="G15" s="26"/>
      <c r="H15" s="26"/>
      <c r="I15" s="26"/>
      <c r="J15" s="26"/>
      <c r="K15" s="26"/>
      <c r="L15" s="26"/>
      <c r="M15" s="26"/>
      <c r="N15" s="26"/>
      <c r="O15" s="26"/>
    </row>
    <row r="16" ht="15.75" customHeight="1">
      <c r="A16" s="28"/>
      <c r="B16" s="29">
        <v>12.0</v>
      </c>
      <c r="C16" s="22" t="s">
        <v>44</v>
      </c>
      <c r="D16" s="22" t="s">
        <v>45</v>
      </c>
      <c r="E16" s="70" t="str">
        <f t="shared" si="2"/>
        <v>9번 중 9번 참여</v>
      </c>
      <c r="F16" s="71">
        <f t="shared" si="3"/>
        <v>1</v>
      </c>
      <c r="G16" s="26" t="s">
        <v>25</v>
      </c>
      <c r="H16" s="26" t="s">
        <v>25</v>
      </c>
      <c r="I16" s="26" t="s">
        <v>25</v>
      </c>
      <c r="J16" s="26" t="s">
        <v>25</v>
      </c>
      <c r="K16" s="26" t="s">
        <v>25</v>
      </c>
      <c r="L16" s="26" t="s">
        <v>25</v>
      </c>
      <c r="M16" s="26" t="s">
        <v>25</v>
      </c>
      <c r="N16" s="26" t="s">
        <v>25</v>
      </c>
      <c r="O16" s="26" t="s">
        <v>25</v>
      </c>
    </row>
    <row r="17" ht="15.75" customHeight="1">
      <c r="A17" s="20"/>
      <c r="B17" s="21">
        <v>13.0</v>
      </c>
      <c r="C17" s="30" t="s">
        <v>46</v>
      </c>
      <c r="D17" s="30" t="s">
        <v>47</v>
      </c>
      <c r="E17" s="70" t="str">
        <f t="shared" si="2"/>
        <v>9번 중 9번 참여</v>
      </c>
      <c r="F17" s="71">
        <f t="shared" si="3"/>
        <v>1</v>
      </c>
      <c r="G17" s="26" t="s">
        <v>25</v>
      </c>
      <c r="H17" s="26" t="s">
        <v>25</v>
      </c>
      <c r="I17" s="26" t="s">
        <v>25</v>
      </c>
      <c r="J17" s="26" t="s">
        <v>25</v>
      </c>
      <c r="K17" s="26" t="s">
        <v>25</v>
      </c>
      <c r="L17" s="26" t="s">
        <v>25</v>
      </c>
      <c r="M17" s="26" t="s">
        <v>25</v>
      </c>
      <c r="N17" s="26" t="s">
        <v>25</v>
      </c>
      <c r="O17" s="26" t="s">
        <v>25</v>
      </c>
    </row>
    <row r="18" ht="15.75" customHeight="1">
      <c r="A18" s="28"/>
      <c r="B18" s="29">
        <v>14.0</v>
      </c>
      <c r="C18" s="22" t="s">
        <v>48</v>
      </c>
      <c r="D18" s="22" t="s">
        <v>49</v>
      </c>
      <c r="E18" s="70" t="str">
        <f t="shared" si="2"/>
        <v>9번 중 8번 참여</v>
      </c>
      <c r="F18" s="71">
        <f t="shared" si="3"/>
        <v>0.8888888889</v>
      </c>
      <c r="G18" s="26" t="s">
        <v>25</v>
      </c>
      <c r="H18" s="26" t="s">
        <v>25</v>
      </c>
      <c r="I18" s="26" t="s">
        <v>25</v>
      </c>
      <c r="J18" s="26" t="s">
        <v>25</v>
      </c>
      <c r="K18" s="26" t="s">
        <v>25</v>
      </c>
      <c r="L18" s="26" t="s">
        <v>25</v>
      </c>
      <c r="M18" s="26" t="s">
        <v>25</v>
      </c>
      <c r="N18" s="26" t="s">
        <v>25</v>
      </c>
      <c r="O18" s="26"/>
    </row>
    <row r="19" ht="15.75" customHeight="1">
      <c r="A19" s="20"/>
      <c r="B19" s="21">
        <v>15.0</v>
      </c>
      <c r="C19" s="30" t="s">
        <v>50</v>
      </c>
      <c r="D19" s="30" t="s">
        <v>51</v>
      </c>
      <c r="E19" s="70" t="str">
        <f t="shared" si="2"/>
        <v>9번 중 9번 참여</v>
      </c>
      <c r="F19" s="71">
        <f t="shared" si="3"/>
        <v>1</v>
      </c>
      <c r="G19" s="26" t="s">
        <v>25</v>
      </c>
      <c r="H19" s="26" t="s">
        <v>25</v>
      </c>
      <c r="I19" s="26" t="s">
        <v>25</v>
      </c>
      <c r="J19" s="26" t="s">
        <v>25</v>
      </c>
      <c r="K19" s="26" t="s">
        <v>25</v>
      </c>
      <c r="L19" s="26" t="s">
        <v>25</v>
      </c>
      <c r="M19" s="26" t="s">
        <v>25</v>
      </c>
      <c r="N19" s="26" t="s">
        <v>25</v>
      </c>
      <c r="O19" s="26" t="s">
        <v>25</v>
      </c>
    </row>
    <row r="20" ht="15.75" customHeight="1">
      <c r="A20" s="28"/>
      <c r="B20" s="29">
        <v>16.0</v>
      </c>
      <c r="C20" s="22" t="s">
        <v>52</v>
      </c>
      <c r="D20" s="22" t="s">
        <v>53</v>
      </c>
      <c r="E20" s="70" t="str">
        <f t="shared" si="2"/>
        <v>9번 중 9번 참여</v>
      </c>
      <c r="F20" s="71">
        <f t="shared" si="3"/>
        <v>1</v>
      </c>
      <c r="G20" s="26" t="s">
        <v>25</v>
      </c>
      <c r="H20" s="26" t="s">
        <v>25</v>
      </c>
      <c r="I20" s="26" t="s">
        <v>25</v>
      </c>
      <c r="J20" s="26" t="s">
        <v>25</v>
      </c>
      <c r="K20" s="26" t="s">
        <v>25</v>
      </c>
      <c r="L20" s="26" t="s">
        <v>25</v>
      </c>
      <c r="M20" s="26" t="s">
        <v>25</v>
      </c>
      <c r="N20" s="26" t="s">
        <v>25</v>
      </c>
      <c r="O20" s="26" t="s">
        <v>25</v>
      </c>
    </row>
    <row r="21" ht="15.75" customHeight="1">
      <c r="A21" s="20"/>
      <c r="B21" s="21">
        <v>17.0</v>
      </c>
      <c r="C21" s="105" t="s">
        <v>331</v>
      </c>
      <c r="D21" s="105" t="s">
        <v>332</v>
      </c>
      <c r="E21" s="70" t="str">
        <f t="shared" si="2"/>
        <v/>
      </c>
      <c r="F21" s="71" t="str">
        <f t="shared" si="3"/>
        <v/>
      </c>
      <c r="G21" s="26"/>
      <c r="H21" s="26"/>
      <c r="I21" s="26"/>
      <c r="J21" s="26"/>
      <c r="K21" s="26"/>
      <c r="L21" s="26"/>
      <c r="M21" s="26"/>
      <c r="N21" s="26"/>
      <c r="O21" s="26"/>
    </row>
    <row r="22" ht="15.75" customHeight="1">
      <c r="A22" s="28"/>
      <c r="B22" s="29">
        <v>18.0</v>
      </c>
      <c r="C22" s="22" t="s">
        <v>56</v>
      </c>
      <c r="D22" s="22" t="s">
        <v>57</v>
      </c>
      <c r="E22" s="70" t="str">
        <f t="shared" si="2"/>
        <v>9번 중 9번 참여</v>
      </c>
      <c r="F22" s="71">
        <f t="shared" si="3"/>
        <v>1</v>
      </c>
      <c r="G22" s="26" t="s">
        <v>25</v>
      </c>
      <c r="H22" s="26" t="s">
        <v>25</v>
      </c>
      <c r="I22" s="26" t="s">
        <v>25</v>
      </c>
      <c r="J22" s="26" t="s">
        <v>25</v>
      </c>
      <c r="K22" s="26" t="s">
        <v>25</v>
      </c>
      <c r="L22" s="26" t="s">
        <v>25</v>
      </c>
      <c r="M22" s="26" t="s">
        <v>25</v>
      </c>
      <c r="N22" s="26" t="s">
        <v>25</v>
      </c>
      <c r="O22" s="26" t="s">
        <v>25</v>
      </c>
    </row>
    <row r="23" ht="15.75" customHeight="1">
      <c r="A23" s="20"/>
      <c r="B23" s="21">
        <v>19.0</v>
      </c>
      <c r="C23" s="30" t="s">
        <v>58</v>
      </c>
      <c r="D23" s="30" t="s">
        <v>59</v>
      </c>
      <c r="E23" s="70" t="str">
        <f t="shared" si="2"/>
        <v>9번 중 7번 참여</v>
      </c>
      <c r="F23" s="71">
        <f t="shared" si="3"/>
        <v>0.7777777778</v>
      </c>
      <c r="G23" s="26" t="s">
        <v>25</v>
      </c>
      <c r="H23" s="26" t="s">
        <v>25</v>
      </c>
      <c r="I23" s="26" t="s">
        <v>25</v>
      </c>
      <c r="J23" s="26" t="s">
        <v>25</v>
      </c>
      <c r="K23" s="26" t="s">
        <v>25</v>
      </c>
      <c r="L23" s="26" t="s">
        <v>25</v>
      </c>
      <c r="M23" s="26"/>
      <c r="N23" s="26"/>
      <c r="O23" s="26" t="s">
        <v>25</v>
      </c>
    </row>
    <row r="24" ht="15.75" customHeight="1">
      <c r="A24" s="28"/>
      <c r="B24" s="29">
        <v>20.0</v>
      </c>
      <c r="C24" s="22" t="s">
        <v>60</v>
      </c>
      <c r="D24" s="23" t="s">
        <v>61</v>
      </c>
      <c r="E24" s="70" t="str">
        <f t="shared" si="2"/>
        <v>9번 중 9번 참여</v>
      </c>
      <c r="F24" s="71">
        <f t="shared" si="3"/>
        <v>1</v>
      </c>
      <c r="G24" s="26" t="s">
        <v>25</v>
      </c>
      <c r="H24" s="26" t="s">
        <v>25</v>
      </c>
      <c r="I24" s="26" t="s">
        <v>25</v>
      </c>
      <c r="J24" s="26" t="s">
        <v>25</v>
      </c>
      <c r="K24" s="26" t="s">
        <v>25</v>
      </c>
      <c r="L24" s="26" t="s">
        <v>25</v>
      </c>
      <c r="M24" s="26" t="s">
        <v>25</v>
      </c>
      <c r="N24" s="26" t="s">
        <v>25</v>
      </c>
      <c r="O24" s="26" t="s">
        <v>25</v>
      </c>
    </row>
    <row r="25" ht="15.75" customHeight="1">
      <c r="A25" s="20"/>
      <c r="B25" s="21">
        <v>21.0</v>
      </c>
      <c r="C25" s="42" t="s">
        <v>62</v>
      </c>
      <c r="D25" s="196" t="s">
        <v>63</v>
      </c>
      <c r="E25" s="70" t="str">
        <f t="shared" si="2"/>
        <v>9번 중 9번 참여</v>
      </c>
      <c r="F25" s="71">
        <f t="shared" si="3"/>
        <v>1</v>
      </c>
      <c r="G25" s="26" t="s">
        <v>25</v>
      </c>
      <c r="H25" s="26" t="s">
        <v>25</v>
      </c>
      <c r="I25" s="26" t="s">
        <v>25</v>
      </c>
      <c r="J25" s="26" t="s">
        <v>25</v>
      </c>
      <c r="K25" s="26" t="s">
        <v>25</v>
      </c>
      <c r="L25" s="26" t="s">
        <v>25</v>
      </c>
      <c r="M25" s="26" t="s">
        <v>25</v>
      </c>
      <c r="N25" s="26" t="s">
        <v>25</v>
      </c>
      <c r="O25" s="26" t="s">
        <v>25</v>
      </c>
    </row>
    <row r="26" ht="15.75" customHeight="1">
      <c r="A26" s="28"/>
      <c r="B26" s="29">
        <v>22.0</v>
      </c>
      <c r="C26" s="22" t="s">
        <v>64</v>
      </c>
      <c r="D26" s="22" t="s">
        <v>65</v>
      </c>
      <c r="E26" s="70" t="str">
        <f t="shared" si="2"/>
        <v>9번 중 9번 참여</v>
      </c>
      <c r="F26" s="71">
        <f t="shared" si="3"/>
        <v>1</v>
      </c>
      <c r="G26" s="26" t="s">
        <v>25</v>
      </c>
      <c r="H26" s="26" t="s">
        <v>25</v>
      </c>
      <c r="I26" s="26" t="s">
        <v>25</v>
      </c>
      <c r="J26" s="26" t="s">
        <v>25</v>
      </c>
      <c r="K26" s="26" t="s">
        <v>25</v>
      </c>
      <c r="L26" s="26" t="s">
        <v>25</v>
      </c>
      <c r="M26" s="26" t="s">
        <v>25</v>
      </c>
      <c r="N26" s="26" t="s">
        <v>25</v>
      </c>
      <c r="O26" s="26" t="s">
        <v>25</v>
      </c>
    </row>
    <row r="27" ht="15.75" customHeight="1">
      <c r="A27" s="20"/>
      <c r="B27" s="21">
        <v>23.0</v>
      </c>
      <c r="C27" s="30" t="s">
        <v>66</v>
      </c>
      <c r="D27" s="30" t="s">
        <v>67</v>
      </c>
      <c r="E27" s="70" t="str">
        <f t="shared" si="2"/>
        <v>9번 중 9번 참여</v>
      </c>
      <c r="F27" s="71">
        <f t="shared" si="3"/>
        <v>1</v>
      </c>
      <c r="G27" s="26" t="s">
        <v>25</v>
      </c>
      <c r="H27" s="26" t="s">
        <v>25</v>
      </c>
      <c r="I27" s="26" t="s">
        <v>25</v>
      </c>
      <c r="J27" s="26" t="s">
        <v>25</v>
      </c>
      <c r="K27" s="26" t="s">
        <v>25</v>
      </c>
      <c r="L27" s="26" t="s">
        <v>25</v>
      </c>
      <c r="M27" s="26" t="s">
        <v>25</v>
      </c>
      <c r="N27" s="26" t="s">
        <v>25</v>
      </c>
      <c r="O27" s="26" t="s">
        <v>25</v>
      </c>
    </row>
    <row r="28" ht="15.75" customHeight="1">
      <c r="A28" s="28"/>
      <c r="B28" s="29">
        <v>24.0</v>
      </c>
      <c r="C28" s="75" t="s">
        <v>68</v>
      </c>
      <c r="D28" s="75" t="s">
        <v>69</v>
      </c>
      <c r="E28" s="70" t="str">
        <f t="shared" si="2"/>
        <v>9번 중 8번 참여</v>
      </c>
      <c r="F28" s="71">
        <f t="shared" si="3"/>
        <v>0.8888888889</v>
      </c>
      <c r="G28" s="26" t="s">
        <v>25</v>
      </c>
      <c r="H28" s="26" t="s">
        <v>25</v>
      </c>
      <c r="I28" s="26" t="s">
        <v>25</v>
      </c>
      <c r="J28" s="26" t="s">
        <v>25</v>
      </c>
      <c r="K28" s="26" t="s">
        <v>25</v>
      </c>
      <c r="L28" s="26" t="s">
        <v>25</v>
      </c>
      <c r="M28" s="26" t="s">
        <v>25</v>
      </c>
      <c r="N28" s="26" t="s">
        <v>25</v>
      </c>
      <c r="O28" s="26"/>
    </row>
    <row r="29" ht="15.75" customHeight="1">
      <c r="A29" s="20"/>
      <c r="B29" s="21">
        <v>25.0</v>
      </c>
      <c r="C29" s="30" t="s">
        <v>74</v>
      </c>
      <c r="D29" s="30" t="s">
        <v>75</v>
      </c>
      <c r="E29" s="70" t="str">
        <f t="shared" si="2"/>
        <v>9번 중 7번 참여</v>
      </c>
      <c r="F29" s="71">
        <f t="shared" si="3"/>
        <v>0.7777777778</v>
      </c>
      <c r="G29" s="26" t="s">
        <v>25</v>
      </c>
      <c r="H29" s="26" t="s">
        <v>25</v>
      </c>
      <c r="I29" s="26"/>
      <c r="J29" s="26" t="s">
        <v>25</v>
      </c>
      <c r="K29" s="26" t="s">
        <v>25</v>
      </c>
      <c r="L29" s="26" t="s">
        <v>25</v>
      </c>
      <c r="M29" s="26" t="s">
        <v>25</v>
      </c>
      <c r="N29" s="26"/>
      <c r="O29" s="26" t="s">
        <v>25</v>
      </c>
    </row>
    <row r="30" ht="15.75" customHeight="1">
      <c r="A30" s="28"/>
      <c r="B30" s="29">
        <v>26.0</v>
      </c>
      <c r="C30" s="22" t="s">
        <v>76</v>
      </c>
      <c r="D30" s="23" t="s">
        <v>77</v>
      </c>
      <c r="E30" s="70" t="str">
        <f t="shared" si="2"/>
        <v>9번 중 8번 참여</v>
      </c>
      <c r="F30" s="71">
        <f t="shared" si="3"/>
        <v>0.8888888889</v>
      </c>
      <c r="G30" s="26"/>
      <c r="H30" s="26" t="s">
        <v>25</v>
      </c>
      <c r="I30" s="26" t="s">
        <v>25</v>
      </c>
      <c r="J30" s="26" t="s">
        <v>25</v>
      </c>
      <c r="K30" s="26" t="s">
        <v>25</v>
      </c>
      <c r="L30" s="26" t="s">
        <v>25</v>
      </c>
      <c r="M30" s="26" t="s">
        <v>25</v>
      </c>
      <c r="N30" s="26" t="s">
        <v>25</v>
      </c>
      <c r="O30" s="26" t="s">
        <v>25</v>
      </c>
    </row>
    <row r="31" ht="15.75" customHeight="1">
      <c r="A31" s="20"/>
      <c r="B31" s="21">
        <v>27.0</v>
      </c>
      <c r="C31" s="30" t="s">
        <v>78</v>
      </c>
      <c r="D31" s="103" t="s">
        <v>79</v>
      </c>
      <c r="E31" s="70" t="str">
        <f t="shared" si="2"/>
        <v>9번 중 9번 참여</v>
      </c>
      <c r="F31" s="71">
        <f t="shared" si="3"/>
        <v>1</v>
      </c>
      <c r="G31" s="26" t="s">
        <v>25</v>
      </c>
      <c r="H31" s="26" t="s">
        <v>25</v>
      </c>
      <c r="I31" s="26" t="s">
        <v>25</v>
      </c>
      <c r="J31" s="26" t="s">
        <v>25</v>
      </c>
      <c r="K31" s="26" t="s">
        <v>25</v>
      </c>
      <c r="L31" s="26" t="s">
        <v>25</v>
      </c>
      <c r="M31" s="26" t="s">
        <v>25</v>
      </c>
      <c r="N31" s="26" t="s">
        <v>25</v>
      </c>
      <c r="O31" s="26" t="s">
        <v>25</v>
      </c>
    </row>
    <row r="32" ht="15.75" customHeight="1">
      <c r="A32" s="28"/>
      <c r="B32" s="29">
        <v>28.0</v>
      </c>
      <c r="C32" s="105" t="s">
        <v>130</v>
      </c>
      <c r="D32" s="105" t="s">
        <v>486</v>
      </c>
      <c r="E32" s="70" t="str">
        <f t="shared" si="2"/>
        <v/>
      </c>
      <c r="F32" s="71" t="str">
        <f t="shared" si="3"/>
        <v/>
      </c>
      <c r="G32" s="26"/>
      <c r="H32" s="26"/>
      <c r="I32" s="26"/>
      <c r="J32" s="26"/>
      <c r="K32" s="26"/>
      <c r="L32" s="26"/>
      <c r="M32" s="26"/>
      <c r="N32" s="26"/>
      <c r="O32" s="26"/>
    </row>
    <row r="33" ht="15.75" customHeight="1">
      <c r="A33" s="20"/>
      <c r="B33" s="21">
        <v>29.0</v>
      </c>
      <c r="C33" s="30" t="s">
        <v>81</v>
      </c>
      <c r="D33" s="30" t="s">
        <v>82</v>
      </c>
      <c r="E33" s="70" t="str">
        <f t="shared" si="2"/>
        <v>9번 중 8번 참여</v>
      </c>
      <c r="F33" s="71">
        <f t="shared" si="3"/>
        <v>0.8888888889</v>
      </c>
      <c r="G33" s="26" t="s">
        <v>25</v>
      </c>
      <c r="H33" s="26" t="s">
        <v>25</v>
      </c>
      <c r="I33" s="26" t="s">
        <v>25</v>
      </c>
      <c r="J33" s="26" t="s">
        <v>25</v>
      </c>
      <c r="K33" s="26"/>
      <c r="L33" s="26" t="s">
        <v>25</v>
      </c>
      <c r="M33" s="26" t="s">
        <v>25</v>
      </c>
      <c r="N33" s="26" t="s">
        <v>25</v>
      </c>
      <c r="O33" s="26" t="s">
        <v>25</v>
      </c>
    </row>
    <row r="34" ht="15.75" customHeight="1">
      <c r="A34" s="28"/>
      <c r="B34" s="29">
        <v>30.0</v>
      </c>
      <c r="C34" s="30" t="s">
        <v>83</v>
      </c>
      <c r="D34" s="30" t="s">
        <v>84</v>
      </c>
      <c r="E34" s="70" t="str">
        <f t="shared" si="2"/>
        <v>9번 중 2번 참여</v>
      </c>
      <c r="F34" s="71">
        <f t="shared" si="3"/>
        <v>0.2222222222</v>
      </c>
      <c r="G34" s="26" t="s">
        <v>25</v>
      </c>
      <c r="H34" s="26"/>
      <c r="I34" s="26"/>
      <c r="J34" s="26"/>
      <c r="K34" s="26"/>
      <c r="L34" s="26"/>
      <c r="M34" s="26"/>
      <c r="N34" s="26"/>
      <c r="O34" s="26" t="s">
        <v>25</v>
      </c>
    </row>
    <row r="35" ht="15.75" customHeight="1">
      <c r="A35" s="20"/>
      <c r="B35" s="21">
        <v>31.0</v>
      </c>
      <c r="C35" s="30" t="s">
        <v>85</v>
      </c>
      <c r="D35" s="30" t="s">
        <v>86</v>
      </c>
      <c r="E35" s="70" t="str">
        <f t="shared" si="2"/>
        <v>9번 중 9번 참여</v>
      </c>
      <c r="F35" s="71">
        <f t="shared" si="3"/>
        <v>1</v>
      </c>
      <c r="G35" s="26" t="s">
        <v>25</v>
      </c>
      <c r="H35" s="26" t="s">
        <v>25</v>
      </c>
      <c r="I35" s="26" t="s">
        <v>25</v>
      </c>
      <c r="J35" s="26" t="s">
        <v>25</v>
      </c>
      <c r="K35" s="26" t="s">
        <v>25</v>
      </c>
      <c r="L35" s="26" t="s">
        <v>25</v>
      </c>
      <c r="M35" s="26" t="s">
        <v>25</v>
      </c>
      <c r="N35" s="26" t="s">
        <v>25</v>
      </c>
      <c r="O35" s="26" t="s">
        <v>25</v>
      </c>
    </row>
    <row r="36" ht="15.75" customHeight="1">
      <c r="A36" s="28"/>
      <c r="B36" s="29">
        <v>32.0</v>
      </c>
      <c r="C36" s="22" t="s">
        <v>87</v>
      </c>
      <c r="D36" s="23" t="s">
        <v>88</v>
      </c>
      <c r="E36" s="70" t="str">
        <f t="shared" si="2"/>
        <v>9번 중 7번 참여</v>
      </c>
      <c r="F36" s="71">
        <f t="shared" si="3"/>
        <v>0.7777777778</v>
      </c>
      <c r="G36" s="26"/>
      <c r="H36" s="26" t="s">
        <v>25</v>
      </c>
      <c r="I36" s="26" t="s">
        <v>25</v>
      </c>
      <c r="J36" s="26"/>
      <c r="K36" s="26" t="s">
        <v>25</v>
      </c>
      <c r="L36" s="26" t="s">
        <v>25</v>
      </c>
      <c r="M36" s="26" t="s">
        <v>25</v>
      </c>
      <c r="N36" s="26" t="s">
        <v>25</v>
      </c>
      <c r="O36" s="26" t="s">
        <v>25</v>
      </c>
    </row>
    <row r="37" ht="15.75" customHeight="1">
      <c r="A37" s="20"/>
      <c r="B37" s="21">
        <v>33.0</v>
      </c>
      <c r="C37" s="39" t="s">
        <v>89</v>
      </c>
      <c r="D37" s="39" t="s">
        <v>90</v>
      </c>
      <c r="E37" s="70" t="str">
        <f t="shared" si="2"/>
        <v>9번 중 8번 참여</v>
      </c>
      <c r="F37" s="71">
        <f t="shared" si="3"/>
        <v>0.8888888889</v>
      </c>
      <c r="G37" s="26" t="s">
        <v>25</v>
      </c>
      <c r="H37" s="26" t="s">
        <v>25</v>
      </c>
      <c r="I37" s="26" t="s">
        <v>25</v>
      </c>
      <c r="J37" s="26" t="s">
        <v>25</v>
      </c>
      <c r="K37" s="26" t="s">
        <v>25</v>
      </c>
      <c r="L37" s="26" t="s">
        <v>25</v>
      </c>
      <c r="M37" s="26" t="s">
        <v>25</v>
      </c>
      <c r="N37" s="26" t="s">
        <v>25</v>
      </c>
      <c r="O37" s="26"/>
    </row>
    <row r="38" ht="15.75" customHeight="1">
      <c r="A38" s="28"/>
      <c r="B38" s="29">
        <v>34.0</v>
      </c>
      <c r="C38" s="44" t="s">
        <v>91</v>
      </c>
      <c r="D38" s="44" t="s">
        <v>92</v>
      </c>
      <c r="E38" s="70" t="str">
        <f t="shared" si="2"/>
        <v>9번 중 9번 참여</v>
      </c>
      <c r="F38" s="71">
        <f t="shared" si="3"/>
        <v>1</v>
      </c>
      <c r="G38" s="26" t="s">
        <v>25</v>
      </c>
      <c r="H38" s="26" t="s">
        <v>25</v>
      </c>
      <c r="I38" s="26" t="s">
        <v>25</v>
      </c>
      <c r="J38" s="26" t="s">
        <v>25</v>
      </c>
      <c r="K38" s="26" t="s">
        <v>25</v>
      </c>
      <c r="L38" s="26" t="s">
        <v>25</v>
      </c>
      <c r="M38" s="26" t="s">
        <v>25</v>
      </c>
      <c r="N38" s="26" t="s">
        <v>25</v>
      </c>
      <c r="O38" s="26" t="s">
        <v>25</v>
      </c>
    </row>
    <row r="39" ht="15.75" customHeight="1">
      <c r="A39" s="20"/>
      <c r="B39" s="21">
        <v>35.0</v>
      </c>
      <c r="C39" s="30" t="s">
        <v>93</v>
      </c>
      <c r="D39" s="30" t="s">
        <v>94</v>
      </c>
      <c r="E39" s="70" t="str">
        <f t="shared" si="2"/>
        <v>9번 중 7번 참여</v>
      </c>
      <c r="F39" s="71">
        <f t="shared" si="3"/>
        <v>0.7777777778</v>
      </c>
      <c r="G39" s="26" t="s">
        <v>25</v>
      </c>
      <c r="H39" s="26"/>
      <c r="I39" s="26" t="s">
        <v>25</v>
      </c>
      <c r="J39" s="26" t="s">
        <v>25</v>
      </c>
      <c r="K39" s="26" t="s">
        <v>25</v>
      </c>
      <c r="L39" s="26" t="s">
        <v>25</v>
      </c>
      <c r="M39" s="26" t="s">
        <v>25</v>
      </c>
      <c r="N39" s="26"/>
      <c r="O39" s="26" t="s">
        <v>25</v>
      </c>
    </row>
    <row r="40" ht="15.75" customHeight="1">
      <c r="A40" s="28"/>
      <c r="B40" s="29">
        <v>36.0</v>
      </c>
      <c r="C40" s="22" t="s">
        <v>124</v>
      </c>
      <c r="D40" s="22" t="s">
        <v>125</v>
      </c>
      <c r="E40" s="70" t="str">
        <f t="shared" si="2"/>
        <v>9번 중 9번 참여</v>
      </c>
      <c r="F40" s="71">
        <f t="shared" si="3"/>
        <v>1</v>
      </c>
      <c r="G40" s="26" t="s">
        <v>25</v>
      </c>
      <c r="H40" s="26" t="s">
        <v>25</v>
      </c>
      <c r="I40" s="26" t="s">
        <v>25</v>
      </c>
      <c r="J40" s="26" t="s">
        <v>25</v>
      </c>
      <c r="K40" s="26" t="s">
        <v>25</v>
      </c>
      <c r="L40" s="26" t="s">
        <v>25</v>
      </c>
      <c r="M40" s="26" t="s">
        <v>25</v>
      </c>
      <c r="N40" s="26" t="s">
        <v>25</v>
      </c>
      <c r="O40" s="26" t="s">
        <v>25</v>
      </c>
    </row>
    <row r="41" ht="15.75" customHeight="1">
      <c r="A41" s="20"/>
      <c r="B41" s="21">
        <v>37.0</v>
      </c>
      <c r="C41" s="30" t="s">
        <v>128</v>
      </c>
      <c r="D41" s="30" t="s">
        <v>129</v>
      </c>
      <c r="E41" s="70" t="str">
        <f t="shared" si="2"/>
        <v>9번 중 9번 참여</v>
      </c>
      <c r="F41" s="71">
        <f t="shared" si="3"/>
        <v>1</v>
      </c>
      <c r="G41" s="26" t="s">
        <v>25</v>
      </c>
      <c r="H41" s="26" t="s">
        <v>25</v>
      </c>
      <c r="I41" s="26" t="s">
        <v>25</v>
      </c>
      <c r="J41" s="26" t="s">
        <v>25</v>
      </c>
      <c r="K41" s="26" t="s">
        <v>25</v>
      </c>
      <c r="L41" s="26" t="s">
        <v>25</v>
      </c>
      <c r="M41" s="26" t="s">
        <v>25</v>
      </c>
      <c r="N41" s="26" t="s">
        <v>25</v>
      </c>
      <c r="O41" s="26" t="s">
        <v>25</v>
      </c>
    </row>
    <row r="42" ht="15.75" customHeight="1">
      <c r="A42" s="28"/>
      <c r="B42" s="29">
        <v>38.0</v>
      </c>
      <c r="C42" s="22" t="s">
        <v>99</v>
      </c>
      <c r="D42" s="22" t="s">
        <v>100</v>
      </c>
      <c r="E42" s="70" t="str">
        <f t="shared" si="2"/>
        <v>9번 중 7번 참여</v>
      </c>
      <c r="F42" s="71">
        <f t="shared" si="3"/>
        <v>0.7777777778</v>
      </c>
      <c r="G42" s="26" t="s">
        <v>25</v>
      </c>
      <c r="H42" s="26"/>
      <c r="I42" s="26"/>
      <c r="J42" s="26" t="s">
        <v>25</v>
      </c>
      <c r="K42" s="26" t="s">
        <v>25</v>
      </c>
      <c r="L42" s="26" t="s">
        <v>25</v>
      </c>
      <c r="M42" s="26" t="s">
        <v>25</v>
      </c>
      <c r="N42" s="26" t="s">
        <v>25</v>
      </c>
      <c r="O42" s="26" t="s">
        <v>25</v>
      </c>
    </row>
    <row r="43" ht="15.75" customHeight="1">
      <c r="A43" s="20"/>
      <c r="B43" s="21">
        <v>39.0</v>
      </c>
      <c r="C43" s="30" t="s">
        <v>349</v>
      </c>
      <c r="D43" s="30" t="s">
        <v>350</v>
      </c>
      <c r="E43" s="70" t="str">
        <f t="shared" si="2"/>
        <v>9번 중 9번 참여</v>
      </c>
      <c r="F43" s="71">
        <f t="shared" si="3"/>
        <v>1</v>
      </c>
      <c r="G43" s="26" t="s">
        <v>25</v>
      </c>
      <c r="H43" s="26" t="s">
        <v>25</v>
      </c>
      <c r="I43" s="26" t="s">
        <v>25</v>
      </c>
      <c r="J43" s="26" t="s">
        <v>25</v>
      </c>
      <c r="K43" s="26" t="s">
        <v>25</v>
      </c>
      <c r="L43" s="26" t="s">
        <v>25</v>
      </c>
      <c r="M43" s="26" t="s">
        <v>25</v>
      </c>
      <c r="N43" s="26" t="s">
        <v>25</v>
      </c>
      <c r="O43" s="26" t="s">
        <v>25</v>
      </c>
    </row>
    <row r="44" ht="15.75" customHeight="1">
      <c r="A44" s="28"/>
      <c r="B44" s="29">
        <v>40.0</v>
      </c>
      <c r="C44" s="22" t="s">
        <v>95</v>
      </c>
      <c r="D44" s="22" t="s">
        <v>96</v>
      </c>
      <c r="E44" s="70" t="str">
        <f t="shared" si="2"/>
        <v>9번 중 9번 참여</v>
      </c>
      <c r="F44" s="71">
        <f t="shared" si="3"/>
        <v>1</v>
      </c>
      <c r="G44" s="26" t="s">
        <v>25</v>
      </c>
      <c r="H44" s="26" t="s">
        <v>25</v>
      </c>
      <c r="I44" s="26" t="s">
        <v>25</v>
      </c>
      <c r="J44" s="26" t="s">
        <v>25</v>
      </c>
      <c r="K44" s="26" t="s">
        <v>25</v>
      </c>
      <c r="L44" s="26" t="s">
        <v>25</v>
      </c>
      <c r="M44" s="26" t="s">
        <v>25</v>
      </c>
      <c r="N44" s="26" t="s">
        <v>25</v>
      </c>
      <c r="O44" s="26" t="s">
        <v>25</v>
      </c>
    </row>
    <row r="45" ht="15.75" customHeight="1">
      <c r="A45" s="20"/>
      <c r="B45" s="21">
        <v>41.0</v>
      </c>
      <c r="C45" s="30" t="s">
        <v>97</v>
      </c>
      <c r="D45" s="30" t="s">
        <v>98</v>
      </c>
      <c r="E45" s="70" t="str">
        <f t="shared" si="2"/>
        <v>9번 중 9번 참여</v>
      </c>
      <c r="F45" s="71">
        <f t="shared" si="3"/>
        <v>1</v>
      </c>
      <c r="G45" s="26" t="s">
        <v>25</v>
      </c>
      <c r="H45" s="26" t="s">
        <v>25</v>
      </c>
      <c r="I45" s="26" t="s">
        <v>25</v>
      </c>
      <c r="J45" s="26" t="s">
        <v>25</v>
      </c>
      <c r="K45" s="26" t="s">
        <v>25</v>
      </c>
      <c r="L45" s="26" t="s">
        <v>25</v>
      </c>
      <c r="M45" s="26" t="s">
        <v>25</v>
      </c>
      <c r="N45" s="26" t="s">
        <v>25</v>
      </c>
      <c r="O45" s="26" t="s">
        <v>25</v>
      </c>
    </row>
    <row r="46" ht="15.75" customHeight="1">
      <c r="A46" s="28"/>
      <c r="B46" s="29">
        <v>42.0</v>
      </c>
      <c r="C46" s="104" t="s">
        <v>540</v>
      </c>
      <c r="D46" s="104" t="s">
        <v>541</v>
      </c>
      <c r="E46" s="70" t="str">
        <f t="shared" si="2"/>
        <v/>
      </c>
      <c r="F46" s="71" t="str">
        <f t="shared" si="3"/>
        <v/>
      </c>
      <c r="G46" s="26"/>
      <c r="H46" s="26"/>
      <c r="I46" s="26"/>
      <c r="J46" s="26"/>
      <c r="K46" s="26"/>
      <c r="L46" s="26"/>
      <c r="M46" s="26"/>
      <c r="N46" s="26"/>
      <c r="O46" s="26"/>
    </row>
    <row r="47" ht="15.75" customHeight="1">
      <c r="A47" s="20"/>
      <c r="B47" s="21">
        <v>43.0</v>
      </c>
      <c r="C47" s="22" t="s">
        <v>103</v>
      </c>
      <c r="D47" s="22" t="s">
        <v>104</v>
      </c>
      <c r="E47" s="70" t="str">
        <f t="shared" si="2"/>
        <v>9번 중 9번 참여</v>
      </c>
      <c r="F47" s="71">
        <f t="shared" si="3"/>
        <v>1</v>
      </c>
      <c r="G47" s="26" t="s">
        <v>25</v>
      </c>
      <c r="H47" s="26" t="s">
        <v>25</v>
      </c>
      <c r="I47" s="26" t="s">
        <v>25</v>
      </c>
      <c r="J47" s="26" t="s">
        <v>25</v>
      </c>
      <c r="K47" s="26" t="s">
        <v>25</v>
      </c>
      <c r="L47" s="26" t="s">
        <v>25</v>
      </c>
      <c r="M47" s="26" t="s">
        <v>25</v>
      </c>
      <c r="N47" s="26" t="s">
        <v>25</v>
      </c>
      <c r="O47" s="26" t="s">
        <v>25</v>
      </c>
    </row>
    <row r="48" ht="15.75" customHeight="1">
      <c r="A48" s="28"/>
      <c r="B48" s="29">
        <v>44.0</v>
      </c>
      <c r="C48" s="105" t="s">
        <v>353</v>
      </c>
      <c r="D48" s="105" t="s">
        <v>354</v>
      </c>
      <c r="E48" s="70" t="str">
        <f t="shared" si="2"/>
        <v/>
      </c>
      <c r="F48" s="71" t="str">
        <f t="shared" si="3"/>
        <v/>
      </c>
      <c r="G48" s="26"/>
      <c r="H48" s="26"/>
      <c r="I48" s="26"/>
      <c r="J48" s="26"/>
      <c r="K48" s="26"/>
      <c r="L48" s="26"/>
      <c r="M48" s="26"/>
      <c r="N48" s="26"/>
      <c r="O48" s="26"/>
    </row>
    <row r="49" ht="15.75" customHeight="1">
      <c r="A49" s="20"/>
      <c r="B49" s="21">
        <v>45.0</v>
      </c>
      <c r="C49" s="22" t="s">
        <v>286</v>
      </c>
      <c r="D49" s="22" t="s">
        <v>121</v>
      </c>
      <c r="E49" s="70" t="str">
        <f t="shared" si="2"/>
        <v>9번 중 9번 참여</v>
      </c>
      <c r="F49" s="71">
        <f t="shared" si="3"/>
        <v>1</v>
      </c>
      <c r="G49" s="26" t="s">
        <v>25</v>
      </c>
      <c r="H49" s="26" t="s">
        <v>25</v>
      </c>
      <c r="I49" s="26" t="s">
        <v>25</v>
      </c>
      <c r="J49" s="26" t="s">
        <v>25</v>
      </c>
      <c r="K49" s="26" t="s">
        <v>25</v>
      </c>
      <c r="L49" s="26" t="s">
        <v>25</v>
      </c>
      <c r="M49" s="26" t="s">
        <v>25</v>
      </c>
      <c r="N49" s="26" t="s">
        <v>25</v>
      </c>
      <c r="O49" s="26" t="s">
        <v>25</v>
      </c>
    </row>
    <row r="50" ht="15.75" customHeight="1">
      <c r="A50" s="28"/>
      <c r="B50" s="29">
        <v>46.0</v>
      </c>
      <c r="C50" s="30" t="s">
        <v>101</v>
      </c>
      <c r="D50" s="30" t="s">
        <v>102</v>
      </c>
      <c r="E50" s="70" t="str">
        <f t="shared" si="2"/>
        <v>9번 중 9번 참여</v>
      </c>
      <c r="F50" s="71">
        <f t="shared" si="3"/>
        <v>1</v>
      </c>
      <c r="G50" s="26" t="s">
        <v>25</v>
      </c>
      <c r="H50" s="26" t="s">
        <v>25</v>
      </c>
      <c r="I50" s="26" t="s">
        <v>25</v>
      </c>
      <c r="J50" s="26" t="s">
        <v>25</v>
      </c>
      <c r="K50" s="26" t="s">
        <v>25</v>
      </c>
      <c r="L50" s="26" t="s">
        <v>25</v>
      </c>
      <c r="M50" s="26" t="s">
        <v>25</v>
      </c>
      <c r="N50" s="26" t="s">
        <v>25</v>
      </c>
      <c r="O50" s="26" t="s">
        <v>25</v>
      </c>
    </row>
    <row r="51" ht="15.75" customHeight="1">
      <c r="A51" s="20"/>
      <c r="B51" s="21">
        <v>47.0</v>
      </c>
      <c r="C51" s="43" t="s">
        <v>283</v>
      </c>
      <c r="D51" s="80" t="s">
        <v>284</v>
      </c>
      <c r="E51" s="70" t="str">
        <f t="shared" si="2"/>
        <v>9번 중 9번 참여</v>
      </c>
      <c r="F51" s="71">
        <f t="shared" si="3"/>
        <v>1</v>
      </c>
      <c r="G51" s="26" t="s">
        <v>25</v>
      </c>
      <c r="H51" s="26" t="s">
        <v>25</v>
      </c>
      <c r="I51" s="26" t="s">
        <v>25</v>
      </c>
      <c r="J51" s="26" t="s">
        <v>25</v>
      </c>
      <c r="K51" s="26" t="s">
        <v>25</v>
      </c>
      <c r="L51" s="26" t="s">
        <v>25</v>
      </c>
      <c r="M51" s="26" t="s">
        <v>25</v>
      </c>
      <c r="N51" s="26" t="s">
        <v>25</v>
      </c>
      <c r="O51" s="26" t="s">
        <v>25</v>
      </c>
    </row>
    <row r="52" ht="15.75" customHeight="1">
      <c r="A52" s="28"/>
      <c r="B52" s="29">
        <v>48.0</v>
      </c>
      <c r="C52" s="44" t="s">
        <v>126</v>
      </c>
      <c r="D52" s="44" t="s">
        <v>127</v>
      </c>
      <c r="E52" s="70" t="str">
        <f t="shared" si="2"/>
        <v>9번 중 9번 참여</v>
      </c>
      <c r="F52" s="71">
        <f t="shared" si="3"/>
        <v>1</v>
      </c>
      <c r="G52" s="26" t="s">
        <v>25</v>
      </c>
      <c r="H52" s="26" t="s">
        <v>25</v>
      </c>
      <c r="I52" s="26" t="s">
        <v>25</v>
      </c>
      <c r="J52" s="26" t="s">
        <v>25</v>
      </c>
      <c r="K52" s="26" t="s">
        <v>25</v>
      </c>
      <c r="L52" s="26" t="s">
        <v>25</v>
      </c>
      <c r="M52" s="26" t="s">
        <v>25</v>
      </c>
      <c r="N52" s="26" t="s">
        <v>25</v>
      </c>
      <c r="O52" s="26" t="s">
        <v>25</v>
      </c>
    </row>
    <row r="53" ht="15.75" customHeight="1">
      <c r="A53" s="20"/>
      <c r="B53" s="21">
        <v>49.0</v>
      </c>
      <c r="C53" s="22" t="s">
        <v>109</v>
      </c>
      <c r="D53" s="22" t="s">
        <v>110</v>
      </c>
      <c r="E53" s="70" t="str">
        <f t="shared" si="2"/>
        <v>9번 중 8번 참여</v>
      </c>
      <c r="F53" s="71">
        <f t="shared" si="3"/>
        <v>0.8888888889</v>
      </c>
      <c r="G53" s="26" t="s">
        <v>25</v>
      </c>
      <c r="H53" s="26" t="s">
        <v>80</v>
      </c>
      <c r="I53" s="26" t="s">
        <v>25</v>
      </c>
      <c r="J53" s="26" t="s">
        <v>25</v>
      </c>
      <c r="K53" s="26" t="s">
        <v>25</v>
      </c>
      <c r="L53" s="26" t="s">
        <v>25</v>
      </c>
      <c r="M53" s="26" t="s">
        <v>25</v>
      </c>
      <c r="N53" s="26" t="s">
        <v>25</v>
      </c>
      <c r="O53" s="26" t="s">
        <v>25</v>
      </c>
    </row>
    <row r="54" ht="15.75" customHeight="1">
      <c r="A54" s="28"/>
      <c r="B54" s="29">
        <v>50.0</v>
      </c>
      <c r="C54" s="30" t="s">
        <v>111</v>
      </c>
      <c r="D54" s="30" t="s">
        <v>112</v>
      </c>
      <c r="E54" s="70" t="str">
        <f t="shared" si="2"/>
        <v>9번 중 8번 참여</v>
      </c>
      <c r="F54" s="71">
        <f t="shared" si="3"/>
        <v>0.8888888889</v>
      </c>
      <c r="G54" s="26" t="s">
        <v>25</v>
      </c>
      <c r="H54" s="26" t="s">
        <v>25</v>
      </c>
      <c r="I54" s="26" t="s">
        <v>25</v>
      </c>
      <c r="J54" s="26" t="s">
        <v>25</v>
      </c>
      <c r="K54" s="26" t="s">
        <v>25</v>
      </c>
      <c r="L54" s="26" t="s">
        <v>25</v>
      </c>
      <c r="M54" s="26" t="s">
        <v>25</v>
      </c>
      <c r="N54" s="26"/>
      <c r="O54" s="26" t="s">
        <v>25</v>
      </c>
    </row>
    <row r="55" ht="15.75" customHeight="1">
      <c r="A55" s="20"/>
      <c r="B55" s="21">
        <v>51.0</v>
      </c>
      <c r="C55" s="22" t="s">
        <v>113</v>
      </c>
      <c r="D55" s="22" t="s">
        <v>114</v>
      </c>
      <c r="E55" s="70" t="str">
        <f t="shared" si="2"/>
        <v>9번 중 9번 참여</v>
      </c>
      <c r="F55" s="71">
        <f t="shared" si="3"/>
        <v>1</v>
      </c>
      <c r="G55" s="26" t="s">
        <v>25</v>
      </c>
      <c r="H55" s="26" t="s">
        <v>25</v>
      </c>
      <c r="I55" s="26" t="s">
        <v>25</v>
      </c>
      <c r="J55" s="26" t="s">
        <v>25</v>
      </c>
      <c r="K55" s="26" t="s">
        <v>25</v>
      </c>
      <c r="L55" s="26" t="s">
        <v>25</v>
      </c>
      <c r="M55" s="26" t="s">
        <v>25</v>
      </c>
      <c r="N55" s="26" t="s">
        <v>25</v>
      </c>
      <c r="O55" s="26" t="s">
        <v>25</v>
      </c>
    </row>
    <row r="56" ht="15.75" customHeight="1">
      <c r="A56" s="28"/>
      <c r="B56" s="29">
        <v>52.0</v>
      </c>
      <c r="C56" s="30" t="s">
        <v>363</v>
      </c>
      <c r="D56" s="30" t="s">
        <v>364</v>
      </c>
      <c r="E56" s="70" t="str">
        <f t="shared" si="2"/>
        <v>9번 중 1번 참여</v>
      </c>
      <c r="F56" s="71">
        <f t="shared" si="3"/>
        <v>0.1111111111</v>
      </c>
      <c r="G56" s="26"/>
      <c r="H56" s="26"/>
      <c r="I56" s="26"/>
      <c r="J56" s="26"/>
      <c r="K56" s="26"/>
      <c r="L56" s="26"/>
      <c r="M56" s="26"/>
      <c r="N56" s="26"/>
      <c r="O56" s="26" t="s">
        <v>25</v>
      </c>
    </row>
    <row r="57" ht="15.75" customHeight="1">
      <c r="A57" s="20"/>
      <c r="B57" s="21">
        <v>53.0</v>
      </c>
      <c r="C57" s="22" t="s">
        <v>132</v>
      </c>
      <c r="D57" s="22" t="s">
        <v>133</v>
      </c>
      <c r="E57" s="70" t="str">
        <f t="shared" si="2"/>
        <v>9번 중 9번 참여</v>
      </c>
      <c r="F57" s="71">
        <f t="shared" si="3"/>
        <v>1</v>
      </c>
      <c r="G57" s="26" t="s">
        <v>25</v>
      </c>
      <c r="H57" s="26" t="s">
        <v>25</v>
      </c>
      <c r="I57" s="26" t="s">
        <v>25</v>
      </c>
      <c r="J57" s="26" t="s">
        <v>25</v>
      </c>
      <c r="K57" s="26" t="s">
        <v>25</v>
      </c>
      <c r="L57" s="26" t="s">
        <v>25</v>
      </c>
      <c r="M57" s="26" t="s">
        <v>25</v>
      </c>
      <c r="N57" s="26" t="s">
        <v>25</v>
      </c>
      <c r="O57" s="26" t="s">
        <v>25</v>
      </c>
    </row>
    <row r="58" ht="15.75" customHeight="1">
      <c r="A58" s="28" t="s">
        <v>228</v>
      </c>
      <c r="B58" s="29">
        <v>54.0</v>
      </c>
      <c r="C58" s="30" t="s">
        <v>285</v>
      </c>
      <c r="D58" s="30" t="s">
        <v>119</v>
      </c>
      <c r="E58" s="70" t="str">
        <f t="shared" si="2"/>
        <v>9번 중 9번 참여</v>
      </c>
      <c r="F58" s="71">
        <f t="shared" si="3"/>
        <v>1</v>
      </c>
      <c r="G58" s="26" t="s">
        <v>25</v>
      </c>
      <c r="H58" s="26" t="s">
        <v>25</v>
      </c>
      <c r="I58" s="26" t="s">
        <v>25</v>
      </c>
      <c r="J58" s="26" t="s">
        <v>25</v>
      </c>
      <c r="K58" s="26" t="s">
        <v>25</v>
      </c>
      <c r="L58" s="26" t="s">
        <v>25</v>
      </c>
      <c r="M58" s="26" t="s">
        <v>25</v>
      </c>
      <c r="N58" s="26" t="s">
        <v>25</v>
      </c>
      <c r="O58" s="26" t="s">
        <v>25</v>
      </c>
    </row>
    <row r="59" ht="15.75" customHeight="1">
      <c r="A59" s="20"/>
      <c r="B59" s="21">
        <v>55.0</v>
      </c>
      <c r="C59" s="22" t="s">
        <v>365</v>
      </c>
      <c r="D59" s="22" t="s">
        <v>366</v>
      </c>
      <c r="E59" s="70" t="str">
        <f t="shared" si="2"/>
        <v>9번 중 7번 참여</v>
      </c>
      <c r="F59" s="71">
        <f t="shared" si="3"/>
        <v>0.7777777778</v>
      </c>
      <c r="G59" s="26" t="s">
        <v>25</v>
      </c>
      <c r="H59" s="26"/>
      <c r="I59" s="26" t="s">
        <v>25</v>
      </c>
      <c r="J59" s="26" t="s">
        <v>25</v>
      </c>
      <c r="K59" s="26"/>
      <c r="L59" s="26" t="s">
        <v>25</v>
      </c>
      <c r="M59" s="26" t="s">
        <v>25</v>
      </c>
      <c r="N59" s="26" t="s">
        <v>25</v>
      </c>
      <c r="O59" s="26" t="s">
        <v>25</v>
      </c>
    </row>
    <row r="60" ht="15.75" customHeight="1">
      <c r="A60" s="28"/>
      <c r="B60" s="29">
        <v>56.0</v>
      </c>
      <c r="C60" s="42" t="s">
        <v>28</v>
      </c>
      <c r="D60" s="42" t="s">
        <v>70</v>
      </c>
      <c r="E60" s="70" t="str">
        <f t="shared" si="2"/>
        <v>9번 중 9번 참여</v>
      </c>
      <c r="F60" s="71">
        <f t="shared" si="3"/>
        <v>1</v>
      </c>
      <c r="G60" s="26" t="s">
        <v>25</v>
      </c>
      <c r="H60" s="26" t="s">
        <v>25</v>
      </c>
      <c r="I60" s="26" t="s">
        <v>25</v>
      </c>
      <c r="J60" s="26" t="s">
        <v>25</v>
      </c>
      <c r="K60" s="26" t="s">
        <v>25</v>
      </c>
      <c r="L60" s="26" t="s">
        <v>25</v>
      </c>
      <c r="M60" s="26" t="s">
        <v>25</v>
      </c>
      <c r="N60" s="26" t="s">
        <v>25</v>
      </c>
      <c r="O60" s="26" t="s">
        <v>25</v>
      </c>
    </row>
    <row r="61" ht="15.75" customHeight="1">
      <c r="A61" s="20"/>
      <c r="B61" s="21">
        <v>57.0</v>
      </c>
      <c r="C61" s="30" t="s">
        <v>371</v>
      </c>
      <c r="D61" s="30" t="s">
        <v>108</v>
      </c>
      <c r="E61" s="70" t="str">
        <f t="shared" si="2"/>
        <v>9번 중 7번 참여</v>
      </c>
      <c r="F61" s="71">
        <f t="shared" si="3"/>
        <v>0.7777777778</v>
      </c>
      <c r="G61" s="26" t="s">
        <v>25</v>
      </c>
      <c r="H61" s="26" t="s">
        <v>25</v>
      </c>
      <c r="I61" s="26" t="s">
        <v>25</v>
      </c>
      <c r="J61" s="26" t="s">
        <v>25</v>
      </c>
      <c r="K61" s="26" t="s">
        <v>25</v>
      </c>
      <c r="L61" s="26" t="s">
        <v>25</v>
      </c>
      <c r="M61" s="26"/>
      <c r="N61" s="26"/>
      <c r="O61" s="26" t="s">
        <v>25</v>
      </c>
    </row>
    <row r="62" ht="15.75" customHeight="1">
      <c r="A62" s="28"/>
      <c r="B62" s="29">
        <v>58.0</v>
      </c>
      <c r="C62" s="22" t="s">
        <v>138</v>
      </c>
      <c r="D62" s="22" t="s">
        <v>139</v>
      </c>
      <c r="E62" s="70" t="str">
        <f t="shared" si="2"/>
        <v>9번 중 7번 참여</v>
      </c>
      <c r="F62" s="71">
        <f t="shared" si="3"/>
        <v>0.7777777778</v>
      </c>
      <c r="G62" s="26" t="s">
        <v>25</v>
      </c>
      <c r="H62" s="26" t="s">
        <v>25</v>
      </c>
      <c r="I62" s="26" t="s">
        <v>25</v>
      </c>
      <c r="J62" s="26" t="s">
        <v>25</v>
      </c>
      <c r="K62" s="26" t="s">
        <v>25</v>
      </c>
      <c r="L62" s="26" t="s">
        <v>25</v>
      </c>
      <c r="M62" s="26" t="s">
        <v>25</v>
      </c>
      <c r="N62" s="26"/>
      <c r="O62" s="26"/>
    </row>
    <row r="63" ht="15.75" customHeight="1">
      <c r="A63" s="20"/>
      <c r="B63" s="21">
        <v>59.0</v>
      </c>
      <c r="C63" s="30" t="s">
        <v>136</v>
      </c>
      <c r="D63" s="30" t="s">
        <v>137</v>
      </c>
      <c r="E63" s="70" t="str">
        <f t="shared" si="2"/>
        <v>9번 중 7번 참여</v>
      </c>
      <c r="F63" s="71">
        <f t="shared" si="3"/>
        <v>0.7777777778</v>
      </c>
      <c r="G63" s="26" t="s">
        <v>25</v>
      </c>
      <c r="H63" s="26" t="s">
        <v>25</v>
      </c>
      <c r="I63" s="26" t="s">
        <v>25</v>
      </c>
      <c r="J63" s="26" t="s">
        <v>25</v>
      </c>
      <c r="K63" s="26" t="s">
        <v>25</v>
      </c>
      <c r="L63" s="26" t="s">
        <v>25</v>
      </c>
      <c r="M63" s="26" t="s">
        <v>25</v>
      </c>
      <c r="N63" s="26"/>
      <c r="O63" s="26"/>
    </row>
    <row r="64" ht="15.75" customHeight="1">
      <c r="A64" s="28"/>
      <c r="B64" s="29">
        <v>60.0</v>
      </c>
      <c r="C64" s="22" t="s">
        <v>142</v>
      </c>
      <c r="D64" s="22" t="s">
        <v>143</v>
      </c>
      <c r="E64" s="70" t="str">
        <f t="shared" si="2"/>
        <v>9번 중 6번 참여</v>
      </c>
      <c r="F64" s="71">
        <f t="shared" si="3"/>
        <v>0.6666666667</v>
      </c>
      <c r="G64" s="26" t="s">
        <v>25</v>
      </c>
      <c r="H64" s="26" t="s">
        <v>25</v>
      </c>
      <c r="I64" s="26"/>
      <c r="J64" s="26"/>
      <c r="K64" s="26" t="s">
        <v>25</v>
      </c>
      <c r="L64" s="26" t="s">
        <v>25</v>
      </c>
      <c r="M64" s="26"/>
      <c r="N64" s="26" t="s">
        <v>25</v>
      </c>
      <c r="O64" s="26" t="s">
        <v>25</v>
      </c>
    </row>
    <row r="65" ht="15.75" customHeight="1">
      <c r="A65" s="20"/>
      <c r="B65" s="21">
        <v>61.0</v>
      </c>
      <c r="C65" s="30" t="s">
        <v>144</v>
      </c>
      <c r="D65" s="30" t="s">
        <v>145</v>
      </c>
      <c r="E65" s="70" t="str">
        <f t="shared" si="2"/>
        <v>9번 중 7번 참여</v>
      </c>
      <c r="F65" s="71">
        <f t="shared" si="3"/>
        <v>0.7777777778</v>
      </c>
      <c r="G65" s="26" t="s">
        <v>25</v>
      </c>
      <c r="H65" s="26" t="s">
        <v>25</v>
      </c>
      <c r="I65" s="26"/>
      <c r="J65" s="26"/>
      <c r="K65" s="26" t="s">
        <v>25</v>
      </c>
      <c r="L65" s="26" t="s">
        <v>25</v>
      </c>
      <c r="M65" s="26" t="s">
        <v>25</v>
      </c>
      <c r="N65" s="26" t="s">
        <v>25</v>
      </c>
      <c r="O65" s="26" t="s">
        <v>25</v>
      </c>
    </row>
    <row r="66" ht="15.75" customHeight="1">
      <c r="A66" s="28"/>
      <c r="B66" s="29">
        <v>62.0</v>
      </c>
      <c r="C66" s="22" t="s">
        <v>146</v>
      </c>
      <c r="D66" s="22" t="s">
        <v>147</v>
      </c>
      <c r="E66" s="70" t="str">
        <f t="shared" si="2"/>
        <v>9번 중 9번 참여</v>
      </c>
      <c r="F66" s="71">
        <f t="shared" si="3"/>
        <v>1</v>
      </c>
      <c r="G66" s="26" t="s">
        <v>25</v>
      </c>
      <c r="H66" s="26" t="s">
        <v>25</v>
      </c>
      <c r="I66" s="26" t="s">
        <v>25</v>
      </c>
      <c r="J66" s="26" t="s">
        <v>25</v>
      </c>
      <c r="K66" s="26" t="s">
        <v>25</v>
      </c>
      <c r="L66" s="26" t="s">
        <v>25</v>
      </c>
      <c r="M66" s="26" t="s">
        <v>25</v>
      </c>
      <c r="N66" s="26" t="s">
        <v>25</v>
      </c>
      <c r="O66" s="26" t="s">
        <v>25</v>
      </c>
    </row>
    <row r="67" ht="15.75" customHeight="1">
      <c r="A67" s="20"/>
      <c r="B67" s="21">
        <v>63.0</v>
      </c>
      <c r="C67" s="30" t="s">
        <v>148</v>
      </c>
      <c r="D67" s="30" t="s">
        <v>149</v>
      </c>
      <c r="E67" s="70" t="str">
        <f t="shared" si="2"/>
        <v>9번 중 8번 참여</v>
      </c>
      <c r="F67" s="71">
        <f t="shared" si="3"/>
        <v>0.8888888889</v>
      </c>
      <c r="G67" s="26" t="s">
        <v>25</v>
      </c>
      <c r="H67" s="26" t="s">
        <v>25</v>
      </c>
      <c r="I67" s="26" t="s">
        <v>25</v>
      </c>
      <c r="J67" s="26"/>
      <c r="K67" s="26" t="s">
        <v>25</v>
      </c>
      <c r="L67" s="26" t="s">
        <v>25</v>
      </c>
      <c r="M67" s="26" t="s">
        <v>25</v>
      </c>
      <c r="N67" s="26" t="s">
        <v>25</v>
      </c>
      <c r="O67" s="26" t="s">
        <v>25</v>
      </c>
    </row>
    <row r="68" ht="15.75" customHeight="1">
      <c r="A68" s="28"/>
      <c r="B68" s="29">
        <v>64.0</v>
      </c>
      <c r="C68" s="104" t="s">
        <v>186</v>
      </c>
      <c r="D68" s="104" t="s">
        <v>555</v>
      </c>
      <c r="E68" s="70" t="str">
        <f t="shared" si="2"/>
        <v/>
      </c>
      <c r="F68" s="71" t="str">
        <f t="shared" si="3"/>
        <v/>
      </c>
      <c r="G68" s="26"/>
      <c r="H68" s="26"/>
      <c r="I68" s="26"/>
      <c r="J68" s="26"/>
      <c r="K68" s="26"/>
      <c r="L68" s="26"/>
      <c r="M68" s="26"/>
      <c r="N68" s="26"/>
      <c r="O68" s="26"/>
    </row>
    <row r="69" ht="15.75" customHeight="1">
      <c r="A69" s="20"/>
      <c r="B69" s="21">
        <v>65.0</v>
      </c>
      <c r="C69" s="22" t="s">
        <v>140</v>
      </c>
      <c r="D69" s="22" t="s">
        <v>141</v>
      </c>
      <c r="E69" s="70" t="str">
        <f t="shared" si="2"/>
        <v>9번 중 8번 참여</v>
      </c>
      <c r="F69" s="71">
        <f t="shared" si="3"/>
        <v>0.8888888889</v>
      </c>
      <c r="G69" s="26" t="s">
        <v>25</v>
      </c>
      <c r="H69" s="26" t="s">
        <v>25</v>
      </c>
      <c r="I69" s="26" t="s">
        <v>25</v>
      </c>
      <c r="J69" s="26" t="s">
        <v>25</v>
      </c>
      <c r="K69" s="26" t="s">
        <v>25</v>
      </c>
      <c r="L69" s="26"/>
      <c r="M69" s="26" t="s">
        <v>25</v>
      </c>
      <c r="N69" s="26" t="s">
        <v>25</v>
      </c>
      <c r="O69" s="26" t="s">
        <v>25</v>
      </c>
    </row>
    <row r="70" ht="15.75" customHeight="1">
      <c r="A70" s="28"/>
      <c r="B70" s="29">
        <v>66.0</v>
      </c>
      <c r="C70" s="30" t="s">
        <v>150</v>
      </c>
      <c r="D70" s="38" t="s">
        <v>151</v>
      </c>
      <c r="E70" s="70" t="str">
        <f t="shared" si="2"/>
        <v>9번 중 1번 참여</v>
      </c>
      <c r="F70" s="71">
        <f t="shared" si="3"/>
        <v>0.1111111111</v>
      </c>
      <c r="G70" s="26" t="s">
        <v>25</v>
      </c>
      <c r="H70" s="26"/>
      <c r="I70" s="26"/>
      <c r="J70" s="26"/>
      <c r="K70" s="26"/>
      <c r="L70" s="26"/>
      <c r="M70" s="26"/>
      <c r="N70" s="26"/>
      <c r="O70" s="26"/>
    </row>
    <row r="71" ht="15.75" customHeight="1">
      <c r="A71" s="20"/>
      <c r="B71" s="21">
        <v>67.0</v>
      </c>
      <c r="C71" s="22" t="s">
        <v>152</v>
      </c>
      <c r="D71" s="22" t="s">
        <v>153</v>
      </c>
      <c r="E71" s="70" t="str">
        <f t="shared" si="2"/>
        <v>9번 중 7번 참여</v>
      </c>
      <c r="F71" s="71">
        <f t="shared" si="3"/>
        <v>0.7777777778</v>
      </c>
      <c r="G71" s="26" t="s">
        <v>25</v>
      </c>
      <c r="H71" s="26" t="s">
        <v>25</v>
      </c>
      <c r="I71" s="26" t="s">
        <v>25</v>
      </c>
      <c r="J71" s="26"/>
      <c r="K71" s="26" t="s">
        <v>25</v>
      </c>
      <c r="L71" s="26"/>
      <c r="M71" s="26" t="s">
        <v>25</v>
      </c>
      <c r="N71" s="26" t="s">
        <v>25</v>
      </c>
      <c r="O71" s="26" t="s">
        <v>25</v>
      </c>
    </row>
    <row r="72" ht="15.75" customHeight="1">
      <c r="A72" s="28"/>
      <c r="B72" s="29">
        <v>68.0</v>
      </c>
      <c r="C72" s="30" t="s">
        <v>388</v>
      </c>
      <c r="D72" s="30" t="s">
        <v>389</v>
      </c>
      <c r="E72" s="70" t="str">
        <f t="shared" si="2"/>
        <v>9번 중 5번 참여</v>
      </c>
      <c r="F72" s="71">
        <f t="shared" si="3"/>
        <v>0.5555555556</v>
      </c>
      <c r="G72" s="26"/>
      <c r="H72" s="26" t="s">
        <v>25</v>
      </c>
      <c r="I72" s="26" t="s">
        <v>25</v>
      </c>
      <c r="J72" s="26" t="s">
        <v>25</v>
      </c>
      <c r="K72" s="26"/>
      <c r="L72" s="26" t="s">
        <v>25</v>
      </c>
      <c r="M72" s="26" t="s">
        <v>25</v>
      </c>
      <c r="N72" s="26"/>
      <c r="O72" s="26"/>
    </row>
    <row r="73" ht="15.75" customHeight="1">
      <c r="A73" s="20"/>
      <c r="B73" s="21">
        <v>69.0</v>
      </c>
      <c r="C73" s="22" t="s">
        <v>156</v>
      </c>
      <c r="D73" s="22" t="s">
        <v>157</v>
      </c>
      <c r="E73" s="70" t="str">
        <f t="shared" si="2"/>
        <v>9번 중 9번 참여</v>
      </c>
      <c r="F73" s="71">
        <f t="shared" si="3"/>
        <v>1</v>
      </c>
      <c r="G73" s="26" t="s">
        <v>25</v>
      </c>
      <c r="H73" s="26" t="s">
        <v>25</v>
      </c>
      <c r="I73" s="26" t="s">
        <v>25</v>
      </c>
      <c r="J73" s="26" t="s">
        <v>25</v>
      </c>
      <c r="K73" s="26" t="s">
        <v>25</v>
      </c>
      <c r="L73" s="26" t="s">
        <v>25</v>
      </c>
      <c r="M73" s="26" t="s">
        <v>25</v>
      </c>
      <c r="N73" s="26" t="s">
        <v>25</v>
      </c>
      <c r="O73" s="26" t="s">
        <v>25</v>
      </c>
    </row>
    <row r="74" ht="15.75" customHeight="1">
      <c r="A74" s="28"/>
      <c r="B74" s="29">
        <v>70.0</v>
      </c>
      <c r="C74" s="42" t="s">
        <v>158</v>
      </c>
      <c r="D74" s="42" t="s">
        <v>159</v>
      </c>
      <c r="E74" s="70" t="str">
        <f t="shared" si="2"/>
        <v>9번 중 9번 참여</v>
      </c>
      <c r="F74" s="71">
        <f t="shared" si="3"/>
        <v>1</v>
      </c>
      <c r="G74" s="26" t="s">
        <v>25</v>
      </c>
      <c r="H74" s="26" t="s">
        <v>25</v>
      </c>
      <c r="I74" s="26" t="s">
        <v>25</v>
      </c>
      <c r="J74" s="26" t="s">
        <v>25</v>
      </c>
      <c r="K74" s="26" t="s">
        <v>25</v>
      </c>
      <c r="L74" s="26" t="s">
        <v>25</v>
      </c>
      <c r="M74" s="26" t="s">
        <v>25</v>
      </c>
      <c r="N74" s="26" t="s">
        <v>25</v>
      </c>
      <c r="O74" s="26" t="s">
        <v>25</v>
      </c>
    </row>
    <row r="75" ht="15.75" customHeight="1">
      <c r="A75" s="20"/>
      <c r="B75" s="21">
        <v>71.0</v>
      </c>
      <c r="C75" s="42" t="s">
        <v>160</v>
      </c>
      <c r="D75" s="42" t="s">
        <v>161</v>
      </c>
      <c r="E75" s="70" t="str">
        <f t="shared" si="2"/>
        <v>9번 중 9번 참여</v>
      </c>
      <c r="F75" s="71">
        <f t="shared" si="3"/>
        <v>1</v>
      </c>
      <c r="G75" s="26" t="s">
        <v>25</v>
      </c>
      <c r="H75" s="26" t="s">
        <v>25</v>
      </c>
      <c r="I75" s="26" t="s">
        <v>25</v>
      </c>
      <c r="J75" s="26" t="s">
        <v>25</v>
      </c>
      <c r="K75" s="26" t="s">
        <v>25</v>
      </c>
      <c r="L75" s="26" t="s">
        <v>25</v>
      </c>
      <c r="M75" s="26" t="s">
        <v>25</v>
      </c>
      <c r="N75" s="26" t="s">
        <v>25</v>
      </c>
      <c r="O75" s="26" t="s">
        <v>25</v>
      </c>
    </row>
    <row r="76" ht="15.75" customHeight="1">
      <c r="A76" s="28"/>
      <c r="B76" s="29">
        <v>72.0</v>
      </c>
      <c r="C76" s="30" t="s">
        <v>162</v>
      </c>
      <c r="D76" s="30" t="s">
        <v>163</v>
      </c>
      <c r="E76" s="70" t="str">
        <f t="shared" si="2"/>
        <v>9번 중 9번 참여</v>
      </c>
      <c r="F76" s="71">
        <f t="shared" si="3"/>
        <v>1</v>
      </c>
      <c r="G76" s="26" t="s">
        <v>25</v>
      </c>
      <c r="H76" s="26" t="s">
        <v>25</v>
      </c>
      <c r="I76" s="26" t="s">
        <v>25</v>
      </c>
      <c r="J76" s="26" t="s">
        <v>25</v>
      </c>
      <c r="K76" s="26" t="s">
        <v>25</v>
      </c>
      <c r="L76" s="26" t="s">
        <v>25</v>
      </c>
      <c r="M76" s="26" t="s">
        <v>25</v>
      </c>
      <c r="N76" s="26" t="s">
        <v>25</v>
      </c>
      <c r="O76" s="26" t="s">
        <v>25</v>
      </c>
    </row>
    <row r="77" ht="15.75" customHeight="1">
      <c r="A77" s="20"/>
      <c r="B77" s="21">
        <v>73.0</v>
      </c>
      <c r="C77" s="22" t="s">
        <v>164</v>
      </c>
      <c r="D77" s="22" t="s">
        <v>165</v>
      </c>
      <c r="E77" s="70" t="str">
        <f t="shared" si="2"/>
        <v>9번 중 9번 참여</v>
      </c>
      <c r="F77" s="71">
        <f t="shared" si="3"/>
        <v>1</v>
      </c>
      <c r="G77" s="26" t="s">
        <v>25</v>
      </c>
      <c r="H77" s="26" t="s">
        <v>25</v>
      </c>
      <c r="I77" s="26" t="s">
        <v>25</v>
      </c>
      <c r="J77" s="26" t="s">
        <v>25</v>
      </c>
      <c r="K77" s="26" t="s">
        <v>25</v>
      </c>
      <c r="L77" s="26" t="s">
        <v>25</v>
      </c>
      <c r="M77" s="26" t="s">
        <v>25</v>
      </c>
      <c r="N77" s="26" t="s">
        <v>25</v>
      </c>
      <c r="O77" s="26" t="s">
        <v>25</v>
      </c>
    </row>
    <row r="78" ht="15.75" customHeight="1">
      <c r="A78" s="28"/>
      <c r="B78" s="29">
        <v>74.0</v>
      </c>
      <c r="C78" s="42" t="s">
        <v>166</v>
      </c>
      <c r="D78" s="42" t="s">
        <v>167</v>
      </c>
      <c r="E78" s="70" t="str">
        <f t="shared" si="2"/>
        <v>9번 중 8번 참여</v>
      </c>
      <c r="F78" s="71">
        <f t="shared" si="3"/>
        <v>0.8888888889</v>
      </c>
      <c r="G78" s="26" t="s">
        <v>25</v>
      </c>
      <c r="H78" s="26" t="s">
        <v>25</v>
      </c>
      <c r="I78" s="26" t="s">
        <v>25</v>
      </c>
      <c r="J78" s="26" t="s">
        <v>25</v>
      </c>
      <c r="K78" s="26" t="s">
        <v>25</v>
      </c>
      <c r="L78" s="26" t="s">
        <v>25</v>
      </c>
      <c r="M78" s="26" t="s">
        <v>25</v>
      </c>
      <c r="N78" s="26" t="s">
        <v>25</v>
      </c>
      <c r="O78" s="26"/>
    </row>
    <row r="79" ht="15.75" customHeight="1">
      <c r="A79" s="20"/>
      <c r="B79" s="21">
        <v>75.0</v>
      </c>
      <c r="C79" s="105" t="s">
        <v>577</v>
      </c>
      <c r="D79" s="106" t="s">
        <v>558</v>
      </c>
      <c r="E79" s="70" t="str">
        <f t="shared" si="2"/>
        <v/>
      </c>
      <c r="F79" s="71" t="str">
        <f t="shared" si="3"/>
        <v/>
      </c>
      <c r="G79" s="26"/>
      <c r="H79" s="26"/>
      <c r="I79" s="26"/>
      <c r="J79" s="26"/>
      <c r="K79" s="26"/>
      <c r="L79" s="26"/>
      <c r="M79" s="26"/>
      <c r="N79" s="26"/>
      <c r="O79" s="26"/>
    </row>
    <row r="80" ht="15.75" customHeight="1">
      <c r="A80" s="28"/>
      <c r="B80" s="29">
        <v>76.0</v>
      </c>
      <c r="C80" s="30" t="s">
        <v>154</v>
      </c>
      <c r="D80" s="30" t="s">
        <v>155</v>
      </c>
      <c r="E80" s="70" t="str">
        <f t="shared" si="2"/>
        <v>9번 중 9번 참여</v>
      </c>
      <c r="F80" s="71">
        <f t="shared" si="3"/>
        <v>1</v>
      </c>
      <c r="G80" s="26" t="s">
        <v>25</v>
      </c>
      <c r="H80" s="26" t="s">
        <v>25</v>
      </c>
      <c r="I80" s="26" t="s">
        <v>25</v>
      </c>
      <c r="J80" s="26" t="s">
        <v>25</v>
      </c>
      <c r="K80" s="26" t="s">
        <v>25</v>
      </c>
      <c r="L80" s="26" t="s">
        <v>25</v>
      </c>
      <c r="M80" s="26" t="s">
        <v>25</v>
      </c>
      <c r="N80" s="26" t="s">
        <v>25</v>
      </c>
      <c r="O80" s="26" t="s">
        <v>25</v>
      </c>
    </row>
    <row r="81" ht="15.75" customHeight="1">
      <c r="A81" s="20"/>
      <c r="B81" s="21">
        <v>77.0</v>
      </c>
      <c r="C81" s="105" t="s">
        <v>432</v>
      </c>
      <c r="D81" s="105" t="s">
        <v>433</v>
      </c>
      <c r="E81" s="70" t="str">
        <f t="shared" si="2"/>
        <v/>
      </c>
      <c r="F81" s="71" t="str">
        <f t="shared" si="3"/>
        <v/>
      </c>
      <c r="G81" s="26"/>
      <c r="H81" s="26"/>
      <c r="I81" s="26"/>
      <c r="J81" s="26"/>
      <c r="K81" s="26"/>
      <c r="L81" s="26"/>
      <c r="M81" s="26"/>
      <c r="N81" s="26"/>
      <c r="O81" s="26"/>
    </row>
    <row r="82" ht="15.75" customHeight="1">
      <c r="A82" s="28"/>
      <c r="B82" s="29">
        <v>78.0</v>
      </c>
      <c r="C82" s="30" t="s">
        <v>170</v>
      </c>
      <c r="D82" s="30" t="s">
        <v>171</v>
      </c>
      <c r="E82" s="70" t="str">
        <f t="shared" si="2"/>
        <v>9번 중 9번 참여</v>
      </c>
      <c r="F82" s="71">
        <f t="shared" si="3"/>
        <v>1</v>
      </c>
      <c r="G82" s="26" t="s">
        <v>25</v>
      </c>
      <c r="H82" s="26" t="s">
        <v>25</v>
      </c>
      <c r="I82" s="26" t="s">
        <v>25</v>
      </c>
      <c r="J82" s="26" t="s">
        <v>25</v>
      </c>
      <c r="K82" s="26" t="s">
        <v>25</v>
      </c>
      <c r="L82" s="26" t="s">
        <v>25</v>
      </c>
      <c r="M82" s="26" t="s">
        <v>25</v>
      </c>
      <c r="N82" s="26" t="s">
        <v>25</v>
      </c>
      <c r="O82" s="26" t="s">
        <v>25</v>
      </c>
    </row>
    <row r="83" ht="15.75" customHeight="1">
      <c r="A83" s="20"/>
      <c r="B83" s="21">
        <v>79.0</v>
      </c>
      <c r="C83" s="22" t="s">
        <v>172</v>
      </c>
      <c r="D83" s="22" t="s">
        <v>173</v>
      </c>
      <c r="E83" s="70" t="str">
        <f t="shared" si="2"/>
        <v>9번 중 9번 참여</v>
      </c>
      <c r="F83" s="71">
        <f t="shared" si="3"/>
        <v>1</v>
      </c>
      <c r="G83" s="26" t="s">
        <v>25</v>
      </c>
      <c r="H83" s="26" t="s">
        <v>25</v>
      </c>
      <c r="I83" s="26" t="s">
        <v>25</v>
      </c>
      <c r="J83" s="26" t="s">
        <v>25</v>
      </c>
      <c r="K83" s="26" t="s">
        <v>25</v>
      </c>
      <c r="L83" s="26" t="s">
        <v>25</v>
      </c>
      <c r="M83" s="26" t="s">
        <v>25</v>
      </c>
      <c r="N83" s="26" t="s">
        <v>25</v>
      </c>
      <c r="O83" s="26" t="s">
        <v>25</v>
      </c>
    </row>
    <row r="84" ht="15.75" customHeight="1">
      <c r="A84" s="28"/>
      <c r="B84" s="29">
        <v>80.0</v>
      </c>
      <c r="C84" s="42" t="s">
        <v>345</v>
      </c>
      <c r="D84" s="42" t="s">
        <v>578</v>
      </c>
      <c r="E84" s="70" t="str">
        <f t="shared" si="2"/>
        <v/>
      </c>
      <c r="F84" s="71" t="str">
        <f t="shared" si="3"/>
        <v/>
      </c>
      <c r="G84" s="26"/>
      <c r="H84" s="26"/>
      <c r="I84" s="26"/>
      <c r="J84" s="26"/>
      <c r="K84" s="26"/>
      <c r="L84" s="26"/>
      <c r="M84" s="26"/>
      <c r="N84" s="26"/>
      <c r="O84" s="26"/>
    </row>
    <row r="85" ht="15.75" customHeight="1">
      <c r="A85" s="20"/>
      <c r="B85" s="21">
        <v>81.0</v>
      </c>
      <c r="C85" s="82" t="s">
        <v>115</v>
      </c>
      <c r="D85" s="82" t="s">
        <v>579</v>
      </c>
      <c r="E85" s="70" t="str">
        <f t="shared" si="2"/>
        <v/>
      </c>
      <c r="F85" s="71" t="str">
        <f t="shared" si="3"/>
        <v/>
      </c>
      <c r="G85" s="26"/>
      <c r="H85" s="26"/>
      <c r="I85" s="26"/>
      <c r="J85" s="26"/>
      <c r="K85" s="26"/>
      <c r="L85" s="26"/>
      <c r="M85" s="26"/>
      <c r="N85" s="26"/>
      <c r="O85" s="26"/>
    </row>
    <row r="86" ht="15.75" customHeight="1">
      <c r="A86" s="28"/>
      <c r="B86" s="29">
        <v>82.0</v>
      </c>
      <c r="C86" s="30" t="s">
        <v>174</v>
      </c>
      <c r="D86" s="38" t="s">
        <v>175</v>
      </c>
      <c r="E86" s="70" t="str">
        <f t="shared" si="2"/>
        <v>9번 중 4번 참여</v>
      </c>
      <c r="F86" s="71">
        <f t="shared" si="3"/>
        <v>0.4444444444</v>
      </c>
      <c r="G86" s="26"/>
      <c r="H86" s="26" t="s">
        <v>25</v>
      </c>
      <c r="I86" s="26"/>
      <c r="J86" s="26" t="s">
        <v>25</v>
      </c>
      <c r="K86" s="26" t="s">
        <v>25</v>
      </c>
      <c r="L86" s="26"/>
      <c r="M86" s="26" t="s">
        <v>25</v>
      </c>
      <c r="N86" s="26"/>
      <c r="O86" s="26"/>
    </row>
    <row r="87" ht="15.75" customHeight="1">
      <c r="A87" s="20"/>
      <c r="B87" s="21">
        <v>83.0</v>
      </c>
      <c r="C87" s="22" t="s">
        <v>168</v>
      </c>
      <c r="D87" s="22" t="s">
        <v>169</v>
      </c>
      <c r="E87" s="70" t="str">
        <f t="shared" si="2"/>
        <v>9번 중 7번 참여</v>
      </c>
      <c r="F87" s="71">
        <f t="shared" si="3"/>
        <v>0.7777777778</v>
      </c>
      <c r="G87" s="26" t="s">
        <v>25</v>
      </c>
      <c r="H87" s="26"/>
      <c r="I87" s="26" t="s">
        <v>25</v>
      </c>
      <c r="J87" s="26" t="s">
        <v>25</v>
      </c>
      <c r="K87" s="26" t="s">
        <v>25</v>
      </c>
      <c r="L87" s="26"/>
      <c r="M87" s="26" t="s">
        <v>25</v>
      </c>
      <c r="N87" s="26" t="s">
        <v>25</v>
      </c>
      <c r="O87" s="26" t="s">
        <v>25</v>
      </c>
    </row>
    <row r="88" ht="15.75" customHeight="1">
      <c r="A88" s="28"/>
      <c r="B88" s="29">
        <v>84.0</v>
      </c>
      <c r="C88" s="30" t="s">
        <v>580</v>
      </c>
      <c r="D88" s="30" t="s">
        <v>581</v>
      </c>
      <c r="E88" s="70" t="str">
        <f t="shared" si="2"/>
        <v/>
      </c>
      <c r="F88" s="71" t="str">
        <f t="shared" si="3"/>
        <v/>
      </c>
      <c r="G88" s="26"/>
      <c r="H88" s="26"/>
      <c r="I88" s="26"/>
      <c r="J88" s="26"/>
      <c r="K88" s="26"/>
      <c r="L88" s="26"/>
      <c r="M88" s="26"/>
      <c r="N88" s="26"/>
      <c r="O88" s="26"/>
    </row>
    <row r="89" ht="15.75" customHeight="1">
      <c r="A89" s="20"/>
      <c r="B89" s="21">
        <v>85.0</v>
      </c>
      <c r="C89" s="39" t="s">
        <v>176</v>
      </c>
      <c r="D89" s="39" t="s">
        <v>177</v>
      </c>
      <c r="E89" s="70" t="str">
        <f t="shared" si="2"/>
        <v>9번 중 9번 참여</v>
      </c>
      <c r="F89" s="71">
        <f t="shared" si="3"/>
        <v>1</v>
      </c>
      <c r="G89" s="26" t="s">
        <v>25</v>
      </c>
      <c r="H89" s="26" t="s">
        <v>25</v>
      </c>
      <c r="I89" s="26" t="s">
        <v>25</v>
      </c>
      <c r="J89" s="26" t="s">
        <v>25</v>
      </c>
      <c r="K89" s="26" t="s">
        <v>25</v>
      </c>
      <c r="L89" s="26" t="s">
        <v>25</v>
      </c>
      <c r="M89" s="26" t="s">
        <v>25</v>
      </c>
      <c r="N89" s="26" t="s">
        <v>25</v>
      </c>
      <c r="O89" s="26" t="s">
        <v>25</v>
      </c>
    </row>
    <row r="90" ht="15.75" customHeight="1">
      <c r="A90" s="28"/>
      <c r="B90" s="29">
        <v>86.0</v>
      </c>
      <c r="C90" s="30" t="s">
        <v>178</v>
      </c>
      <c r="D90" s="30" t="s">
        <v>179</v>
      </c>
      <c r="E90" s="70" t="str">
        <f t="shared" si="2"/>
        <v>9번 중 9번 참여</v>
      </c>
      <c r="F90" s="71">
        <f t="shared" si="3"/>
        <v>1</v>
      </c>
      <c r="G90" s="26" t="s">
        <v>25</v>
      </c>
      <c r="H90" s="26" t="s">
        <v>25</v>
      </c>
      <c r="I90" s="26" t="s">
        <v>25</v>
      </c>
      <c r="J90" s="26" t="s">
        <v>25</v>
      </c>
      <c r="K90" s="26" t="s">
        <v>25</v>
      </c>
      <c r="L90" s="26" t="s">
        <v>25</v>
      </c>
      <c r="M90" s="26" t="s">
        <v>25</v>
      </c>
      <c r="N90" s="26" t="s">
        <v>25</v>
      </c>
      <c r="O90" s="26" t="s">
        <v>25</v>
      </c>
    </row>
    <row r="91" ht="15.75" customHeight="1">
      <c r="A91" s="20"/>
      <c r="B91" s="21">
        <v>87.0</v>
      </c>
      <c r="C91" s="198" t="s">
        <v>180</v>
      </c>
      <c r="D91" s="198" t="s">
        <v>181</v>
      </c>
      <c r="E91" s="70" t="str">
        <f t="shared" si="2"/>
        <v>9번 중 9번 참여</v>
      </c>
      <c r="F91" s="71">
        <f t="shared" si="3"/>
        <v>1</v>
      </c>
      <c r="G91" s="26" t="s">
        <v>25</v>
      </c>
      <c r="H91" s="26" t="s">
        <v>25</v>
      </c>
      <c r="I91" s="26" t="s">
        <v>25</v>
      </c>
      <c r="J91" s="26" t="s">
        <v>25</v>
      </c>
      <c r="K91" s="26" t="s">
        <v>25</v>
      </c>
      <c r="L91" s="26" t="s">
        <v>25</v>
      </c>
      <c r="M91" s="26" t="s">
        <v>25</v>
      </c>
      <c r="N91" s="26" t="s">
        <v>25</v>
      </c>
      <c r="O91" s="26" t="s">
        <v>25</v>
      </c>
    </row>
    <row r="92" ht="15.75" customHeight="1">
      <c r="A92" s="28"/>
      <c r="B92" s="29">
        <v>88.0</v>
      </c>
      <c r="C92" s="168" t="s">
        <v>462</v>
      </c>
      <c r="D92" s="205" t="s">
        <v>463</v>
      </c>
      <c r="E92" s="70" t="str">
        <f t="shared" si="2"/>
        <v>9번 중 5번 참여</v>
      </c>
      <c r="F92" s="71">
        <f t="shared" si="3"/>
        <v>0.5555555556</v>
      </c>
      <c r="G92" s="26" t="s">
        <v>25</v>
      </c>
      <c r="H92" s="26" t="s">
        <v>25</v>
      </c>
      <c r="I92" s="26" t="s">
        <v>25</v>
      </c>
      <c r="J92" s="26" t="s">
        <v>25</v>
      </c>
      <c r="K92" s="26"/>
      <c r="L92" s="26"/>
      <c r="M92" s="26" t="s">
        <v>25</v>
      </c>
      <c r="N92" s="26"/>
      <c r="O92" s="26"/>
    </row>
    <row r="93" ht="15.75" customHeight="1">
      <c r="A93" s="20"/>
      <c r="B93" s="21">
        <v>89.0</v>
      </c>
      <c r="C93" s="167" t="s">
        <v>464</v>
      </c>
      <c r="D93" s="199" t="s">
        <v>465</v>
      </c>
      <c r="E93" s="70" t="str">
        <f t="shared" si="2"/>
        <v>9번 중 4번 참여</v>
      </c>
      <c r="F93" s="71">
        <f t="shared" si="3"/>
        <v>0.4444444444</v>
      </c>
      <c r="G93" s="26" t="s">
        <v>25</v>
      </c>
      <c r="H93" s="26" t="s">
        <v>25</v>
      </c>
      <c r="I93" s="26" t="s">
        <v>25</v>
      </c>
      <c r="J93" s="26"/>
      <c r="K93" s="26" t="s">
        <v>25</v>
      </c>
      <c r="L93" s="26"/>
      <c r="M93" s="26"/>
      <c r="N93" s="26"/>
      <c r="O93" s="26"/>
    </row>
    <row r="94" ht="15.75" customHeight="1">
      <c r="A94" s="28"/>
      <c r="B94" s="29">
        <v>90.0</v>
      </c>
      <c r="C94" s="39" t="s">
        <v>493</v>
      </c>
      <c r="D94" s="39" t="s">
        <v>494</v>
      </c>
      <c r="E94" s="70" t="str">
        <f t="shared" si="2"/>
        <v>9번 중 1번 참여</v>
      </c>
      <c r="F94" s="71">
        <f t="shared" si="3"/>
        <v>0.1111111111</v>
      </c>
      <c r="G94" s="26" t="s">
        <v>25</v>
      </c>
      <c r="H94" s="26"/>
      <c r="I94" s="26"/>
      <c r="J94" s="26"/>
      <c r="K94" s="26"/>
      <c r="L94" s="26"/>
      <c r="M94" s="26"/>
      <c r="N94" s="26"/>
      <c r="O94" s="26"/>
    </row>
    <row r="95" ht="15.75" customHeight="1">
      <c r="A95" s="20"/>
      <c r="B95" s="21">
        <v>91.0</v>
      </c>
      <c r="C95" s="167" t="s">
        <v>182</v>
      </c>
      <c r="D95" s="167" t="s">
        <v>183</v>
      </c>
      <c r="E95" s="70" t="str">
        <f t="shared" si="2"/>
        <v>9번 중 7번 참여</v>
      </c>
      <c r="F95" s="71">
        <f t="shared" si="3"/>
        <v>0.7777777778</v>
      </c>
      <c r="G95" s="26" t="s">
        <v>25</v>
      </c>
      <c r="H95" s="26" t="s">
        <v>25</v>
      </c>
      <c r="I95" s="26" t="s">
        <v>25</v>
      </c>
      <c r="J95" s="26" t="s">
        <v>25</v>
      </c>
      <c r="K95" s="26" t="s">
        <v>25</v>
      </c>
      <c r="L95" s="26" t="s">
        <v>25</v>
      </c>
      <c r="M95" s="26" t="s">
        <v>25</v>
      </c>
      <c r="N95" s="26"/>
      <c r="O95" s="26"/>
    </row>
    <row r="96" ht="15.75" customHeight="1">
      <c r="A96" s="28"/>
      <c r="B96" s="29">
        <v>92.0</v>
      </c>
      <c r="C96" s="168" t="s">
        <v>491</v>
      </c>
      <c r="D96" s="201" t="s">
        <v>492</v>
      </c>
      <c r="E96" s="70" t="str">
        <f t="shared" si="2"/>
        <v>9번 중 9번 참여</v>
      </c>
      <c r="F96" s="71">
        <f t="shared" si="3"/>
        <v>1</v>
      </c>
      <c r="G96" s="26" t="s">
        <v>25</v>
      </c>
      <c r="H96" s="26" t="s">
        <v>25</v>
      </c>
      <c r="I96" s="26" t="s">
        <v>25</v>
      </c>
      <c r="J96" s="26" t="s">
        <v>25</v>
      </c>
      <c r="K96" s="26" t="s">
        <v>25</v>
      </c>
      <c r="L96" s="26" t="s">
        <v>25</v>
      </c>
      <c r="M96" s="26" t="s">
        <v>25</v>
      </c>
      <c r="N96" s="26" t="s">
        <v>25</v>
      </c>
      <c r="O96" s="26" t="s">
        <v>25</v>
      </c>
    </row>
    <row r="97" ht="15.75" customHeight="1">
      <c r="A97" s="20"/>
      <c r="B97" s="21">
        <v>93.0</v>
      </c>
      <c r="C97" s="43" t="s">
        <v>184</v>
      </c>
      <c r="D97" s="187" t="s">
        <v>582</v>
      </c>
      <c r="E97" s="70" t="str">
        <f t="shared" si="2"/>
        <v>9번 중 9번 참여</v>
      </c>
      <c r="F97" s="71">
        <f t="shared" si="3"/>
        <v>1</v>
      </c>
      <c r="G97" s="26" t="s">
        <v>25</v>
      </c>
      <c r="H97" s="26" t="s">
        <v>25</v>
      </c>
      <c r="I97" s="26" t="s">
        <v>25</v>
      </c>
      <c r="J97" s="26" t="s">
        <v>25</v>
      </c>
      <c r="K97" s="26" t="s">
        <v>25</v>
      </c>
      <c r="L97" s="26" t="s">
        <v>25</v>
      </c>
      <c r="M97" s="26" t="s">
        <v>25</v>
      </c>
      <c r="N97" s="26" t="s">
        <v>25</v>
      </c>
      <c r="O97" s="26" t="s">
        <v>25</v>
      </c>
    </row>
    <row r="98" ht="15.75" customHeight="1">
      <c r="A98" s="28"/>
      <c r="B98" s="29">
        <v>94.0</v>
      </c>
      <c r="C98" s="86" t="s">
        <v>583</v>
      </c>
      <c r="D98" s="44" t="s">
        <v>127</v>
      </c>
      <c r="E98" s="70" t="str">
        <f t="shared" si="2"/>
        <v/>
      </c>
      <c r="F98" s="71" t="str">
        <f t="shared" si="3"/>
        <v/>
      </c>
      <c r="G98" s="26"/>
      <c r="H98" s="26"/>
      <c r="I98" s="26"/>
      <c r="J98" s="26"/>
      <c r="K98" s="26"/>
      <c r="L98" s="26"/>
      <c r="M98" s="26"/>
      <c r="N98" s="26"/>
      <c r="O98" s="26"/>
    </row>
    <row r="99" ht="15.75" customHeight="1">
      <c r="A99" s="20"/>
      <c r="B99" s="21">
        <v>95.0</v>
      </c>
      <c r="C99" s="39" t="s">
        <v>584</v>
      </c>
      <c r="D99" s="39" t="s">
        <v>90</v>
      </c>
      <c r="E99" s="70" t="str">
        <f t="shared" si="2"/>
        <v/>
      </c>
      <c r="F99" s="71" t="str">
        <f t="shared" si="3"/>
        <v/>
      </c>
      <c r="G99" s="26"/>
      <c r="H99" s="26"/>
      <c r="I99" s="26"/>
      <c r="J99" s="26"/>
      <c r="K99" s="26"/>
      <c r="L99" s="26"/>
      <c r="M99" s="26"/>
      <c r="N99" s="26"/>
      <c r="O99" s="26"/>
    </row>
    <row r="100" ht="15.75" customHeight="1">
      <c r="A100" s="28"/>
      <c r="B100" s="29">
        <v>96.0</v>
      </c>
      <c r="C100" s="42" t="s">
        <v>585</v>
      </c>
      <c r="D100" s="42" t="s">
        <v>556</v>
      </c>
      <c r="E100" s="70" t="str">
        <f t="shared" si="2"/>
        <v/>
      </c>
      <c r="F100" s="71" t="str">
        <f t="shared" si="3"/>
        <v/>
      </c>
      <c r="G100" s="26"/>
      <c r="H100" s="26"/>
      <c r="I100" s="26"/>
      <c r="J100" s="26"/>
      <c r="K100" s="26"/>
      <c r="L100" s="26"/>
      <c r="M100" s="26"/>
      <c r="N100" s="26"/>
      <c r="O100" s="26"/>
    </row>
    <row r="101" ht="15.75" customHeight="1">
      <c r="A101" s="20"/>
      <c r="B101" s="21">
        <v>97.0</v>
      </c>
      <c r="C101" s="39" t="s">
        <v>586</v>
      </c>
      <c r="D101" s="39" t="s">
        <v>494</v>
      </c>
      <c r="E101" s="70" t="str">
        <f t="shared" si="2"/>
        <v/>
      </c>
      <c r="F101" s="71" t="str">
        <f t="shared" si="3"/>
        <v/>
      </c>
      <c r="G101" s="26"/>
      <c r="H101" s="26"/>
      <c r="I101" s="26"/>
      <c r="J101" s="26"/>
      <c r="K101" s="26"/>
      <c r="L101" s="26"/>
      <c r="M101" s="26"/>
      <c r="N101" s="26"/>
      <c r="O101" s="26"/>
    </row>
    <row r="102" ht="15.75" customHeight="1">
      <c r="A102" s="28"/>
      <c r="B102" s="29">
        <v>98.0</v>
      </c>
      <c r="C102" s="202" t="s">
        <v>134</v>
      </c>
      <c r="D102" s="202" t="s">
        <v>431</v>
      </c>
      <c r="E102" s="70" t="str">
        <f t="shared" si="2"/>
        <v>9번 중 9번 참여</v>
      </c>
      <c r="F102" s="71">
        <f t="shared" si="3"/>
        <v>1</v>
      </c>
      <c r="G102" s="26" t="s">
        <v>25</v>
      </c>
      <c r="H102" s="26" t="s">
        <v>25</v>
      </c>
      <c r="I102" s="26" t="s">
        <v>25</v>
      </c>
      <c r="J102" s="26" t="s">
        <v>25</v>
      </c>
      <c r="K102" s="26" t="s">
        <v>25</v>
      </c>
      <c r="L102" s="26" t="s">
        <v>25</v>
      </c>
      <c r="M102" s="26" t="s">
        <v>25</v>
      </c>
      <c r="N102" s="26" t="s">
        <v>25</v>
      </c>
      <c r="O102" s="26" t="s">
        <v>25</v>
      </c>
    </row>
    <row r="103" ht="15.75" customHeight="1">
      <c r="A103" s="20"/>
      <c r="B103" s="21">
        <v>99.0</v>
      </c>
      <c r="C103" s="33"/>
      <c r="D103" s="33"/>
      <c r="E103" s="70" t="str">
        <f t="shared" si="2"/>
        <v/>
      </c>
      <c r="F103" s="71" t="str">
        <f t="shared" si="3"/>
        <v/>
      </c>
      <c r="G103" s="26"/>
      <c r="H103" s="26"/>
      <c r="I103" s="26"/>
      <c r="J103" s="26"/>
      <c r="K103" s="26"/>
      <c r="L103" s="26"/>
      <c r="M103" s="26"/>
      <c r="N103" s="26"/>
      <c r="O103" s="26"/>
    </row>
    <row r="104" ht="15.75" customHeight="1">
      <c r="A104" s="28"/>
      <c r="B104" s="29">
        <v>100.0</v>
      </c>
      <c r="C104" s="35"/>
      <c r="D104" s="35"/>
      <c r="E104" s="70" t="str">
        <f t="shared" si="2"/>
        <v/>
      </c>
      <c r="F104" s="71" t="str">
        <f t="shared" si="3"/>
        <v/>
      </c>
      <c r="G104" s="26"/>
      <c r="H104" s="26"/>
      <c r="I104" s="26"/>
      <c r="J104" s="26"/>
      <c r="K104" s="26"/>
      <c r="L104" s="26"/>
      <c r="M104" s="26"/>
      <c r="N104" s="26"/>
      <c r="O104" s="26"/>
    </row>
    <row r="105" ht="15.75" customHeight="1">
      <c r="A105" s="20"/>
      <c r="B105" s="21">
        <v>101.0</v>
      </c>
      <c r="C105" s="33"/>
      <c r="D105" s="33"/>
      <c r="E105" s="70" t="str">
        <f t="shared" si="2"/>
        <v/>
      </c>
      <c r="F105" s="71" t="str">
        <f t="shared" si="3"/>
        <v/>
      </c>
      <c r="G105" s="26"/>
      <c r="H105" s="26"/>
      <c r="I105" s="26"/>
      <c r="J105" s="26"/>
      <c r="K105" s="26"/>
      <c r="L105" s="26"/>
      <c r="M105" s="26"/>
      <c r="N105" s="26"/>
      <c r="O105" s="26"/>
    </row>
    <row r="106" ht="15.75" customHeight="1">
      <c r="A106" s="28"/>
      <c r="B106" s="29">
        <v>102.0</v>
      </c>
      <c r="C106" s="35"/>
      <c r="D106" s="35"/>
      <c r="E106" s="70" t="str">
        <f t="shared" si="2"/>
        <v/>
      </c>
      <c r="F106" s="71" t="str">
        <f t="shared" si="3"/>
        <v/>
      </c>
      <c r="G106" s="26"/>
      <c r="H106" s="26"/>
      <c r="I106" s="26"/>
      <c r="J106" s="26"/>
      <c r="K106" s="26"/>
      <c r="L106" s="26"/>
      <c r="M106" s="26"/>
      <c r="N106" s="26"/>
      <c r="O106" s="26"/>
    </row>
    <row r="107" ht="15.75" customHeight="1">
      <c r="A107" s="20"/>
      <c r="B107" s="21">
        <v>103.0</v>
      </c>
      <c r="C107" s="33"/>
      <c r="D107" s="33"/>
      <c r="E107" s="70" t="str">
        <f t="shared" si="2"/>
        <v/>
      </c>
      <c r="F107" s="71" t="str">
        <f t="shared" si="3"/>
        <v/>
      </c>
      <c r="G107" s="26"/>
      <c r="H107" s="26"/>
      <c r="I107" s="26"/>
      <c r="J107" s="26"/>
      <c r="K107" s="26"/>
      <c r="L107" s="26"/>
      <c r="M107" s="26"/>
      <c r="N107" s="26"/>
      <c r="O107" s="26"/>
    </row>
    <row r="108" ht="15.75" customHeight="1">
      <c r="A108" s="28"/>
      <c r="B108" s="29">
        <v>104.0</v>
      </c>
      <c r="C108" s="35"/>
      <c r="D108" s="35"/>
      <c r="E108" s="70" t="str">
        <f t="shared" si="2"/>
        <v/>
      </c>
      <c r="F108" s="71" t="str">
        <f t="shared" si="3"/>
        <v/>
      </c>
      <c r="G108" s="26"/>
      <c r="H108" s="26"/>
      <c r="I108" s="26"/>
      <c r="J108" s="26"/>
      <c r="K108" s="26"/>
      <c r="L108" s="26"/>
      <c r="M108" s="26"/>
      <c r="N108" s="26"/>
      <c r="O108" s="26"/>
    </row>
    <row r="109" ht="15.75" customHeight="1">
      <c r="A109" s="20"/>
      <c r="B109" s="21">
        <v>105.0</v>
      </c>
      <c r="C109" s="33"/>
      <c r="D109" s="33"/>
      <c r="E109" s="70" t="str">
        <f t="shared" si="2"/>
        <v/>
      </c>
      <c r="F109" s="71" t="str">
        <f t="shared" si="3"/>
        <v/>
      </c>
      <c r="G109" s="26"/>
      <c r="H109" s="26"/>
      <c r="I109" s="26"/>
      <c r="J109" s="26"/>
      <c r="K109" s="26"/>
      <c r="L109" s="26"/>
      <c r="M109" s="26"/>
      <c r="N109" s="26"/>
      <c r="O109" s="26"/>
    </row>
    <row r="110" ht="15.75" customHeight="1">
      <c r="A110" s="28"/>
      <c r="B110" s="29">
        <v>106.0</v>
      </c>
      <c r="C110" s="35"/>
      <c r="D110" s="35"/>
      <c r="E110" s="70" t="str">
        <f t="shared" si="2"/>
        <v/>
      </c>
      <c r="F110" s="71" t="str">
        <f t="shared" si="3"/>
        <v/>
      </c>
      <c r="G110" s="26"/>
      <c r="H110" s="26"/>
      <c r="I110" s="26"/>
      <c r="J110" s="26"/>
      <c r="K110" s="26"/>
      <c r="L110" s="26"/>
      <c r="M110" s="26"/>
      <c r="N110" s="26"/>
      <c r="O110" s="26"/>
    </row>
    <row r="111" ht="15.75" customHeight="1">
      <c r="A111" s="20"/>
      <c r="B111" s="21">
        <v>107.0</v>
      </c>
      <c r="C111" s="33"/>
      <c r="D111" s="33"/>
      <c r="E111" s="70" t="str">
        <f t="shared" si="2"/>
        <v/>
      </c>
      <c r="F111" s="71" t="str">
        <f t="shared" si="3"/>
        <v/>
      </c>
      <c r="G111" s="26"/>
      <c r="H111" s="26"/>
      <c r="I111" s="26"/>
      <c r="J111" s="26"/>
      <c r="K111" s="26"/>
      <c r="L111" s="26"/>
      <c r="M111" s="26"/>
      <c r="N111" s="26"/>
      <c r="O111" s="26"/>
    </row>
    <row r="112" ht="15.75" customHeight="1">
      <c r="A112" s="28"/>
      <c r="B112" s="29">
        <v>108.0</v>
      </c>
      <c r="C112" s="35"/>
      <c r="D112" s="35"/>
      <c r="E112" s="70" t="str">
        <f t="shared" si="2"/>
        <v/>
      </c>
      <c r="F112" s="71" t="str">
        <f t="shared" si="3"/>
        <v/>
      </c>
      <c r="G112" s="26"/>
      <c r="H112" s="26"/>
      <c r="I112" s="26"/>
      <c r="J112" s="26"/>
      <c r="K112" s="26"/>
      <c r="L112" s="26"/>
      <c r="M112" s="26"/>
      <c r="N112" s="26"/>
      <c r="O112" s="26"/>
    </row>
    <row r="113" ht="15.75" customHeight="1">
      <c r="A113" s="20"/>
      <c r="B113" s="21">
        <v>109.0</v>
      </c>
      <c r="C113" s="33"/>
      <c r="D113" s="33"/>
      <c r="E113" s="70" t="str">
        <f t="shared" si="2"/>
        <v/>
      </c>
      <c r="F113" s="71" t="str">
        <f t="shared" si="3"/>
        <v/>
      </c>
      <c r="G113" s="26"/>
      <c r="H113" s="26"/>
      <c r="I113" s="26"/>
      <c r="J113" s="26"/>
      <c r="K113" s="26"/>
      <c r="L113" s="26"/>
      <c r="M113" s="26"/>
      <c r="N113" s="26"/>
      <c r="O113" s="26"/>
    </row>
    <row r="114" ht="15.75" customHeight="1">
      <c r="A114" s="28"/>
      <c r="B114" s="29">
        <v>110.0</v>
      </c>
      <c r="C114" s="35"/>
      <c r="D114" s="35"/>
      <c r="E114" s="70" t="str">
        <f t="shared" si="2"/>
        <v/>
      </c>
      <c r="F114" s="71" t="str">
        <f t="shared" si="3"/>
        <v/>
      </c>
      <c r="G114" s="26"/>
      <c r="H114" s="26"/>
      <c r="I114" s="26"/>
      <c r="J114" s="26"/>
      <c r="K114" s="26"/>
      <c r="L114" s="26"/>
      <c r="M114" s="26"/>
      <c r="N114" s="26"/>
      <c r="O114" s="26"/>
    </row>
    <row r="115" ht="15.75" customHeight="1">
      <c r="A115" s="20"/>
      <c r="B115" s="21">
        <v>111.0</v>
      </c>
      <c r="C115" s="33"/>
      <c r="D115" s="33"/>
      <c r="E115" s="70" t="str">
        <f t="shared" si="2"/>
        <v/>
      </c>
      <c r="F115" s="71" t="str">
        <f t="shared" si="3"/>
        <v/>
      </c>
      <c r="G115" s="26"/>
      <c r="H115" s="26"/>
      <c r="I115" s="26"/>
      <c r="J115" s="26"/>
      <c r="K115" s="26"/>
      <c r="L115" s="26"/>
      <c r="M115" s="26"/>
      <c r="N115" s="26"/>
      <c r="O115" s="26"/>
    </row>
    <row r="116" ht="15.75" customHeight="1">
      <c r="A116" s="28"/>
      <c r="B116" s="29">
        <v>112.0</v>
      </c>
      <c r="C116" s="35"/>
      <c r="D116" s="35"/>
      <c r="E116" s="70" t="str">
        <f t="shared" si="2"/>
        <v/>
      </c>
      <c r="F116" s="71" t="str">
        <f t="shared" si="3"/>
        <v/>
      </c>
      <c r="G116" s="26"/>
      <c r="H116" s="26"/>
      <c r="I116" s="26"/>
      <c r="J116" s="26"/>
      <c r="K116" s="26"/>
      <c r="L116" s="26"/>
      <c r="M116" s="26"/>
      <c r="N116" s="26"/>
      <c r="O116" s="26"/>
    </row>
    <row r="117" ht="15.75" customHeight="1">
      <c r="A117" s="20"/>
      <c r="B117" s="21">
        <v>113.0</v>
      </c>
      <c r="C117" s="33"/>
      <c r="D117" s="33"/>
      <c r="E117" s="70" t="str">
        <f t="shared" si="2"/>
        <v/>
      </c>
      <c r="F117" s="71" t="str">
        <f t="shared" si="3"/>
        <v/>
      </c>
      <c r="G117" s="26"/>
      <c r="H117" s="26"/>
      <c r="I117" s="26"/>
      <c r="J117" s="26"/>
      <c r="K117" s="26"/>
      <c r="L117" s="26"/>
      <c r="M117" s="26"/>
      <c r="N117" s="26"/>
      <c r="O117" s="26"/>
    </row>
    <row r="118" ht="15.75" customHeight="1">
      <c r="A118" s="28"/>
      <c r="B118" s="29">
        <v>114.0</v>
      </c>
      <c r="C118" s="35"/>
      <c r="D118" s="35"/>
      <c r="E118" s="70" t="str">
        <f t="shared" si="2"/>
        <v/>
      </c>
      <c r="F118" s="71" t="str">
        <f t="shared" si="3"/>
        <v/>
      </c>
      <c r="G118" s="26"/>
      <c r="H118" s="26"/>
      <c r="I118" s="26"/>
      <c r="J118" s="26"/>
      <c r="K118" s="26"/>
      <c r="L118" s="26"/>
      <c r="M118" s="26"/>
      <c r="N118" s="26"/>
      <c r="O118" s="26"/>
    </row>
    <row r="119" ht="15.75" customHeight="1">
      <c r="A119" s="20"/>
      <c r="B119" s="21">
        <v>115.0</v>
      </c>
      <c r="C119" s="33"/>
      <c r="D119" s="33"/>
      <c r="E119" s="70" t="str">
        <f t="shared" si="2"/>
        <v/>
      </c>
      <c r="F119" s="71" t="str">
        <f t="shared" si="3"/>
        <v/>
      </c>
      <c r="G119" s="26"/>
      <c r="H119" s="26"/>
      <c r="I119" s="26"/>
      <c r="J119" s="26"/>
      <c r="K119" s="26"/>
      <c r="L119" s="26"/>
      <c r="M119" s="26"/>
      <c r="N119" s="26"/>
      <c r="O119" s="26"/>
    </row>
    <row r="120" ht="15.75" customHeight="1">
      <c r="A120" s="28"/>
      <c r="B120" s="29">
        <v>116.0</v>
      </c>
      <c r="C120" s="35"/>
      <c r="D120" s="35"/>
      <c r="E120" s="70" t="str">
        <f t="shared" si="2"/>
        <v/>
      </c>
      <c r="F120" s="71" t="str">
        <f t="shared" si="3"/>
        <v/>
      </c>
      <c r="G120" s="26"/>
      <c r="H120" s="26"/>
      <c r="I120" s="26"/>
      <c r="J120" s="26"/>
      <c r="K120" s="26"/>
      <c r="L120" s="26"/>
      <c r="M120" s="26"/>
      <c r="N120" s="26"/>
      <c r="O120" s="26"/>
    </row>
    <row r="121" ht="15.75" customHeight="1">
      <c r="A121" s="20"/>
      <c r="B121" s="21">
        <v>117.0</v>
      </c>
      <c r="C121" s="33"/>
      <c r="D121" s="33"/>
      <c r="E121" s="70" t="str">
        <f t="shared" si="2"/>
        <v/>
      </c>
      <c r="F121" s="71" t="str">
        <f t="shared" si="3"/>
        <v/>
      </c>
      <c r="G121" s="26"/>
      <c r="H121" s="26"/>
      <c r="I121" s="26"/>
      <c r="J121" s="26"/>
      <c r="K121" s="26"/>
      <c r="L121" s="26"/>
      <c r="M121" s="26"/>
      <c r="N121" s="26"/>
      <c r="O121" s="26"/>
    </row>
    <row r="122" ht="15.75" customHeight="1">
      <c r="A122" s="13"/>
      <c r="B122" s="55">
        <v>118.0</v>
      </c>
      <c r="C122" s="56"/>
      <c r="D122" s="56"/>
      <c r="E122" s="92" t="str">
        <f t="shared" si="2"/>
        <v/>
      </c>
      <c r="F122" s="93" t="str">
        <f t="shared" si="3"/>
        <v/>
      </c>
      <c r="G122" s="17"/>
      <c r="H122" s="17"/>
      <c r="I122" s="17"/>
      <c r="J122" s="17"/>
      <c r="K122" s="17"/>
      <c r="L122" s="17"/>
      <c r="M122" s="17"/>
      <c r="N122" s="17"/>
      <c r="O122" s="17"/>
    </row>
    <row r="123" ht="15.75" customHeight="1">
      <c r="A123" s="13"/>
      <c r="B123" s="55">
        <v>119.0</v>
      </c>
      <c r="C123" s="56"/>
      <c r="D123" s="56"/>
      <c r="E123" s="92" t="str">
        <f t="shared" si="2"/>
        <v/>
      </c>
      <c r="F123" s="93" t="str">
        <f t="shared" si="3"/>
        <v/>
      </c>
      <c r="G123" s="17"/>
      <c r="H123" s="17"/>
      <c r="I123" s="17"/>
      <c r="J123" s="17"/>
      <c r="K123" s="17"/>
      <c r="L123" s="17"/>
      <c r="M123" s="17"/>
      <c r="N123" s="17"/>
      <c r="O123" s="17"/>
    </row>
    <row r="124" ht="15.75" customHeight="1">
      <c r="A124" s="13"/>
      <c r="B124" s="55">
        <v>120.0</v>
      </c>
      <c r="C124" s="56"/>
      <c r="D124" s="56"/>
      <c r="E124" s="92" t="str">
        <f t="shared" si="2"/>
        <v/>
      </c>
      <c r="F124" s="93" t="str">
        <f t="shared" si="3"/>
        <v/>
      </c>
      <c r="G124" s="17"/>
      <c r="H124" s="17"/>
      <c r="I124" s="17"/>
      <c r="J124" s="17"/>
      <c r="K124" s="17"/>
      <c r="L124" s="17"/>
      <c r="M124" s="17"/>
      <c r="N124" s="17"/>
      <c r="O124" s="17"/>
    </row>
    <row r="125" ht="15.75" customHeight="1">
      <c r="A125" s="13"/>
      <c r="B125" s="13"/>
      <c r="C125" s="13"/>
      <c r="D125" s="13"/>
      <c r="E125" s="13"/>
      <c r="F125" s="13"/>
      <c r="G125" s="13"/>
      <c r="H125" s="13"/>
      <c r="I125" s="13"/>
      <c r="J125" s="13"/>
      <c r="K125" s="13"/>
      <c r="L125" s="13"/>
      <c r="M125" s="13"/>
      <c r="N125" s="13"/>
      <c r="O125" s="13"/>
    </row>
    <row r="126" ht="15.75" customHeight="1">
      <c r="A126" s="13"/>
      <c r="B126" s="13"/>
      <c r="C126" s="13"/>
      <c r="D126" s="13"/>
      <c r="E126" s="13"/>
      <c r="F126" s="13"/>
      <c r="G126" s="13"/>
      <c r="H126" s="13"/>
      <c r="I126" s="13"/>
      <c r="J126" s="13"/>
      <c r="K126" s="13"/>
      <c r="L126" s="13"/>
      <c r="M126" s="13"/>
      <c r="N126" s="13"/>
      <c r="O126" s="13"/>
    </row>
    <row r="127" ht="15.75" customHeight="1">
      <c r="A127" s="13"/>
      <c r="B127" s="13"/>
      <c r="C127" s="13"/>
      <c r="D127" s="13"/>
      <c r="E127" s="13"/>
      <c r="F127" s="13"/>
      <c r="G127" s="13"/>
      <c r="H127" s="13"/>
      <c r="I127" s="13"/>
      <c r="J127" s="13"/>
      <c r="K127" s="13"/>
      <c r="L127" s="13"/>
      <c r="M127" s="13"/>
      <c r="N127" s="13"/>
      <c r="O127" s="13"/>
    </row>
    <row r="128" ht="15.75" customHeight="1">
      <c r="A128" s="13"/>
      <c r="B128" s="13"/>
      <c r="C128" s="13"/>
      <c r="D128" s="13"/>
      <c r="E128" s="13"/>
      <c r="F128" s="13"/>
      <c r="G128" s="13"/>
      <c r="H128" s="13"/>
      <c r="I128" s="13"/>
      <c r="J128" s="13"/>
      <c r="K128" s="13"/>
      <c r="L128" s="13"/>
      <c r="M128" s="13"/>
      <c r="N128" s="13"/>
      <c r="O128" s="13"/>
    </row>
    <row r="129" ht="15.75" customHeight="1">
      <c r="A129" s="13"/>
      <c r="B129" s="13"/>
      <c r="C129" s="13"/>
      <c r="D129" s="13"/>
      <c r="E129" s="13"/>
      <c r="F129" s="13"/>
      <c r="G129" s="13"/>
      <c r="H129" s="13"/>
      <c r="I129" s="13"/>
      <c r="J129" s="13"/>
      <c r="K129" s="13"/>
      <c r="L129" s="13"/>
      <c r="M129" s="13"/>
      <c r="N129" s="13"/>
      <c r="O129" s="13"/>
    </row>
    <row r="130" ht="15.75" customHeight="1">
      <c r="A130" s="13"/>
      <c r="B130" s="13"/>
      <c r="C130" s="13"/>
      <c r="D130" s="13"/>
      <c r="E130" s="13"/>
      <c r="F130" s="13"/>
      <c r="G130" s="13"/>
      <c r="H130" s="13"/>
      <c r="I130" s="13"/>
      <c r="J130" s="13"/>
      <c r="K130" s="13"/>
      <c r="L130" s="13"/>
      <c r="M130" s="13"/>
      <c r="N130" s="13"/>
      <c r="O130" s="13"/>
    </row>
    <row r="131" ht="15.75" customHeight="1">
      <c r="A131" s="13"/>
      <c r="B131" s="13"/>
      <c r="C131" s="13"/>
      <c r="D131" s="13"/>
      <c r="E131" s="13"/>
      <c r="F131" s="13"/>
      <c r="G131" s="13"/>
      <c r="H131" s="13"/>
      <c r="I131" s="13"/>
      <c r="J131" s="13"/>
      <c r="K131" s="13"/>
      <c r="L131" s="13"/>
      <c r="M131" s="13"/>
      <c r="N131" s="13"/>
      <c r="O131" s="13"/>
    </row>
    <row r="132" ht="15.75" customHeight="1">
      <c r="A132" s="13"/>
      <c r="B132" s="13"/>
      <c r="C132" s="13"/>
      <c r="D132" s="13"/>
      <c r="E132" s="13"/>
      <c r="F132" s="13"/>
      <c r="G132" s="13"/>
      <c r="H132" s="13"/>
      <c r="I132" s="13"/>
      <c r="J132" s="13"/>
      <c r="K132" s="13"/>
      <c r="L132" s="13"/>
      <c r="M132" s="13"/>
      <c r="N132" s="13"/>
      <c r="O132" s="13"/>
    </row>
    <row r="133" ht="15.75" customHeight="1">
      <c r="A133" s="13"/>
      <c r="B133" s="13"/>
      <c r="C133" s="13"/>
      <c r="D133" s="13"/>
      <c r="E133" s="13"/>
      <c r="F133" s="13"/>
      <c r="G133" s="13"/>
      <c r="H133" s="13"/>
      <c r="I133" s="13"/>
      <c r="J133" s="13"/>
      <c r="K133" s="13"/>
      <c r="L133" s="13"/>
      <c r="M133" s="13"/>
      <c r="N133" s="13"/>
      <c r="O133" s="13"/>
    </row>
    <row r="134" ht="15.75" customHeight="1">
      <c r="A134" s="13"/>
      <c r="B134" s="13"/>
      <c r="C134" s="13"/>
      <c r="D134" s="13"/>
      <c r="E134" s="13"/>
      <c r="F134" s="13"/>
      <c r="G134" s="13"/>
      <c r="H134" s="13"/>
      <c r="I134" s="13"/>
      <c r="J134" s="13"/>
      <c r="K134" s="13"/>
      <c r="L134" s="13"/>
      <c r="M134" s="13"/>
      <c r="N134" s="13"/>
      <c r="O134" s="13"/>
    </row>
    <row r="135" ht="15.75" customHeight="1">
      <c r="A135" s="13"/>
      <c r="B135" s="13"/>
      <c r="C135" s="13"/>
      <c r="D135" s="13"/>
      <c r="E135" s="13"/>
      <c r="F135" s="13"/>
      <c r="G135" s="13"/>
      <c r="H135" s="13"/>
      <c r="I135" s="13"/>
      <c r="J135" s="13"/>
      <c r="K135" s="13"/>
      <c r="L135" s="13"/>
      <c r="M135" s="13"/>
      <c r="N135" s="13"/>
      <c r="O135" s="13"/>
    </row>
    <row r="136" ht="15.75" customHeight="1">
      <c r="A136" s="13"/>
      <c r="B136" s="13"/>
      <c r="C136" s="13"/>
      <c r="D136" s="13"/>
      <c r="E136" s="13"/>
      <c r="F136" s="13"/>
      <c r="G136" s="13"/>
      <c r="H136" s="13"/>
      <c r="I136" s="13"/>
      <c r="J136" s="13"/>
      <c r="K136" s="13"/>
      <c r="L136" s="13"/>
      <c r="M136" s="13"/>
      <c r="N136" s="13"/>
      <c r="O136" s="13"/>
    </row>
    <row r="137" ht="15.75" customHeight="1">
      <c r="A137" s="13"/>
      <c r="B137" s="13"/>
      <c r="C137" s="13"/>
      <c r="D137" s="13"/>
      <c r="E137" s="13"/>
      <c r="F137" s="13"/>
      <c r="G137" s="13"/>
      <c r="H137" s="13"/>
      <c r="I137" s="13"/>
      <c r="J137" s="13"/>
      <c r="K137" s="13"/>
      <c r="L137" s="13"/>
      <c r="M137" s="13"/>
      <c r="N137" s="13"/>
      <c r="O137" s="13"/>
    </row>
    <row r="138" ht="15.75" customHeight="1">
      <c r="A138" s="13"/>
      <c r="B138" s="13"/>
      <c r="C138" s="13"/>
      <c r="D138" s="13"/>
      <c r="E138" s="13"/>
      <c r="F138" s="13"/>
      <c r="G138" s="13"/>
      <c r="H138" s="13"/>
      <c r="I138" s="13"/>
      <c r="J138" s="13"/>
      <c r="K138" s="13"/>
      <c r="L138" s="13"/>
      <c r="M138" s="13"/>
      <c r="N138" s="13"/>
      <c r="O138" s="13"/>
    </row>
    <row r="139" ht="15.75" customHeight="1">
      <c r="A139" s="13"/>
      <c r="B139" s="13"/>
      <c r="C139" s="13"/>
      <c r="D139" s="13"/>
      <c r="E139" s="13"/>
      <c r="F139" s="13"/>
      <c r="G139" s="13"/>
      <c r="H139" s="13"/>
      <c r="I139" s="13"/>
      <c r="J139" s="13"/>
      <c r="K139" s="13"/>
      <c r="L139" s="13"/>
      <c r="M139" s="13"/>
      <c r="N139" s="13"/>
      <c r="O139" s="13"/>
    </row>
    <row r="140" ht="15.75" customHeight="1">
      <c r="A140" s="13"/>
      <c r="B140" s="13"/>
      <c r="C140" s="13"/>
      <c r="D140" s="13"/>
      <c r="E140" s="13"/>
      <c r="F140" s="13"/>
      <c r="G140" s="13"/>
      <c r="H140" s="13"/>
      <c r="I140" s="13"/>
      <c r="J140" s="13"/>
      <c r="K140" s="13"/>
      <c r="L140" s="13"/>
      <c r="M140" s="13"/>
      <c r="N140" s="13"/>
      <c r="O140" s="13"/>
    </row>
    <row r="141" ht="15.75" customHeight="1">
      <c r="A141" s="13"/>
      <c r="B141" s="13"/>
      <c r="C141" s="13"/>
      <c r="D141" s="13"/>
      <c r="E141" s="13"/>
      <c r="F141" s="13"/>
      <c r="G141" s="13"/>
      <c r="H141" s="13"/>
      <c r="I141" s="13"/>
      <c r="J141" s="13"/>
      <c r="K141" s="13"/>
      <c r="L141" s="13"/>
      <c r="M141" s="13"/>
      <c r="N141" s="13"/>
      <c r="O141" s="13"/>
    </row>
    <row r="142" ht="15.75" customHeight="1">
      <c r="A142" s="13"/>
      <c r="B142" s="13"/>
      <c r="C142" s="13"/>
      <c r="D142" s="13"/>
      <c r="E142" s="13"/>
      <c r="F142" s="13"/>
      <c r="G142" s="13"/>
      <c r="H142" s="13"/>
      <c r="I142" s="13"/>
      <c r="J142" s="13"/>
      <c r="K142" s="13"/>
      <c r="L142" s="13"/>
      <c r="M142" s="13"/>
      <c r="N142" s="13"/>
      <c r="O142" s="13"/>
    </row>
    <row r="143" ht="15.75" customHeight="1">
      <c r="A143" s="13"/>
      <c r="B143" s="13"/>
      <c r="C143" s="13"/>
      <c r="D143" s="13"/>
      <c r="E143" s="13"/>
      <c r="F143" s="13"/>
      <c r="G143" s="13"/>
      <c r="H143" s="13"/>
      <c r="I143" s="13"/>
      <c r="J143" s="13"/>
      <c r="K143" s="13"/>
      <c r="L143" s="13"/>
      <c r="M143" s="13"/>
      <c r="N143" s="13"/>
      <c r="O143" s="13"/>
    </row>
    <row r="144" ht="15.75" customHeight="1">
      <c r="A144" s="13"/>
      <c r="B144" s="13"/>
      <c r="C144" s="13"/>
      <c r="D144" s="13"/>
      <c r="E144" s="13"/>
      <c r="F144" s="13"/>
      <c r="G144" s="13"/>
      <c r="H144" s="13"/>
      <c r="I144" s="13"/>
      <c r="J144" s="13"/>
      <c r="K144" s="13"/>
      <c r="L144" s="13"/>
      <c r="M144" s="13"/>
      <c r="N144" s="13"/>
      <c r="O144" s="13"/>
    </row>
    <row r="145" ht="15.75" customHeight="1">
      <c r="A145" s="13"/>
      <c r="B145" s="13"/>
      <c r="C145" s="13"/>
      <c r="D145" s="13"/>
      <c r="E145" s="13"/>
      <c r="F145" s="13"/>
      <c r="G145" s="13"/>
      <c r="H145" s="13"/>
      <c r="I145" s="13"/>
      <c r="J145" s="13"/>
      <c r="K145" s="13"/>
      <c r="L145" s="13"/>
      <c r="M145" s="13"/>
      <c r="N145" s="13"/>
      <c r="O145" s="13"/>
    </row>
    <row r="146" ht="15.75" customHeight="1">
      <c r="A146" s="13"/>
      <c r="B146" s="13"/>
      <c r="C146" s="13"/>
      <c r="D146" s="13"/>
      <c r="E146" s="13"/>
      <c r="F146" s="13"/>
      <c r="G146" s="13"/>
      <c r="H146" s="13"/>
      <c r="I146" s="13"/>
      <c r="J146" s="13"/>
      <c r="K146" s="13"/>
      <c r="L146" s="13"/>
      <c r="M146" s="13"/>
      <c r="N146" s="13"/>
      <c r="O146" s="13"/>
    </row>
    <row r="147" ht="15.75" customHeight="1">
      <c r="A147" s="13"/>
      <c r="B147" s="13"/>
      <c r="C147" s="13"/>
      <c r="D147" s="13"/>
      <c r="E147" s="13"/>
      <c r="F147" s="13"/>
      <c r="G147" s="13"/>
      <c r="H147" s="13"/>
      <c r="I147" s="13"/>
      <c r="J147" s="13"/>
      <c r="K147" s="13"/>
      <c r="L147" s="13"/>
      <c r="M147" s="13"/>
      <c r="N147" s="13"/>
      <c r="O147" s="13"/>
    </row>
    <row r="148" ht="15.75" customHeight="1">
      <c r="A148" s="13"/>
      <c r="B148" s="13"/>
      <c r="C148" s="13"/>
      <c r="D148" s="13"/>
      <c r="E148" s="13"/>
      <c r="F148" s="13"/>
      <c r="G148" s="13"/>
      <c r="H148" s="13"/>
      <c r="I148" s="13"/>
      <c r="J148" s="13"/>
      <c r="K148" s="13"/>
      <c r="L148" s="13"/>
      <c r="M148" s="13"/>
      <c r="N148" s="13"/>
      <c r="O148" s="13"/>
    </row>
    <row r="149" ht="15.75" customHeight="1">
      <c r="A149" s="13"/>
      <c r="B149" s="13"/>
      <c r="C149" s="13"/>
      <c r="D149" s="13"/>
      <c r="E149" s="13"/>
      <c r="F149" s="13"/>
      <c r="G149" s="13"/>
      <c r="H149" s="13"/>
      <c r="I149" s="13"/>
      <c r="J149" s="13"/>
      <c r="K149" s="13"/>
      <c r="L149" s="13"/>
      <c r="M149" s="13"/>
      <c r="N149" s="13"/>
      <c r="O149" s="13"/>
    </row>
    <row r="150" ht="15.75" customHeight="1">
      <c r="A150" s="13"/>
      <c r="B150" s="13"/>
      <c r="C150" s="13"/>
      <c r="D150" s="13"/>
      <c r="E150" s="13"/>
      <c r="F150" s="13"/>
      <c r="G150" s="13"/>
      <c r="H150" s="13"/>
      <c r="I150" s="13"/>
      <c r="J150" s="13"/>
      <c r="K150" s="13"/>
      <c r="L150" s="13"/>
      <c r="M150" s="13"/>
      <c r="N150" s="13"/>
      <c r="O150" s="13"/>
    </row>
    <row r="151" ht="15.75" customHeight="1">
      <c r="A151" s="13"/>
      <c r="B151" s="13"/>
      <c r="C151" s="13"/>
      <c r="D151" s="13"/>
      <c r="E151" s="13"/>
      <c r="F151" s="13"/>
      <c r="G151" s="13"/>
      <c r="H151" s="13"/>
      <c r="I151" s="13"/>
      <c r="J151" s="13"/>
      <c r="K151" s="13"/>
      <c r="L151" s="13"/>
      <c r="M151" s="13"/>
      <c r="N151" s="13"/>
      <c r="O151" s="13"/>
    </row>
    <row r="152" ht="15.75" customHeight="1">
      <c r="A152" s="13"/>
      <c r="B152" s="13"/>
      <c r="C152" s="13"/>
      <c r="D152" s="13"/>
      <c r="E152" s="13"/>
      <c r="F152" s="13"/>
      <c r="G152" s="13"/>
      <c r="H152" s="13"/>
      <c r="I152" s="13"/>
      <c r="J152" s="13"/>
      <c r="K152" s="13"/>
      <c r="L152" s="13"/>
      <c r="M152" s="13"/>
      <c r="N152" s="13"/>
      <c r="O152" s="13"/>
    </row>
    <row r="153" ht="15.75" customHeight="1">
      <c r="A153" s="13"/>
      <c r="B153" s="13"/>
      <c r="C153" s="13"/>
      <c r="D153" s="13"/>
      <c r="E153" s="13"/>
      <c r="F153" s="13"/>
      <c r="G153" s="13"/>
      <c r="H153" s="13"/>
      <c r="I153" s="13"/>
      <c r="J153" s="13"/>
      <c r="K153" s="13"/>
      <c r="L153" s="13"/>
      <c r="M153" s="13"/>
      <c r="N153" s="13"/>
      <c r="O153" s="13"/>
    </row>
    <row r="154" ht="15.75" customHeight="1">
      <c r="A154" s="13"/>
      <c r="B154" s="13"/>
      <c r="C154" s="13"/>
      <c r="D154" s="13"/>
      <c r="E154" s="13"/>
      <c r="F154" s="13"/>
      <c r="G154" s="13"/>
      <c r="H154" s="13"/>
      <c r="I154" s="13"/>
      <c r="J154" s="13"/>
      <c r="K154" s="13"/>
      <c r="L154" s="13"/>
      <c r="M154" s="13"/>
      <c r="N154" s="13"/>
      <c r="O154" s="13"/>
    </row>
    <row r="155" ht="15.75" customHeight="1">
      <c r="A155" s="13"/>
      <c r="B155" s="13"/>
      <c r="C155" s="13"/>
      <c r="D155" s="13"/>
      <c r="E155" s="13"/>
      <c r="F155" s="13"/>
      <c r="G155" s="13"/>
      <c r="H155" s="13"/>
      <c r="I155" s="13"/>
      <c r="J155" s="13"/>
      <c r="K155" s="13"/>
      <c r="L155" s="13"/>
      <c r="M155" s="13"/>
      <c r="N155" s="13"/>
      <c r="O155" s="13"/>
    </row>
    <row r="156" ht="15.75" customHeight="1">
      <c r="A156" s="13"/>
      <c r="B156" s="13"/>
      <c r="C156" s="13"/>
      <c r="D156" s="13"/>
      <c r="E156" s="13"/>
      <c r="F156" s="13"/>
      <c r="G156" s="13"/>
      <c r="H156" s="13"/>
      <c r="I156" s="13"/>
      <c r="J156" s="13"/>
      <c r="K156" s="13"/>
      <c r="L156" s="13"/>
      <c r="M156" s="13"/>
      <c r="N156" s="13"/>
      <c r="O156" s="13"/>
    </row>
    <row r="157" ht="15.75" customHeight="1">
      <c r="A157" s="13"/>
      <c r="B157" s="13"/>
      <c r="C157" s="13"/>
      <c r="D157" s="13"/>
      <c r="E157" s="13"/>
      <c r="F157" s="13"/>
      <c r="G157" s="13"/>
      <c r="H157" s="13"/>
      <c r="I157" s="13"/>
      <c r="J157" s="13"/>
      <c r="K157" s="13"/>
      <c r="L157" s="13"/>
      <c r="M157" s="13"/>
      <c r="N157" s="13"/>
      <c r="O157" s="13"/>
    </row>
    <row r="158" ht="15.75" customHeight="1">
      <c r="A158" s="13"/>
      <c r="B158" s="13"/>
      <c r="C158" s="13"/>
      <c r="D158" s="13"/>
      <c r="E158" s="13"/>
      <c r="F158" s="13"/>
      <c r="G158" s="13"/>
      <c r="H158" s="13"/>
      <c r="I158" s="13"/>
      <c r="J158" s="13"/>
      <c r="K158" s="13"/>
      <c r="L158" s="13"/>
      <c r="M158" s="13"/>
      <c r="N158" s="13"/>
      <c r="O158" s="13"/>
    </row>
    <row r="159" ht="15.75" customHeight="1">
      <c r="A159" s="13"/>
      <c r="B159" s="13"/>
      <c r="C159" s="13"/>
      <c r="D159" s="13"/>
      <c r="E159" s="13"/>
      <c r="F159" s="13"/>
      <c r="G159" s="13"/>
      <c r="H159" s="13"/>
      <c r="I159" s="13"/>
      <c r="J159" s="13"/>
      <c r="K159" s="13"/>
      <c r="L159" s="13"/>
      <c r="M159" s="13"/>
      <c r="N159" s="13"/>
      <c r="O159" s="13"/>
    </row>
    <row r="160" ht="15.75" customHeight="1">
      <c r="A160" s="13"/>
      <c r="B160" s="13"/>
      <c r="C160" s="13"/>
      <c r="D160" s="13"/>
      <c r="E160" s="13"/>
      <c r="F160" s="13"/>
      <c r="G160" s="13"/>
      <c r="H160" s="13"/>
      <c r="I160" s="13"/>
      <c r="J160" s="13"/>
      <c r="K160" s="13"/>
      <c r="L160" s="13"/>
      <c r="M160" s="13"/>
      <c r="N160" s="13"/>
      <c r="O160" s="13"/>
    </row>
    <row r="161" ht="15.75" customHeight="1">
      <c r="A161" s="13"/>
      <c r="B161" s="13"/>
      <c r="C161" s="13"/>
      <c r="D161" s="13"/>
      <c r="E161" s="13"/>
      <c r="F161" s="13"/>
      <c r="G161" s="13"/>
      <c r="H161" s="13"/>
      <c r="I161" s="13"/>
      <c r="J161" s="13"/>
      <c r="K161" s="13"/>
      <c r="L161" s="13"/>
      <c r="M161" s="13"/>
      <c r="N161" s="13"/>
      <c r="O161" s="13"/>
    </row>
    <row r="162" ht="15.75" customHeight="1">
      <c r="A162" s="13"/>
      <c r="B162" s="13"/>
      <c r="C162" s="13"/>
      <c r="D162" s="13"/>
      <c r="E162" s="13"/>
      <c r="F162" s="13"/>
      <c r="G162" s="13"/>
      <c r="H162" s="13"/>
      <c r="I162" s="13"/>
      <c r="J162" s="13"/>
      <c r="K162" s="13"/>
      <c r="L162" s="13"/>
      <c r="M162" s="13"/>
      <c r="N162" s="13"/>
      <c r="O162" s="13"/>
    </row>
    <row r="163" ht="15.75" customHeight="1">
      <c r="A163" s="13"/>
      <c r="B163" s="13"/>
      <c r="C163" s="13"/>
      <c r="D163" s="13"/>
      <c r="E163" s="13"/>
      <c r="F163" s="13"/>
      <c r="G163" s="13"/>
      <c r="H163" s="13"/>
      <c r="I163" s="13"/>
      <c r="J163" s="13"/>
      <c r="K163" s="13"/>
      <c r="L163" s="13"/>
      <c r="M163" s="13"/>
      <c r="N163" s="13"/>
      <c r="O163" s="13"/>
    </row>
    <row r="164" ht="15.75" customHeight="1">
      <c r="A164" s="13"/>
      <c r="B164" s="13"/>
      <c r="C164" s="13"/>
      <c r="D164" s="13"/>
      <c r="E164" s="13"/>
      <c r="F164" s="13"/>
      <c r="G164" s="13"/>
      <c r="H164" s="13"/>
      <c r="I164" s="13"/>
      <c r="J164" s="13"/>
      <c r="K164" s="13"/>
      <c r="L164" s="13"/>
      <c r="M164" s="13"/>
      <c r="N164" s="13"/>
      <c r="O164" s="13"/>
    </row>
    <row r="165" ht="15.75" customHeight="1">
      <c r="A165" s="13"/>
      <c r="B165" s="13"/>
      <c r="C165" s="13"/>
      <c r="D165" s="13"/>
      <c r="E165" s="13"/>
      <c r="F165" s="13"/>
      <c r="G165" s="13"/>
      <c r="H165" s="13"/>
      <c r="I165" s="13"/>
      <c r="J165" s="13"/>
      <c r="K165" s="13"/>
      <c r="L165" s="13"/>
      <c r="M165" s="13"/>
      <c r="N165" s="13"/>
      <c r="O165" s="13"/>
    </row>
    <row r="166" ht="15.75" customHeight="1">
      <c r="A166" s="13"/>
      <c r="B166" s="13"/>
      <c r="C166" s="13"/>
      <c r="D166" s="13"/>
      <c r="E166" s="13"/>
      <c r="F166" s="13"/>
      <c r="G166" s="13"/>
      <c r="H166" s="13"/>
      <c r="I166" s="13"/>
      <c r="J166" s="13"/>
      <c r="K166" s="13"/>
      <c r="L166" s="13"/>
      <c r="M166" s="13"/>
      <c r="N166" s="13"/>
      <c r="O166" s="13"/>
    </row>
    <row r="167" ht="15.75" customHeight="1">
      <c r="A167" s="13"/>
      <c r="B167" s="13"/>
      <c r="C167" s="13"/>
      <c r="D167" s="13"/>
      <c r="E167" s="13"/>
      <c r="F167" s="13"/>
      <c r="G167" s="13"/>
      <c r="H167" s="13"/>
      <c r="I167" s="13"/>
      <c r="J167" s="13"/>
      <c r="K167" s="13"/>
      <c r="L167" s="13"/>
      <c r="M167" s="13"/>
      <c r="N167" s="13"/>
      <c r="O167" s="13"/>
    </row>
    <row r="168" ht="15.75" customHeight="1">
      <c r="A168" s="13"/>
      <c r="B168" s="13"/>
      <c r="C168" s="13"/>
      <c r="D168" s="13"/>
      <c r="E168" s="13"/>
      <c r="F168" s="13"/>
      <c r="G168" s="13"/>
      <c r="H168" s="13"/>
      <c r="I168" s="13"/>
      <c r="J168" s="13"/>
      <c r="K168" s="13"/>
      <c r="L168" s="13"/>
      <c r="M168" s="13"/>
      <c r="N168" s="13"/>
      <c r="O168" s="13"/>
    </row>
    <row r="169" ht="15.75" customHeight="1">
      <c r="A169" s="13"/>
      <c r="B169" s="13"/>
      <c r="C169" s="13"/>
      <c r="D169" s="13"/>
      <c r="E169" s="13"/>
      <c r="F169" s="13"/>
      <c r="G169" s="13"/>
      <c r="H169" s="13"/>
      <c r="I169" s="13"/>
      <c r="J169" s="13"/>
      <c r="K169" s="13"/>
      <c r="L169" s="13"/>
      <c r="M169" s="13"/>
      <c r="N169" s="13"/>
      <c r="O169" s="13"/>
    </row>
    <row r="170" ht="15.75" customHeight="1">
      <c r="A170" s="13"/>
      <c r="B170" s="13"/>
      <c r="C170" s="13"/>
      <c r="D170" s="13"/>
      <c r="E170" s="13"/>
      <c r="F170" s="13"/>
      <c r="G170" s="13"/>
      <c r="H170" s="13"/>
      <c r="I170" s="13"/>
      <c r="J170" s="13"/>
      <c r="K170" s="13"/>
      <c r="L170" s="13"/>
      <c r="M170" s="13"/>
      <c r="N170" s="13"/>
      <c r="O170" s="13"/>
    </row>
    <row r="171" ht="15.75" customHeight="1">
      <c r="A171" s="13"/>
      <c r="B171" s="13"/>
      <c r="C171" s="13"/>
      <c r="D171" s="13"/>
      <c r="E171" s="13"/>
      <c r="F171" s="13"/>
      <c r="G171" s="13"/>
      <c r="H171" s="13"/>
      <c r="I171" s="13"/>
      <c r="J171" s="13"/>
      <c r="K171" s="13"/>
      <c r="L171" s="13"/>
      <c r="M171" s="13"/>
      <c r="N171" s="13"/>
      <c r="O171" s="13"/>
    </row>
    <row r="172" ht="15.75" customHeight="1">
      <c r="A172" s="13"/>
      <c r="B172" s="13"/>
      <c r="C172" s="13"/>
      <c r="D172" s="13"/>
      <c r="E172" s="13"/>
      <c r="F172" s="13"/>
      <c r="G172" s="13"/>
      <c r="H172" s="13"/>
      <c r="I172" s="13"/>
      <c r="J172" s="13"/>
      <c r="K172" s="13"/>
      <c r="L172" s="13"/>
      <c r="M172" s="13"/>
      <c r="N172" s="13"/>
      <c r="O172" s="13"/>
    </row>
    <row r="173" ht="15.75" customHeight="1">
      <c r="A173" s="13"/>
      <c r="B173" s="13"/>
      <c r="C173" s="13"/>
      <c r="D173" s="13"/>
      <c r="E173" s="13"/>
      <c r="F173" s="13"/>
      <c r="G173" s="13"/>
      <c r="H173" s="13"/>
      <c r="I173" s="13"/>
      <c r="J173" s="13"/>
      <c r="K173" s="13"/>
      <c r="L173" s="13"/>
      <c r="M173" s="13"/>
      <c r="N173" s="13"/>
      <c r="O173" s="13"/>
    </row>
    <row r="174" ht="15.75" customHeight="1">
      <c r="A174" s="13"/>
      <c r="B174" s="13"/>
      <c r="C174" s="13"/>
      <c r="D174" s="13"/>
      <c r="E174" s="13"/>
      <c r="F174" s="13"/>
      <c r="G174" s="13"/>
      <c r="H174" s="13"/>
      <c r="I174" s="13"/>
      <c r="J174" s="13"/>
      <c r="K174" s="13"/>
      <c r="L174" s="13"/>
      <c r="M174" s="13"/>
      <c r="N174" s="13"/>
      <c r="O174" s="13"/>
    </row>
    <row r="175" ht="15.75" customHeight="1">
      <c r="A175" s="13"/>
      <c r="B175" s="13"/>
      <c r="C175" s="13"/>
      <c r="D175" s="13"/>
      <c r="E175" s="13"/>
      <c r="F175" s="13"/>
      <c r="G175" s="13"/>
      <c r="H175" s="13"/>
      <c r="I175" s="13"/>
      <c r="J175" s="13"/>
      <c r="K175" s="13"/>
      <c r="L175" s="13"/>
      <c r="M175" s="13"/>
      <c r="N175" s="13"/>
      <c r="O175" s="13"/>
    </row>
    <row r="176" ht="15.75" customHeight="1">
      <c r="A176" s="13"/>
      <c r="B176" s="13"/>
      <c r="C176" s="13"/>
      <c r="D176" s="13"/>
      <c r="E176" s="13"/>
      <c r="F176" s="13"/>
      <c r="G176" s="13"/>
      <c r="H176" s="13"/>
      <c r="I176" s="13"/>
      <c r="J176" s="13"/>
      <c r="K176" s="13"/>
      <c r="L176" s="13"/>
      <c r="M176" s="13"/>
      <c r="N176" s="13"/>
      <c r="O176" s="13"/>
    </row>
    <row r="177" ht="15.75" customHeight="1">
      <c r="A177" s="13"/>
      <c r="B177" s="13"/>
      <c r="C177" s="13"/>
      <c r="D177" s="13"/>
      <c r="E177" s="13"/>
      <c r="F177" s="13"/>
      <c r="G177" s="13"/>
      <c r="H177" s="13"/>
      <c r="I177" s="13"/>
      <c r="J177" s="13"/>
      <c r="K177" s="13"/>
      <c r="L177" s="13"/>
      <c r="M177" s="13"/>
      <c r="N177" s="13"/>
      <c r="O177" s="13"/>
    </row>
    <row r="178" ht="15.75" customHeight="1">
      <c r="A178" s="13"/>
      <c r="B178" s="13"/>
      <c r="C178" s="13"/>
      <c r="D178" s="13"/>
      <c r="E178" s="13"/>
      <c r="F178" s="13"/>
      <c r="G178" s="13"/>
      <c r="H178" s="13"/>
      <c r="I178" s="13"/>
      <c r="J178" s="13"/>
      <c r="K178" s="13"/>
      <c r="L178" s="13"/>
      <c r="M178" s="13"/>
      <c r="N178" s="13"/>
      <c r="O178" s="13"/>
    </row>
    <row r="179" ht="15.75" customHeight="1">
      <c r="A179" s="13"/>
      <c r="B179" s="13"/>
      <c r="C179" s="13"/>
      <c r="D179" s="13"/>
      <c r="E179" s="13"/>
      <c r="F179" s="13"/>
      <c r="G179" s="13"/>
      <c r="H179" s="13"/>
      <c r="I179" s="13"/>
      <c r="J179" s="13"/>
      <c r="K179" s="13"/>
      <c r="L179" s="13"/>
      <c r="M179" s="13"/>
      <c r="N179" s="13"/>
      <c r="O179" s="13"/>
    </row>
    <row r="180" ht="15.75" customHeight="1">
      <c r="A180" s="13"/>
      <c r="B180" s="13"/>
      <c r="C180" s="13"/>
      <c r="D180" s="13"/>
      <c r="E180" s="13"/>
      <c r="F180" s="13"/>
      <c r="G180" s="13"/>
      <c r="H180" s="13"/>
      <c r="I180" s="13"/>
      <c r="J180" s="13"/>
      <c r="K180" s="13"/>
      <c r="L180" s="13"/>
      <c r="M180" s="13"/>
      <c r="N180" s="13"/>
      <c r="O180" s="13"/>
    </row>
    <row r="181" ht="15.75" customHeight="1">
      <c r="A181" s="13"/>
      <c r="B181" s="13"/>
      <c r="C181" s="13"/>
      <c r="D181" s="13"/>
      <c r="E181" s="13"/>
      <c r="F181" s="13"/>
      <c r="G181" s="13"/>
      <c r="H181" s="13"/>
      <c r="I181" s="13"/>
      <c r="J181" s="13"/>
      <c r="K181" s="13"/>
      <c r="L181" s="13"/>
      <c r="M181" s="13"/>
      <c r="N181" s="13"/>
      <c r="O181" s="13"/>
    </row>
    <row r="182" ht="15.75" customHeight="1">
      <c r="A182" s="13"/>
      <c r="B182" s="13"/>
      <c r="C182" s="13"/>
      <c r="D182" s="13"/>
      <c r="E182" s="13"/>
      <c r="F182" s="13"/>
      <c r="G182" s="13"/>
      <c r="H182" s="13"/>
      <c r="I182" s="13"/>
      <c r="J182" s="13"/>
      <c r="K182" s="13"/>
      <c r="L182" s="13"/>
      <c r="M182" s="13"/>
      <c r="N182" s="13"/>
      <c r="O182" s="13"/>
    </row>
    <row r="183" ht="15.75" customHeight="1">
      <c r="A183" s="13"/>
      <c r="B183" s="13"/>
      <c r="C183" s="13"/>
      <c r="D183" s="13"/>
      <c r="E183" s="13"/>
      <c r="F183" s="13"/>
      <c r="G183" s="13"/>
      <c r="H183" s="13"/>
      <c r="I183" s="13"/>
      <c r="J183" s="13"/>
      <c r="K183" s="13"/>
      <c r="L183" s="13"/>
      <c r="M183" s="13"/>
      <c r="N183" s="13"/>
      <c r="O183" s="13"/>
    </row>
    <row r="184" ht="15.75" customHeight="1">
      <c r="A184" s="13"/>
      <c r="B184" s="13"/>
      <c r="C184" s="13"/>
      <c r="D184" s="13"/>
      <c r="E184" s="13"/>
      <c r="F184" s="13"/>
      <c r="G184" s="13"/>
      <c r="H184" s="13"/>
      <c r="I184" s="13"/>
      <c r="J184" s="13"/>
      <c r="K184" s="13"/>
      <c r="L184" s="13"/>
      <c r="M184" s="13"/>
      <c r="N184" s="13"/>
      <c r="O184" s="13"/>
    </row>
    <row r="185" ht="15.75" customHeight="1">
      <c r="A185" s="13"/>
      <c r="B185" s="13"/>
      <c r="C185" s="13"/>
      <c r="D185" s="13"/>
      <c r="E185" s="13"/>
      <c r="F185" s="13"/>
      <c r="G185" s="13"/>
      <c r="H185" s="13"/>
      <c r="I185" s="13"/>
      <c r="J185" s="13"/>
      <c r="K185" s="13"/>
      <c r="L185" s="13"/>
      <c r="M185" s="13"/>
      <c r="N185" s="13"/>
      <c r="O185" s="13"/>
    </row>
    <row r="186" ht="15.75" customHeight="1">
      <c r="A186" s="13"/>
      <c r="B186" s="13"/>
      <c r="C186" s="13"/>
      <c r="D186" s="13"/>
      <c r="E186" s="13"/>
      <c r="F186" s="13"/>
      <c r="G186" s="13"/>
      <c r="H186" s="13"/>
      <c r="I186" s="13"/>
      <c r="J186" s="13"/>
      <c r="K186" s="13"/>
      <c r="L186" s="13"/>
      <c r="M186" s="13"/>
      <c r="N186" s="13"/>
      <c r="O186" s="13"/>
    </row>
    <row r="187" ht="15.75" customHeight="1">
      <c r="A187" s="13"/>
      <c r="B187" s="13"/>
      <c r="C187" s="13"/>
      <c r="D187" s="13"/>
      <c r="E187" s="13"/>
      <c r="F187" s="13"/>
      <c r="G187" s="13"/>
      <c r="H187" s="13"/>
      <c r="I187" s="13"/>
      <c r="J187" s="13"/>
      <c r="K187" s="13"/>
      <c r="L187" s="13"/>
      <c r="M187" s="13"/>
      <c r="N187" s="13"/>
      <c r="O187" s="13"/>
    </row>
    <row r="188" ht="15.75" customHeight="1">
      <c r="A188" s="13"/>
      <c r="B188" s="13"/>
      <c r="C188" s="13"/>
      <c r="D188" s="13"/>
      <c r="E188" s="13"/>
      <c r="F188" s="13"/>
      <c r="G188" s="13"/>
      <c r="H188" s="13"/>
      <c r="I188" s="13"/>
      <c r="J188" s="13"/>
      <c r="K188" s="13"/>
      <c r="L188" s="13"/>
      <c r="M188" s="13"/>
      <c r="N188" s="13"/>
      <c r="O188" s="13"/>
    </row>
    <row r="189" ht="15.75" customHeight="1">
      <c r="A189" s="13"/>
      <c r="B189" s="13"/>
      <c r="C189" s="13"/>
      <c r="D189" s="13"/>
      <c r="E189" s="13"/>
      <c r="F189" s="13"/>
      <c r="G189" s="13"/>
      <c r="H189" s="13"/>
      <c r="I189" s="13"/>
      <c r="J189" s="13"/>
      <c r="K189" s="13"/>
      <c r="L189" s="13"/>
      <c r="M189" s="13"/>
      <c r="N189" s="13"/>
      <c r="O189" s="13"/>
    </row>
    <row r="190" ht="15.75" customHeight="1">
      <c r="A190" s="13"/>
      <c r="B190" s="13"/>
      <c r="C190" s="13"/>
      <c r="D190" s="13"/>
      <c r="E190" s="13"/>
      <c r="F190" s="13"/>
      <c r="G190" s="13"/>
      <c r="H190" s="13"/>
      <c r="I190" s="13"/>
      <c r="J190" s="13"/>
      <c r="K190" s="13"/>
      <c r="L190" s="13"/>
      <c r="M190" s="13"/>
      <c r="N190" s="13"/>
      <c r="O190" s="13"/>
    </row>
    <row r="191" ht="15.75" customHeight="1">
      <c r="A191" s="13"/>
      <c r="B191" s="13"/>
      <c r="C191" s="13"/>
      <c r="D191" s="13"/>
      <c r="E191" s="13"/>
      <c r="F191" s="13"/>
      <c r="G191" s="13"/>
      <c r="H191" s="13"/>
      <c r="I191" s="13"/>
      <c r="J191" s="13"/>
      <c r="K191" s="13"/>
      <c r="L191" s="13"/>
      <c r="M191" s="13"/>
      <c r="N191" s="13"/>
      <c r="O191" s="13"/>
    </row>
    <row r="192" ht="15.75" customHeight="1">
      <c r="A192" s="13"/>
      <c r="B192" s="13"/>
      <c r="C192" s="13"/>
      <c r="D192" s="13"/>
      <c r="E192" s="13"/>
      <c r="F192" s="13"/>
      <c r="G192" s="13"/>
      <c r="H192" s="13"/>
      <c r="I192" s="13"/>
      <c r="J192" s="13"/>
      <c r="K192" s="13"/>
      <c r="L192" s="13"/>
      <c r="M192" s="13"/>
      <c r="N192" s="13"/>
      <c r="O192" s="13"/>
    </row>
    <row r="193" ht="15.75" customHeight="1">
      <c r="A193" s="13"/>
      <c r="B193" s="13"/>
      <c r="C193" s="13"/>
      <c r="D193" s="13"/>
      <c r="E193" s="13"/>
      <c r="F193" s="13"/>
      <c r="G193" s="13"/>
      <c r="H193" s="13"/>
      <c r="I193" s="13"/>
      <c r="J193" s="13"/>
      <c r="K193" s="13"/>
      <c r="L193" s="13"/>
      <c r="M193" s="13"/>
      <c r="N193" s="13"/>
      <c r="O193" s="13"/>
    </row>
    <row r="194" ht="15.75" customHeight="1">
      <c r="A194" s="13"/>
      <c r="B194" s="13"/>
      <c r="C194" s="13"/>
      <c r="D194" s="13"/>
      <c r="E194" s="13"/>
      <c r="F194" s="13"/>
      <c r="G194" s="13"/>
      <c r="H194" s="13"/>
      <c r="I194" s="13"/>
      <c r="J194" s="13"/>
      <c r="K194" s="13"/>
      <c r="L194" s="13"/>
      <c r="M194" s="13"/>
      <c r="N194" s="13"/>
      <c r="O194" s="13"/>
    </row>
    <row r="195" ht="15.75" customHeight="1">
      <c r="A195" s="13"/>
      <c r="B195" s="13"/>
      <c r="C195" s="13"/>
      <c r="D195" s="13"/>
      <c r="E195" s="13"/>
      <c r="F195" s="13"/>
      <c r="G195" s="13"/>
      <c r="H195" s="13"/>
      <c r="I195" s="13"/>
      <c r="J195" s="13"/>
      <c r="K195" s="13"/>
      <c r="L195" s="13"/>
      <c r="M195" s="13"/>
      <c r="N195" s="13"/>
      <c r="O195" s="13"/>
    </row>
    <row r="196" ht="15.75" customHeight="1">
      <c r="A196" s="13"/>
      <c r="B196" s="13"/>
      <c r="C196" s="13"/>
      <c r="D196" s="13"/>
      <c r="E196" s="13"/>
      <c r="F196" s="13"/>
      <c r="G196" s="13"/>
      <c r="H196" s="13"/>
      <c r="I196" s="13"/>
      <c r="J196" s="13"/>
      <c r="K196" s="13"/>
      <c r="L196" s="13"/>
      <c r="M196" s="13"/>
      <c r="N196" s="13"/>
      <c r="O196" s="13"/>
    </row>
    <row r="197" ht="15.75" customHeight="1">
      <c r="A197" s="13"/>
      <c r="B197" s="13"/>
      <c r="C197" s="13"/>
      <c r="D197" s="13"/>
      <c r="E197" s="13"/>
      <c r="F197" s="13"/>
      <c r="G197" s="13"/>
      <c r="H197" s="13"/>
      <c r="I197" s="13"/>
      <c r="J197" s="13"/>
      <c r="K197" s="13"/>
      <c r="L197" s="13"/>
      <c r="M197" s="13"/>
      <c r="N197" s="13"/>
      <c r="O197" s="13"/>
    </row>
    <row r="198" ht="15.75" customHeight="1">
      <c r="A198" s="13"/>
      <c r="B198" s="13"/>
      <c r="C198" s="13"/>
      <c r="D198" s="13"/>
      <c r="E198" s="13"/>
      <c r="F198" s="13"/>
      <c r="G198" s="13"/>
      <c r="H198" s="13"/>
      <c r="I198" s="13"/>
      <c r="J198" s="13"/>
      <c r="K198" s="13"/>
      <c r="L198" s="13"/>
      <c r="M198" s="13"/>
      <c r="N198" s="13"/>
      <c r="O198" s="13"/>
    </row>
    <row r="199" ht="15.75" customHeight="1">
      <c r="A199" s="13"/>
      <c r="B199" s="13"/>
      <c r="C199" s="13"/>
      <c r="D199" s="13"/>
      <c r="E199" s="13"/>
      <c r="F199" s="13"/>
      <c r="G199" s="13"/>
      <c r="H199" s="13"/>
      <c r="I199" s="13"/>
      <c r="J199" s="13"/>
      <c r="K199" s="13"/>
      <c r="L199" s="13"/>
      <c r="M199" s="13"/>
      <c r="N199" s="13"/>
      <c r="O199" s="13"/>
    </row>
    <row r="200" ht="15.75" customHeight="1">
      <c r="A200" s="13"/>
      <c r="B200" s="13"/>
      <c r="C200" s="13"/>
      <c r="D200" s="13"/>
      <c r="E200" s="13"/>
      <c r="F200" s="13"/>
      <c r="G200" s="13"/>
      <c r="H200" s="13"/>
      <c r="I200" s="13"/>
      <c r="J200" s="13"/>
      <c r="K200" s="13"/>
      <c r="L200" s="13"/>
      <c r="M200" s="13"/>
      <c r="N200" s="13"/>
      <c r="O200" s="13"/>
    </row>
    <row r="201" ht="15.75" customHeight="1">
      <c r="A201" s="13"/>
      <c r="B201" s="13"/>
      <c r="C201" s="13"/>
      <c r="D201" s="13"/>
      <c r="E201" s="13"/>
      <c r="F201" s="13"/>
      <c r="G201" s="13"/>
      <c r="H201" s="13"/>
      <c r="I201" s="13"/>
      <c r="J201" s="13"/>
      <c r="K201" s="13"/>
      <c r="L201" s="13"/>
      <c r="M201" s="13"/>
      <c r="N201" s="13"/>
      <c r="O201" s="13"/>
    </row>
    <row r="202" ht="15.75" customHeight="1">
      <c r="A202" s="13"/>
      <c r="B202" s="13"/>
      <c r="C202" s="13"/>
      <c r="D202" s="13"/>
      <c r="E202" s="13"/>
      <c r="F202" s="13"/>
      <c r="G202" s="13"/>
      <c r="H202" s="13"/>
      <c r="I202" s="13"/>
      <c r="J202" s="13"/>
      <c r="K202" s="13"/>
      <c r="L202" s="13"/>
      <c r="M202" s="13"/>
      <c r="N202" s="13"/>
      <c r="O202" s="13"/>
    </row>
    <row r="203" ht="15.75" customHeight="1">
      <c r="A203" s="13"/>
      <c r="B203" s="13"/>
      <c r="C203" s="13"/>
      <c r="D203" s="13"/>
      <c r="E203" s="13"/>
      <c r="F203" s="13"/>
      <c r="G203" s="13"/>
      <c r="H203" s="13"/>
      <c r="I203" s="13"/>
      <c r="J203" s="13"/>
      <c r="K203" s="13"/>
      <c r="L203" s="13"/>
      <c r="M203" s="13"/>
      <c r="N203" s="13"/>
      <c r="O203" s="13"/>
    </row>
    <row r="204" ht="15.75" customHeight="1">
      <c r="A204" s="13"/>
      <c r="B204" s="13"/>
      <c r="C204" s="13"/>
      <c r="D204" s="13"/>
      <c r="E204" s="13"/>
      <c r="F204" s="13"/>
      <c r="G204" s="13"/>
      <c r="H204" s="13"/>
      <c r="I204" s="13"/>
      <c r="J204" s="13"/>
      <c r="K204" s="13"/>
      <c r="L204" s="13"/>
      <c r="M204" s="13"/>
      <c r="N204" s="13"/>
      <c r="O204" s="13"/>
    </row>
    <row r="205" ht="15.75" customHeight="1">
      <c r="A205" s="13"/>
      <c r="B205" s="13"/>
      <c r="C205" s="13"/>
      <c r="D205" s="13"/>
      <c r="E205" s="13"/>
      <c r="F205" s="13"/>
      <c r="G205" s="13"/>
      <c r="H205" s="13"/>
      <c r="I205" s="13"/>
      <c r="J205" s="13"/>
      <c r="K205" s="13"/>
      <c r="L205" s="13"/>
      <c r="M205" s="13"/>
      <c r="N205" s="13"/>
      <c r="O205" s="13"/>
    </row>
    <row r="206" ht="15.75" customHeight="1">
      <c r="A206" s="13"/>
      <c r="B206" s="13"/>
      <c r="C206" s="13"/>
      <c r="D206" s="13"/>
      <c r="E206" s="13"/>
      <c r="F206" s="13"/>
      <c r="G206" s="13"/>
      <c r="H206" s="13"/>
      <c r="I206" s="13"/>
      <c r="J206" s="13"/>
      <c r="K206" s="13"/>
      <c r="L206" s="13"/>
      <c r="M206" s="13"/>
      <c r="N206" s="13"/>
      <c r="O206" s="13"/>
    </row>
    <row r="207" ht="15.75" customHeight="1">
      <c r="A207" s="13"/>
      <c r="B207" s="13"/>
      <c r="C207" s="13"/>
      <c r="D207" s="13"/>
      <c r="E207" s="13"/>
      <c r="F207" s="13"/>
      <c r="G207" s="13"/>
      <c r="H207" s="13"/>
      <c r="I207" s="13"/>
      <c r="J207" s="13"/>
      <c r="K207" s="13"/>
      <c r="L207" s="13"/>
      <c r="M207" s="13"/>
      <c r="N207" s="13"/>
      <c r="O207" s="13"/>
    </row>
    <row r="208" ht="15.75" customHeight="1">
      <c r="A208" s="13"/>
      <c r="B208" s="13"/>
      <c r="C208" s="13"/>
      <c r="D208" s="13"/>
      <c r="E208" s="13"/>
      <c r="F208" s="13"/>
      <c r="G208" s="13"/>
      <c r="H208" s="13"/>
      <c r="I208" s="13"/>
      <c r="J208" s="13"/>
      <c r="K208" s="13"/>
      <c r="L208" s="13"/>
      <c r="M208" s="13"/>
      <c r="N208" s="13"/>
      <c r="O208" s="13"/>
    </row>
    <row r="209" ht="15.75" customHeight="1">
      <c r="A209" s="13"/>
      <c r="B209" s="13"/>
      <c r="C209" s="13"/>
      <c r="D209" s="13"/>
      <c r="E209" s="13"/>
      <c r="F209" s="13"/>
      <c r="G209" s="13"/>
      <c r="H209" s="13"/>
      <c r="I209" s="13"/>
      <c r="J209" s="13"/>
      <c r="K209" s="13"/>
      <c r="L209" s="13"/>
      <c r="M209" s="13"/>
      <c r="N209" s="13"/>
      <c r="O209" s="13"/>
    </row>
    <row r="210" ht="15.75" customHeight="1">
      <c r="A210" s="13"/>
      <c r="B210" s="13"/>
      <c r="C210" s="13"/>
      <c r="D210" s="13"/>
      <c r="E210" s="13"/>
      <c r="F210" s="13"/>
      <c r="G210" s="13"/>
      <c r="H210" s="13"/>
      <c r="I210" s="13"/>
      <c r="J210" s="13"/>
      <c r="K210" s="13"/>
      <c r="L210" s="13"/>
      <c r="M210" s="13"/>
      <c r="N210" s="13"/>
      <c r="O210" s="13"/>
    </row>
    <row r="211" ht="15.75" customHeight="1">
      <c r="A211" s="13"/>
      <c r="B211" s="13"/>
      <c r="C211" s="13"/>
      <c r="D211" s="13"/>
      <c r="E211" s="13"/>
      <c r="F211" s="13"/>
      <c r="G211" s="13"/>
      <c r="H211" s="13"/>
      <c r="I211" s="13"/>
      <c r="J211" s="13"/>
      <c r="K211" s="13"/>
      <c r="L211" s="13"/>
      <c r="M211" s="13"/>
      <c r="N211" s="13"/>
      <c r="O211" s="13"/>
    </row>
    <row r="212" ht="15.75" customHeight="1">
      <c r="A212" s="13"/>
      <c r="B212" s="13"/>
      <c r="C212" s="13"/>
      <c r="D212" s="13"/>
      <c r="E212" s="13"/>
      <c r="F212" s="13"/>
      <c r="G212" s="13"/>
      <c r="H212" s="13"/>
      <c r="I212" s="13"/>
      <c r="J212" s="13"/>
      <c r="K212" s="13"/>
      <c r="L212" s="13"/>
      <c r="M212" s="13"/>
      <c r="N212" s="13"/>
      <c r="O212" s="13"/>
    </row>
    <row r="213" ht="15.75" customHeight="1">
      <c r="A213" s="13"/>
      <c r="B213" s="13"/>
      <c r="C213" s="13"/>
      <c r="D213" s="13"/>
      <c r="E213" s="13"/>
      <c r="F213" s="13"/>
      <c r="G213" s="13"/>
      <c r="H213" s="13"/>
      <c r="I213" s="13"/>
      <c r="J213" s="13"/>
      <c r="K213" s="13"/>
      <c r="L213" s="13"/>
      <c r="M213" s="13"/>
      <c r="N213" s="13"/>
      <c r="O213" s="13"/>
    </row>
    <row r="214" ht="15.75" customHeight="1">
      <c r="A214" s="13"/>
      <c r="B214" s="13"/>
      <c r="C214" s="13"/>
      <c r="D214" s="13"/>
      <c r="E214" s="13"/>
      <c r="F214" s="13"/>
      <c r="G214" s="13"/>
      <c r="H214" s="13"/>
      <c r="I214" s="13"/>
      <c r="J214" s="13"/>
      <c r="K214" s="13"/>
      <c r="L214" s="13"/>
      <c r="M214" s="13"/>
      <c r="N214" s="13"/>
      <c r="O214" s="13"/>
    </row>
    <row r="215" ht="15.75" customHeight="1">
      <c r="A215" s="13"/>
      <c r="B215" s="13"/>
      <c r="C215" s="13"/>
      <c r="D215" s="13"/>
      <c r="E215" s="13"/>
      <c r="F215" s="13"/>
      <c r="G215" s="13"/>
      <c r="H215" s="13"/>
      <c r="I215" s="13"/>
      <c r="J215" s="13"/>
      <c r="K215" s="13"/>
      <c r="L215" s="13"/>
      <c r="M215" s="13"/>
      <c r="N215" s="13"/>
      <c r="O215" s="13"/>
    </row>
    <row r="216" ht="15.75" customHeight="1">
      <c r="A216" s="13"/>
      <c r="B216" s="13"/>
      <c r="C216" s="13"/>
      <c r="D216" s="13"/>
      <c r="E216" s="13"/>
      <c r="F216" s="13"/>
      <c r="G216" s="13"/>
      <c r="H216" s="13"/>
      <c r="I216" s="13"/>
      <c r="J216" s="13"/>
      <c r="K216" s="13"/>
      <c r="L216" s="13"/>
      <c r="M216" s="13"/>
      <c r="N216" s="13"/>
      <c r="O216" s="13"/>
    </row>
    <row r="217" ht="15.75" customHeight="1">
      <c r="A217" s="13"/>
      <c r="B217" s="13"/>
      <c r="C217" s="13"/>
      <c r="D217" s="13"/>
      <c r="E217" s="13"/>
      <c r="F217" s="13"/>
      <c r="G217" s="13"/>
      <c r="H217" s="13"/>
      <c r="I217" s="13"/>
      <c r="J217" s="13"/>
      <c r="K217" s="13"/>
      <c r="L217" s="13"/>
      <c r="M217" s="13"/>
      <c r="N217" s="13"/>
      <c r="O217" s="13"/>
    </row>
    <row r="218" ht="15.75" customHeight="1">
      <c r="A218" s="13"/>
      <c r="B218" s="13"/>
      <c r="C218" s="13"/>
      <c r="D218" s="13"/>
      <c r="E218" s="13"/>
      <c r="F218" s="13"/>
      <c r="G218" s="13"/>
      <c r="H218" s="13"/>
      <c r="I218" s="13"/>
      <c r="J218" s="13"/>
      <c r="K218" s="13"/>
      <c r="L218" s="13"/>
      <c r="M218" s="13"/>
      <c r="N218" s="13"/>
      <c r="O218" s="13"/>
    </row>
    <row r="219" ht="15.75" customHeight="1">
      <c r="A219" s="13"/>
      <c r="B219" s="13"/>
      <c r="C219" s="13"/>
      <c r="D219" s="13"/>
      <c r="E219" s="13"/>
      <c r="F219" s="13"/>
      <c r="G219" s="13"/>
      <c r="H219" s="13"/>
      <c r="I219" s="13"/>
      <c r="J219" s="13"/>
      <c r="K219" s="13"/>
      <c r="L219" s="13"/>
      <c r="M219" s="13"/>
      <c r="N219" s="13"/>
      <c r="O219" s="13"/>
    </row>
    <row r="220" ht="15.75" customHeight="1">
      <c r="A220" s="13"/>
      <c r="B220" s="13"/>
      <c r="C220" s="13"/>
      <c r="D220" s="13"/>
      <c r="E220" s="13"/>
      <c r="F220" s="13"/>
      <c r="G220" s="13"/>
      <c r="H220" s="13"/>
      <c r="I220" s="13"/>
      <c r="J220" s="13"/>
      <c r="K220" s="13"/>
      <c r="L220" s="13"/>
      <c r="M220" s="13"/>
      <c r="N220" s="13"/>
      <c r="O220" s="13"/>
    </row>
    <row r="221" ht="15.75" customHeight="1">
      <c r="A221" s="13"/>
      <c r="B221" s="13"/>
      <c r="C221" s="13"/>
      <c r="D221" s="13"/>
      <c r="E221" s="13"/>
      <c r="F221" s="13"/>
      <c r="G221" s="13"/>
      <c r="H221" s="13"/>
      <c r="I221" s="13"/>
      <c r="J221" s="13"/>
      <c r="K221" s="13"/>
      <c r="L221" s="13"/>
      <c r="M221" s="13"/>
      <c r="N221" s="13"/>
      <c r="O221" s="13"/>
    </row>
    <row r="222" ht="15.75" customHeight="1">
      <c r="A222" s="13"/>
      <c r="B222" s="13"/>
      <c r="C222" s="13"/>
      <c r="D222" s="13"/>
      <c r="E222" s="13"/>
      <c r="F222" s="13"/>
      <c r="G222" s="13"/>
      <c r="H222" s="13"/>
      <c r="I222" s="13"/>
      <c r="J222" s="13"/>
      <c r="K222" s="13"/>
      <c r="L222" s="13"/>
      <c r="M222" s="13"/>
      <c r="N222" s="13"/>
      <c r="O222" s="13"/>
    </row>
    <row r="223" ht="15.75" customHeight="1">
      <c r="A223" s="13"/>
      <c r="B223" s="13"/>
      <c r="C223" s="13"/>
      <c r="D223" s="13"/>
      <c r="E223" s="13"/>
      <c r="F223" s="13"/>
      <c r="G223" s="13"/>
      <c r="H223" s="13"/>
      <c r="I223" s="13"/>
      <c r="J223" s="13"/>
      <c r="K223" s="13"/>
      <c r="L223" s="13"/>
      <c r="M223" s="13"/>
      <c r="N223" s="13"/>
      <c r="O223" s="13"/>
    </row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B1:D2"/>
    <mergeCell ref="E1:F2"/>
  </mergeCells>
  <dataValidations>
    <dataValidation type="list" allowBlank="1" showErrorMessage="1" sqref="G4:O124">
      <formula1>"선택,완료"</formula1>
    </dataValidation>
  </dataValidations>
  <hyperlinks>
    <hyperlink r:id="rId1" ref="D5"/>
    <hyperlink r:id="rId2" ref="D24"/>
    <hyperlink r:id="rId3" ref="D25"/>
    <hyperlink r:id="rId4" ref="D30"/>
    <hyperlink r:id="rId5" ref="D31"/>
    <hyperlink r:id="rId6" ref="D36"/>
    <hyperlink r:id="rId7" ref="D51"/>
    <hyperlink r:id="rId8" ref="D70"/>
    <hyperlink r:id="rId9" ref="D86"/>
    <hyperlink r:id="rId10" ref="D93"/>
    <hyperlink r:id="rId11" ref="D96"/>
    <hyperlink r:id="rId12" ref="D97"/>
  </hyperlinks>
  <drawing r:id="rId13"/>
  <tableParts count="1">
    <tablePart r:id="rId15"/>
  </tableParts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0"/>
  <cols>
    <col customWidth="1" min="1" max="1" width="3.0"/>
    <col customWidth="1" min="2" max="2" width="5.75"/>
    <col customWidth="1" min="3" max="3" width="18.63"/>
    <col customWidth="1" min="4" max="4" width="21.13"/>
    <col customWidth="1" min="5" max="6" width="12.63"/>
  </cols>
  <sheetData>
    <row r="1" ht="15.75" customHeight="1">
      <c r="A1" s="1"/>
      <c r="B1" s="60" t="s">
        <v>0</v>
      </c>
      <c r="E1" s="3" t="s">
        <v>1</v>
      </c>
      <c r="G1" s="5" t="s">
        <v>587</v>
      </c>
      <c r="H1" s="5" t="s">
        <v>588</v>
      </c>
      <c r="I1" s="5" t="s">
        <v>589</v>
      </c>
      <c r="J1" s="5" t="s">
        <v>590</v>
      </c>
      <c r="K1" s="5" t="s">
        <v>591</v>
      </c>
      <c r="L1" s="5" t="s">
        <v>592</v>
      </c>
      <c r="M1" s="5" t="s">
        <v>593</v>
      </c>
      <c r="N1" s="5" t="s">
        <v>594</v>
      </c>
    </row>
    <row r="2" ht="15.75" customHeight="1">
      <c r="A2" s="1"/>
      <c r="G2" s="7" t="s">
        <v>595</v>
      </c>
      <c r="H2" s="7" t="s">
        <v>596</v>
      </c>
      <c r="I2" s="7" t="s">
        <v>597</v>
      </c>
      <c r="J2" s="7" t="s">
        <v>598</v>
      </c>
      <c r="K2" s="7" t="s">
        <v>599</v>
      </c>
      <c r="L2" s="7" t="s">
        <v>600</v>
      </c>
      <c r="M2" s="7" t="s">
        <v>601</v>
      </c>
      <c r="N2" s="7" t="s">
        <v>602</v>
      </c>
    </row>
    <row r="3" ht="15.75" customHeight="1">
      <c r="A3" s="1"/>
      <c r="B3" s="1"/>
      <c r="C3" s="1"/>
      <c r="D3" s="1"/>
      <c r="E3" s="8"/>
      <c r="F3" s="8"/>
      <c r="G3" s="10" t="str">
        <f t="shared" ref="G3:N3" si="1">COUNTIF(G5:G200, "완료") &amp; "명 완료"
</f>
        <v>65명 완료</v>
      </c>
      <c r="H3" s="10" t="str">
        <f t="shared" si="1"/>
        <v>68명 완료</v>
      </c>
      <c r="I3" s="10" t="str">
        <f t="shared" si="1"/>
        <v>74명 완료</v>
      </c>
      <c r="J3" s="10" t="str">
        <f t="shared" si="1"/>
        <v>74명 완료</v>
      </c>
      <c r="K3" s="10" t="str">
        <f t="shared" si="1"/>
        <v>70명 완료</v>
      </c>
      <c r="L3" s="10" t="str">
        <f t="shared" si="1"/>
        <v>69명 완료</v>
      </c>
      <c r="M3" s="10" t="str">
        <f t="shared" si="1"/>
        <v>62명 완료</v>
      </c>
      <c r="N3" s="10" t="str">
        <f t="shared" si="1"/>
        <v>60명 완료</v>
      </c>
    </row>
    <row r="4" ht="15.75" customHeight="1">
      <c r="A4" s="192"/>
      <c r="B4" s="63" t="s">
        <v>20</v>
      </c>
      <c r="C4" s="64" t="s">
        <v>21</v>
      </c>
      <c r="D4" s="64" t="s">
        <v>22</v>
      </c>
      <c r="E4" s="65" t="s">
        <v>23</v>
      </c>
      <c r="F4" s="65" t="s">
        <v>24</v>
      </c>
      <c r="G4" s="66" t="s">
        <v>25</v>
      </c>
      <c r="H4" s="66" t="s">
        <v>25</v>
      </c>
      <c r="I4" s="66" t="s">
        <v>25</v>
      </c>
      <c r="J4" s="66" t="s">
        <v>25</v>
      </c>
      <c r="K4" s="66" t="s">
        <v>25</v>
      </c>
      <c r="L4" s="66" t="s">
        <v>25</v>
      </c>
      <c r="M4" s="66" t="s">
        <v>25</v>
      </c>
      <c r="N4" s="66" t="s">
        <v>25</v>
      </c>
    </row>
    <row r="5" ht="15.75" customHeight="1">
      <c r="A5" s="20"/>
      <c r="B5" s="21">
        <v>1.0</v>
      </c>
      <c r="C5" s="22" t="s">
        <v>26</v>
      </c>
      <c r="D5" s="69" t="s">
        <v>27</v>
      </c>
      <c r="E5" s="70" t="str">
        <f t="shared" ref="E5:E124" si="2">IF(COUNTIF(G5:O5, "완료")=0, "", COUNTIF($G$4:$O$4, "완료") &amp; "번 중 " &amp; COUNTIF(G5:O5, "완료") &amp; "번 참여")
</f>
        <v>8번 중 8번 참여</v>
      </c>
      <c r="F5" s="71">
        <f t="shared" ref="F5:F124" si="3">IF(COUNTIF($G$4:$N$4, "완료")=0, "", IF(COUNTIF(G5:O5, "완료")=0, "", COUNTIF(G5:O5, "완료") / COUNTIF($G$4:$O$4, "완료")))
</f>
        <v>1</v>
      </c>
      <c r="G5" s="26" t="s">
        <v>25</v>
      </c>
      <c r="H5" s="26" t="s">
        <v>25</v>
      </c>
      <c r="I5" s="26" t="s">
        <v>25</v>
      </c>
      <c r="J5" s="26" t="s">
        <v>25</v>
      </c>
      <c r="K5" s="26" t="s">
        <v>25</v>
      </c>
      <c r="L5" s="26" t="s">
        <v>25</v>
      </c>
      <c r="M5" s="26" t="s">
        <v>25</v>
      </c>
      <c r="N5" s="26" t="s">
        <v>25</v>
      </c>
    </row>
    <row r="6" ht="15.75" customHeight="1">
      <c r="A6" s="28"/>
      <c r="B6" s="29">
        <v>2.0</v>
      </c>
      <c r="C6" s="30" t="s">
        <v>28</v>
      </c>
      <c r="D6" s="30" t="s">
        <v>29</v>
      </c>
      <c r="E6" s="70" t="str">
        <f t="shared" si="2"/>
        <v>8번 중 8번 참여</v>
      </c>
      <c r="F6" s="71">
        <f t="shared" si="3"/>
        <v>1</v>
      </c>
      <c r="G6" s="26" t="s">
        <v>25</v>
      </c>
      <c r="H6" s="26" t="s">
        <v>25</v>
      </c>
      <c r="I6" s="26" t="s">
        <v>25</v>
      </c>
      <c r="J6" s="26" t="s">
        <v>25</v>
      </c>
      <c r="K6" s="26" t="s">
        <v>25</v>
      </c>
      <c r="L6" s="26" t="s">
        <v>25</v>
      </c>
      <c r="M6" s="26" t="s">
        <v>25</v>
      </c>
      <c r="N6" s="26" t="s">
        <v>25</v>
      </c>
    </row>
    <row r="7" ht="15.75" customHeight="1">
      <c r="A7" s="20"/>
      <c r="B7" s="21">
        <v>3.0</v>
      </c>
      <c r="C7" s="30" t="s">
        <v>30</v>
      </c>
      <c r="D7" s="30" t="s">
        <v>31</v>
      </c>
      <c r="E7" s="70" t="str">
        <f t="shared" si="2"/>
        <v>8번 중 7번 참여</v>
      </c>
      <c r="F7" s="71">
        <f t="shared" si="3"/>
        <v>0.875</v>
      </c>
      <c r="G7" s="26" t="s">
        <v>25</v>
      </c>
      <c r="H7" s="26" t="s">
        <v>25</v>
      </c>
      <c r="I7" s="26" t="s">
        <v>25</v>
      </c>
      <c r="J7" s="26" t="s">
        <v>25</v>
      </c>
      <c r="K7" s="26" t="s">
        <v>25</v>
      </c>
      <c r="L7" s="26"/>
      <c r="M7" s="26" t="s">
        <v>25</v>
      </c>
      <c r="N7" s="26" t="s">
        <v>25</v>
      </c>
    </row>
    <row r="8" ht="15.75" customHeight="1">
      <c r="A8" s="28"/>
      <c r="B8" s="29">
        <v>4.0</v>
      </c>
      <c r="C8" s="22" t="s">
        <v>32</v>
      </c>
      <c r="D8" s="22" t="s">
        <v>33</v>
      </c>
      <c r="E8" s="70" t="str">
        <f t="shared" si="2"/>
        <v>8번 중 7번 참여</v>
      </c>
      <c r="F8" s="71">
        <f t="shared" si="3"/>
        <v>0.875</v>
      </c>
      <c r="G8" s="26" t="s">
        <v>25</v>
      </c>
      <c r="H8" s="26" t="s">
        <v>25</v>
      </c>
      <c r="I8" s="26" t="s">
        <v>25</v>
      </c>
      <c r="J8" s="26" t="s">
        <v>25</v>
      </c>
      <c r="K8" s="26" t="s">
        <v>25</v>
      </c>
      <c r="L8" s="26"/>
      <c r="M8" s="26" t="s">
        <v>25</v>
      </c>
      <c r="N8" s="26" t="s">
        <v>25</v>
      </c>
    </row>
    <row r="9" ht="15.75" customHeight="1">
      <c r="A9" s="20"/>
      <c r="B9" s="21">
        <v>5.0</v>
      </c>
      <c r="C9" s="30" t="s">
        <v>34</v>
      </c>
      <c r="D9" s="30" t="s">
        <v>35</v>
      </c>
      <c r="E9" s="70" t="str">
        <f t="shared" si="2"/>
        <v>8번 중 7번 참여</v>
      </c>
      <c r="F9" s="71">
        <f t="shared" si="3"/>
        <v>0.875</v>
      </c>
      <c r="G9" s="26"/>
      <c r="H9" s="26" t="s">
        <v>25</v>
      </c>
      <c r="I9" s="26" t="s">
        <v>25</v>
      </c>
      <c r="J9" s="26" t="s">
        <v>25</v>
      </c>
      <c r="K9" s="26" t="s">
        <v>25</v>
      </c>
      <c r="L9" s="26" t="s">
        <v>25</v>
      </c>
      <c r="M9" s="26" t="s">
        <v>25</v>
      </c>
      <c r="N9" s="26" t="s">
        <v>25</v>
      </c>
    </row>
    <row r="10" ht="15.75" customHeight="1">
      <c r="A10" s="28"/>
      <c r="B10" s="29">
        <v>6.0</v>
      </c>
      <c r="C10" s="22" t="s">
        <v>36</v>
      </c>
      <c r="D10" s="22" t="s">
        <v>72</v>
      </c>
      <c r="E10" s="70" t="str">
        <f t="shared" si="2"/>
        <v>8번 중 7번 참여</v>
      </c>
      <c r="F10" s="71">
        <f t="shared" si="3"/>
        <v>0.875</v>
      </c>
      <c r="G10" s="26"/>
      <c r="H10" s="26" t="s">
        <v>25</v>
      </c>
      <c r="I10" s="26" t="s">
        <v>25</v>
      </c>
      <c r="J10" s="26" t="s">
        <v>25</v>
      </c>
      <c r="K10" s="26" t="s">
        <v>25</v>
      </c>
      <c r="L10" s="26" t="s">
        <v>25</v>
      </c>
      <c r="M10" s="26" t="s">
        <v>25</v>
      </c>
      <c r="N10" s="26" t="s">
        <v>25</v>
      </c>
    </row>
    <row r="11" ht="15.75" customHeight="1">
      <c r="A11" s="20"/>
      <c r="B11" s="21">
        <v>7.0</v>
      </c>
      <c r="C11" s="30" t="s">
        <v>38</v>
      </c>
      <c r="D11" s="30" t="s">
        <v>39</v>
      </c>
      <c r="E11" s="70" t="str">
        <f t="shared" si="2"/>
        <v>8번 중 8번 참여</v>
      </c>
      <c r="F11" s="71">
        <f t="shared" si="3"/>
        <v>1</v>
      </c>
      <c r="G11" s="26" t="s">
        <v>25</v>
      </c>
      <c r="H11" s="26" t="s">
        <v>25</v>
      </c>
      <c r="I11" s="26" t="s">
        <v>25</v>
      </c>
      <c r="J11" s="26" t="s">
        <v>25</v>
      </c>
      <c r="K11" s="26" t="s">
        <v>25</v>
      </c>
      <c r="L11" s="26" t="s">
        <v>25</v>
      </c>
      <c r="M11" s="26" t="s">
        <v>25</v>
      </c>
      <c r="N11" s="26" t="s">
        <v>25</v>
      </c>
    </row>
    <row r="12" ht="15.75" customHeight="1">
      <c r="A12" s="28"/>
      <c r="B12" s="29">
        <v>8.0</v>
      </c>
      <c r="C12" s="22" t="s">
        <v>40</v>
      </c>
      <c r="D12" s="22" t="s">
        <v>41</v>
      </c>
      <c r="E12" s="70" t="str">
        <f t="shared" si="2"/>
        <v>8번 중 8번 참여</v>
      </c>
      <c r="F12" s="71">
        <f t="shared" si="3"/>
        <v>1</v>
      </c>
      <c r="G12" s="26" t="s">
        <v>25</v>
      </c>
      <c r="H12" s="26" t="s">
        <v>25</v>
      </c>
      <c r="I12" s="26" t="s">
        <v>25</v>
      </c>
      <c r="J12" s="26" t="s">
        <v>25</v>
      </c>
      <c r="K12" s="26" t="s">
        <v>25</v>
      </c>
      <c r="L12" s="26" t="s">
        <v>25</v>
      </c>
      <c r="M12" s="26" t="s">
        <v>25</v>
      </c>
      <c r="N12" s="26" t="s">
        <v>25</v>
      </c>
    </row>
    <row r="13" ht="15.75" customHeight="1">
      <c r="A13" s="20"/>
      <c r="B13" s="21">
        <v>9.0</v>
      </c>
      <c r="C13" s="30" t="s">
        <v>42</v>
      </c>
      <c r="D13" s="30" t="s">
        <v>43</v>
      </c>
      <c r="E13" s="70" t="str">
        <f t="shared" si="2"/>
        <v>8번 중 5번 참여</v>
      </c>
      <c r="F13" s="71">
        <f t="shared" si="3"/>
        <v>0.625</v>
      </c>
      <c r="G13" s="26" t="s">
        <v>25</v>
      </c>
      <c r="H13" s="26"/>
      <c r="I13" s="26" t="s">
        <v>25</v>
      </c>
      <c r="J13" s="26" t="s">
        <v>25</v>
      </c>
      <c r="K13" s="26"/>
      <c r="L13" s="26"/>
      <c r="M13" s="26" t="s">
        <v>25</v>
      </c>
      <c r="N13" s="26" t="s">
        <v>25</v>
      </c>
    </row>
    <row r="14" ht="15.75" customHeight="1">
      <c r="A14" s="28"/>
      <c r="B14" s="29">
        <v>10.0</v>
      </c>
      <c r="C14" s="42" t="s">
        <v>134</v>
      </c>
      <c r="D14" s="42" t="s">
        <v>431</v>
      </c>
      <c r="E14" s="70" t="str">
        <f t="shared" si="2"/>
        <v>8번 중 7번 참여</v>
      </c>
      <c r="F14" s="71">
        <f t="shared" si="3"/>
        <v>0.875</v>
      </c>
      <c r="G14" s="26" t="s">
        <v>25</v>
      </c>
      <c r="H14" s="26" t="s">
        <v>25</v>
      </c>
      <c r="I14" s="26" t="s">
        <v>25</v>
      </c>
      <c r="J14" s="26" t="s">
        <v>25</v>
      </c>
      <c r="K14" s="26" t="s">
        <v>25</v>
      </c>
      <c r="L14" s="26" t="s">
        <v>25</v>
      </c>
      <c r="M14" s="26" t="s">
        <v>25</v>
      </c>
      <c r="N14" s="26"/>
    </row>
    <row r="15" ht="15.75" customHeight="1">
      <c r="A15" s="20"/>
      <c r="B15" s="21">
        <v>11.0</v>
      </c>
      <c r="C15" s="105" t="s">
        <v>603</v>
      </c>
      <c r="D15" s="105" t="s">
        <v>604</v>
      </c>
      <c r="E15" s="70" t="str">
        <f t="shared" si="2"/>
        <v>8번 중 8번 참여</v>
      </c>
      <c r="F15" s="71">
        <f t="shared" si="3"/>
        <v>1</v>
      </c>
      <c r="G15" s="26" t="s">
        <v>25</v>
      </c>
      <c r="H15" s="26" t="s">
        <v>25</v>
      </c>
      <c r="I15" s="26" t="s">
        <v>25</v>
      </c>
      <c r="J15" s="26" t="s">
        <v>25</v>
      </c>
      <c r="K15" s="26" t="s">
        <v>25</v>
      </c>
      <c r="L15" s="26" t="s">
        <v>25</v>
      </c>
      <c r="M15" s="26" t="s">
        <v>25</v>
      </c>
      <c r="N15" s="26" t="s">
        <v>25</v>
      </c>
    </row>
    <row r="16" ht="15.75" customHeight="1">
      <c r="A16" s="28"/>
      <c r="B16" s="29">
        <v>12.0</v>
      </c>
      <c r="C16" s="22" t="s">
        <v>44</v>
      </c>
      <c r="D16" s="22" t="s">
        <v>45</v>
      </c>
      <c r="E16" s="70" t="str">
        <f t="shared" si="2"/>
        <v>8번 중 8번 참여</v>
      </c>
      <c r="F16" s="71">
        <f t="shared" si="3"/>
        <v>1</v>
      </c>
      <c r="G16" s="26" t="s">
        <v>25</v>
      </c>
      <c r="H16" s="26" t="s">
        <v>25</v>
      </c>
      <c r="I16" s="26" t="s">
        <v>25</v>
      </c>
      <c r="J16" s="26" t="s">
        <v>25</v>
      </c>
      <c r="K16" s="26" t="s">
        <v>25</v>
      </c>
      <c r="L16" s="26" t="s">
        <v>25</v>
      </c>
      <c r="M16" s="26" t="s">
        <v>25</v>
      </c>
      <c r="N16" s="26" t="s">
        <v>25</v>
      </c>
    </row>
    <row r="17" ht="15.75" customHeight="1">
      <c r="A17" s="20"/>
      <c r="B17" s="21">
        <v>13.0</v>
      </c>
      <c r="C17" s="30" t="s">
        <v>46</v>
      </c>
      <c r="D17" s="30" t="s">
        <v>47</v>
      </c>
      <c r="E17" s="70" t="str">
        <f t="shared" si="2"/>
        <v>8번 중 5번 참여</v>
      </c>
      <c r="F17" s="71">
        <f t="shared" si="3"/>
        <v>0.625</v>
      </c>
      <c r="G17" s="26" t="s">
        <v>25</v>
      </c>
      <c r="H17" s="26" t="s">
        <v>25</v>
      </c>
      <c r="I17" s="26" t="s">
        <v>25</v>
      </c>
      <c r="J17" s="26" t="s">
        <v>25</v>
      </c>
      <c r="K17" s="26" t="s">
        <v>25</v>
      </c>
      <c r="L17" s="26"/>
      <c r="M17" s="26"/>
      <c r="N17" s="26"/>
    </row>
    <row r="18" ht="15.75" customHeight="1">
      <c r="A18" s="28"/>
      <c r="B18" s="29">
        <v>14.0</v>
      </c>
      <c r="C18" s="22" t="s">
        <v>48</v>
      </c>
      <c r="D18" s="22" t="s">
        <v>49</v>
      </c>
      <c r="E18" s="70" t="str">
        <f t="shared" si="2"/>
        <v>8번 중 8번 참여</v>
      </c>
      <c r="F18" s="71">
        <f t="shared" si="3"/>
        <v>1</v>
      </c>
      <c r="G18" s="26" t="s">
        <v>25</v>
      </c>
      <c r="H18" s="26" t="s">
        <v>25</v>
      </c>
      <c r="I18" s="26" t="s">
        <v>25</v>
      </c>
      <c r="J18" s="26" t="s">
        <v>25</v>
      </c>
      <c r="K18" s="26" t="s">
        <v>25</v>
      </c>
      <c r="L18" s="26" t="s">
        <v>25</v>
      </c>
      <c r="M18" s="206" t="s">
        <v>25</v>
      </c>
      <c r="N18" s="26" t="s">
        <v>25</v>
      </c>
    </row>
    <row r="19" ht="15.75" customHeight="1">
      <c r="A19" s="20"/>
      <c r="B19" s="21">
        <v>15.0</v>
      </c>
      <c r="C19" s="30" t="s">
        <v>50</v>
      </c>
      <c r="D19" s="30" t="s">
        <v>51</v>
      </c>
      <c r="E19" s="70" t="str">
        <f t="shared" si="2"/>
        <v>8번 중 8번 참여</v>
      </c>
      <c r="F19" s="71">
        <f t="shared" si="3"/>
        <v>1</v>
      </c>
      <c r="G19" s="26" t="s">
        <v>25</v>
      </c>
      <c r="H19" s="26" t="s">
        <v>25</v>
      </c>
      <c r="I19" s="26" t="s">
        <v>25</v>
      </c>
      <c r="J19" s="26" t="s">
        <v>25</v>
      </c>
      <c r="K19" s="26" t="s">
        <v>25</v>
      </c>
      <c r="L19" s="26" t="s">
        <v>25</v>
      </c>
      <c r="M19" s="26" t="s">
        <v>25</v>
      </c>
      <c r="N19" s="26" t="s">
        <v>25</v>
      </c>
    </row>
    <row r="20" ht="15.75" customHeight="1">
      <c r="A20" s="28"/>
      <c r="B20" s="29">
        <v>16.0</v>
      </c>
      <c r="C20" s="22" t="s">
        <v>52</v>
      </c>
      <c r="D20" s="22" t="s">
        <v>53</v>
      </c>
      <c r="E20" s="70" t="str">
        <f t="shared" si="2"/>
        <v>8번 중 7번 참여</v>
      </c>
      <c r="F20" s="71">
        <f t="shared" si="3"/>
        <v>0.875</v>
      </c>
      <c r="G20" s="26" t="s">
        <v>25</v>
      </c>
      <c r="H20" s="26" t="s">
        <v>25</v>
      </c>
      <c r="I20" s="26" t="s">
        <v>25</v>
      </c>
      <c r="J20" s="26" t="s">
        <v>25</v>
      </c>
      <c r="K20" s="26" t="s">
        <v>25</v>
      </c>
      <c r="L20" s="26" t="s">
        <v>25</v>
      </c>
      <c r="M20" s="26" t="s">
        <v>25</v>
      </c>
      <c r="N20" s="26"/>
    </row>
    <row r="21" ht="15.75" customHeight="1">
      <c r="A21" s="20"/>
      <c r="B21" s="21">
        <v>17.0</v>
      </c>
      <c r="C21" s="105" t="s">
        <v>54</v>
      </c>
      <c r="D21" s="105" t="s">
        <v>55</v>
      </c>
      <c r="E21" s="70" t="str">
        <f t="shared" si="2"/>
        <v>8번 중 7번 참여</v>
      </c>
      <c r="F21" s="71">
        <f t="shared" si="3"/>
        <v>0.875</v>
      </c>
      <c r="G21" s="26" t="s">
        <v>25</v>
      </c>
      <c r="H21" s="26"/>
      <c r="I21" s="26" t="s">
        <v>25</v>
      </c>
      <c r="J21" s="26" t="s">
        <v>25</v>
      </c>
      <c r="K21" s="26" t="s">
        <v>25</v>
      </c>
      <c r="L21" s="26" t="s">
        <v>25</v>
      </c>
      <c r="M21" s="26" t="s">
        <v>25</v>
      </c>
      <c r="N21" s="26" t="s">
        <v>25</v>
      </c>
    </row>
    <row r="22" ht="15.75" customHeight="1">
      <c r="A22" s="28"/>
      <c r="B22" s="29">
        <v>18.0</v>
      </c>
      <c r="C22" s="22" t="s">
        <v>56</v>
      </c>
      <c r="D22" s="22" t="s">
        <v>57</v>
      </c>
      <c r="E22" s="70" t="str">
        <f t="shared" si="2"/>
        <v>8번 중 8번 참여</v>
      </c>
      <c r="F22" s="71">
        <f t="shared" si="3"/>
        <v>1</v>
      </c>
      <c r="G22" s="26" t="s">
        <v>25</v>
      </c>
      <c r="H22" s="26" t="s">
        <v>25</v>
      </c>
      <c r="I22" s="26" t="s">
        <v>25</v>
      </c>
      <c r="J22" s="26" t="s">
        <v>25</v>
      </c>
      <c r="K22" s="26" t="s">
        <v>25</v>
      </c>
      <c r="L22" s="26" t="s">
        <v>25</v>
      </c>
      <c r="M22" s="26" t="s">
        <v>25</v>
      </c>
      <c r="N22" s="26" t="s">
        <v>25</v>
      </c>
    </row>
    <row r="23" ht="15.75" customHeight="1">
      <c r="A23" s="20"/>
      <c r="B23" s="21">
        <v>19.0</v>
      </c>
      <c r="C23" s="30" t="s">
        <v>58</v>
      </c>
      <c r="D23" s="72" t="s">
        <v>59</v>
      </c>
      <c r="E23" s="70" t="str">
        <f t="shared" si="2"/>
        <v/>
      </c>
      <c r="F23" s="71" t="str">
        <f t="shared" si="3"/>
        <v/>
      </c>
      <c r="G23" s="26"/>
      <c r="H23" s="26"/>
      <c r="I23" s="26"/>
      <c r="J23" s="26"/>
      <c r="K23" s="26"/>
      <c r="L23" s="26"/>
      <c r="M23" s="26"/>
      <c r="N23" s="26"/>
    </row>
    <row r="24" ht="15.75" customHeight="1">
      <c r="A24" s="28"/>
      <c r="B24" s="29">
        <v>20.0</v>
      </c>
      <c r="C24" s="22" t="s">
        <v>60</v>
      </c>
      <c r="D24" s="69" t="s">
        <v>61</v>
      </c>
      <c r="E24" s="70" t="str">
        <f t="shared" si="2"/>
        <v>8번 중 8번 참여</v>
      </c>
      <c r="F24" s="71">
        <f t="shared" si="3"/>
        <v>1</v>
      </c>
      <c r="G24" s="26" t="s">
        <v>25</v>
      </c>
      <c r="H24" s="26" t="s">
        <v>25</v>
      </c>
      <c r="I24" s="26" t="s">
        <v>25</v>
      </c>
      <c r="J24" s="26" t="s">
        <v>25</v>
      </c>
      <c r="K24" s="26" t="s">
        <v>25</v>
      </c>
      <c r="L24" s="26" t="s">
        <v>25</v>
      </c>
      <c r="M24" s="26" t="s">
        <v>25</v>
      </c>
      <c r="N24" s="26" t="s">
        <v>25</v>
      </c>
    </row>
    <row r="25" ht="15.75" customHeight="1">
      <c r="A25" s="20"/>
      <c r="B25" s="21">
        <v>21.0</v>
      </c>
      <c r="C25" s="42" t="s">
        <v>62</v>
      </c>
      <c r="D25" s="73" t="s">
        <v>63</v>
      </c>
      <c r="E25" s="70" t="str">
        <f t="shared" si="2"/>
        <v>8번 중 8번 참여</v>
      </c>
      <c r="F25" s="71">
        <f t="shared" si="3"/>
        <v>1</v>
      </c>
      <c r="G25" s="26" t="s">
        <v>25</v>
      </c>
      <c r="H25" s="26" t="s">
        <v>25</v>
      </c>
      <c r="I25" s="26" t="s">
        <v>25</v>
      </c>
      <c r="J25" s="26" t="s">
        <v>25</v>
      </c>
      <c r="K25" s="26" t="s">
        <v>25</v>
      </c>
      <c r="L25" s="26" t="s">
        <v>25</v>
      </c>
      <c r="M25" s="26" t="s">
        <v>25</v>
      </c>
      <c r="N25" s="26" t="s">
        <v>25</v>
      </c>
    </row>
    <row r="26" ht="15.75" customHeight="1">
      <c r="A26" s="28"/>
      <c r="B26" s="29">
        <v>22.0</v>
      </c>
      <c r="C26" s="22" t="s">
        <v>64</v>
      </c>
      <c r="D26" s="74" t="s">
        <v>65</v>
      </c>
      <c r="E26" s="70" t="str">
        <f t="shared" si="2"/>
        <v>8번 중 8번 참여</v>
      </c>
      <c r="F26" s="71">
        <f t="shared" si="3"/>
        <v>1</v>
      </c>
      <c r="G26" s="26" t="s">
        <v>25</v>
      </c>
      <c r="H26" s="26" t="s">
        <v>25</v>
      </c>
      <c r="I26" s="26" t="s">
        <v>25</v>
      </c>
      <c r="J26" s="26" t="s">
        <v>25</v>
      </c>
      <c r="K26" s="26" t="s">
        <v>25</v>
      </c>
      <c r="L26" s="26" t="s">
        <v>25</v>
      </c>
      <c r="M26" s="26" t="s">
        <v>25</v>
      </c>
      <c r="N26" s="26" t="s">
        <v>25</v>
      </c>
    </row>
    <row r="27" ht="15.75" customHeight="1">
      <c r="A27" s="20"/>
      <c r="B27" s="21">
        <v>23.0</v>
      </c>
      <c r="C27" s="30" t="s">
        <v>66</v>
      </c>
      <c r="D27" s="72" t="s">
        <v>67</v>
      </c>
      <c r="E27" s="70" t="str">
        <f t="shared" si="2"/>
        <v>8번 중 8번 참여</v>
      </c>
      <c r="F27" s="71">
        <f t="shared" si="3"/>
        <v>1</v>
      </c>
      <c r="G27" s="26" t="s">
        <v>25</v>
      </c>
      <c r="H27" s="26" t="s">
        <v>25</v>
      </c>
      <c r="I27" s="26" t="s">
        <v>25</v>
      </c>
      <c r="J27" s="26" t="s">
        <v>25</v>
      </c>
      <c r="K27" s="26" t="s">
        <v>25</v>
      </c>
      <c r="L27" s="26" t="s">
        <v>25</v>
      </c>
      <c r="M27" s="26" t="s">
        <v>25</v>
      </c>
      <c r="N27" s="26" t="s">
        <v>25</v>
      </c>
    </row>
    <row r="28" ht="15.75" customHeight="1">
      <c r="A28" s="28"/>
      <c r="B28" s="29">
        <v>24.0</v>
      </c>
      <c r="C28" s="75" t="s">
        <v>68</v>
      </c>
      <c r="D28" s="76" t="s">
        <v>69</v>
      </c>
      <c r="E28" s="70" t="str">
        <f t="shared" si="2"/>
        <v/>
      </c>
      <c r="F28" s="71" t="str">
        <f t="shared" si="3"/>
        <v/>
      </c>
      <c r="G28" s="26"/>
      <c r="H28" s="26"/>
      <c r="I28" s="26"/>
      <c r="J28" s="26"/>
      <c r="K28" s="26"/>
      <c r="L28" s="26"/>
      <c r="M28" s="26"/>
      <c r="N28" s="26"/>
    </row>
    <row r="29" ht="15.75" customHeight="1">
      <c r="A29" s="20"/>
      <c r="B29" s="21">
        <v>25.0</v>
      </c>
      <c r="C29" s="30" t="s">
        <v>74</v>
      </c>
      <c r="D29" s="72" t="s">
        <v>75</v>
      </c>
      <c r="E29" s="70" t="str">
        <f t="shared" si="2"/>
        <v>8번 중 6번 참여</v>
      </c>
      <c r="F29" s="71">
        <f t="shared" si="3"/>
        <v>0.75</v>
      </c>
      <c r="G29" s="26"/>
      <c r="H29" s="26" t="s">
        <v>25</v>
      </c>
      <c r="I29" s="26" t="s">
        <v>25</v>
      </c>
      <c r="J29" s="26" t="s">
        <v>25</v>
      </c>
      <c r="K29" s="26"/>
      <c r="L29" s="26" t="s">
        <v>25</v>
      </c>
      <c r="M29" s="26" t="s">
        <v>25</v>
      </c>
      <c r="N29" s="26" t="s">
        <v>25</v>
      </c>
    </row>
    <row r="30" ht="15.75" customHeight="1">
      <c r="A30" s="28"/>
      <c r="B30" s="29">
        <v>26.0</v>
      </c>
      <c r="C30" s="22" t="s">
        <v>76</v>
      </c>
      <c r="D30" s="69" t="s">
        <v>77</v>
      </c>
      <c r="E30" s="70" t="str">
        <f t="shared" si="2"/>
        <v>8번 중 8번 참여</v>
      </c>
      <c r="F30" s="71">
        <f t="shared" si="3"/>
        <v>1</v>
      </c>
      <c r="G30" s="26" t="s">
        <v>25</v>
      </c>
      <c r="H30" s="26" t="s">
        <v>25</v>
      </c>
      <c r="I30" s="26" t="s">
        <v>25</v>
      </c>
      <c r="J30" s="26" t="s">
        <v>25</v>
      </c>
      <c r="K30" s="26" t="s">
        <v>25</v>
      </c>
      <c r="L30" s="26" t="s">
        <v>25</v>
      </c>
      <c r="M30" s="26" t="s">
        <v>25</v>
      </c>
      <c r="N30" s="26" t="s">
        <v>25</v>
      </c>
    </row>
    <row r="31" ht="15.75" customHeight="1">
      <c r="A31" s="20"/>
      <c r="B31" s="21">
        <v>27.0</v>
      </c>
      <c r="C31" s="30" t="s">
        <v>78</v>
      </c>
      <c r="D31" s="103" t="s">
        <v>79</v>
      </c>
      <c r="E31" s="70" t="str">
        <f t="shared" si="2"/>
        <v>8번 중 8번 참여</v>
      </c>
      <c r="F31" s="71">
        <f t="shared" si="3"/>
        <v>1</v>
      </c>
      <c r="G31" s="26" t="s">
        <v>25</v>
      </c>
      <c r="H31" s="26" t="s">
        <v>25</v>
      </c>
      <c r="I31" s="26" t="s">
        <v>25</v>
      </c>
      <c r="J31" s="26" t="s">
        <v>25</v>
      </c>
      <c r="K31" s="26" t="s">
        <v>25</v>
      </c>
      <c r="L31" s="26" t="s">
        <v>25</v>
      </c>
      <c r="M31" s="26" t="s">
        <v>25</v>
      </c>
      <c r="N31" s="26" t="s">
        <v>25</v>
      </c>
    </row>
    <row r="32" ht="15.75" customHeight="1">
      <c r="A32" s="28"/>
      <c r="B32" s="29">
        <v>28.0</v>
      </c>
      <c r="C32" s="105" t="s">
        <v>341</v>
      </c>
      <c r="D32" s="105" t="s">
        <v>342</v>
      </c>
      <c r="E32" s="70" t="str">
        <f t="shared" si="2"/>
        <v/>
      </c>
      <c r="F32" s="71" t="str">
        <f t="shared" si="3"/>
        <v/>
      </c>
      <c r="G32" s="26"/>
      <c r="H32" s="26"/>
      <c r="I32" s="26"/>
      <c r="J32" s="26"/>
      <c r="K32" s="26"/>
      <c r="L32" s="26"/>
      <c r="M32" s="26"/>
      <c r="N32" s="26"/>
    </row>
    <row r="33" ht="15.75" customHeight="1">
      <c r="A33" s="20"/>
      <c r="B33" s="21">
        <v>29.0</v>
      </c>
      <c r="C33" s="30" t="s">
        <v>81</v>
      </c>
      <c r="D33" s="30" t="s">
        <v>82</v>
      </c>
      <c r="E33" s="70" t="str">
        <f t="shared" si="2"/>
        <v>8번 중 7번 참여</v>
      </c>
      <c r="F33" s="71">
        <f t="shared" si="3"/>
        <v>0.875</v>
      </c>
      <c r="G33" s="26"/>
      <c r="H33" s="26" t="s">
        <v>25</v>
      </c>
      <c r="I33" s="26" t="s">
        <v>25</v>
      </c>
      <c r="J33" s="26" t="s">
        <v>25</v>
      </c>
      <c r="K33" s="26" t="s">
        <v>25</v>
      </c>
      <c r="L33" s="26" t="s">
        <v>25</v>
      </c>
      <c r="M33" s="26" t="s">
        <v>25</v>
      </c>
      <c r="N33" s="26" t="s">
        <v>25</v>
      </c>
    </row>
    <row r="34" ht="15.75" customHeight="1">
      <c r="A34" s="28"/>
      <c r="B34" s="29">
        <v>30.0</v>
      </c>
      <c r="C34" s="30" t="s">
        <v>83</v>
      </c>
      <c r="D34" s="72" t="s">
        <v>84</v>
      </c>
      <c r="E34" s="70" t="str">
        <f t="shared" si="2"/>
        <v>8번 중 1번 참여</v>
      </c>
      <c r="F34" s="71">
        <f t="shared" si="3"/>
        <v>0.125</v>
      </c>
      <c r="G34" s="26" t="s">
        <v>25</v>
      </c>
      <c r="H34" s="26"/>
      <c r="I34" s="26"/>
      <c r="J34" s="26"/>
      <c r="K34" s="26"/>
      <c r="L34" s="26"/>
      <c r="M34" s="26"/>
      <c r="N34" s="26"/>
    </row>
    <row r="35" ht="15.75" customHeight="1">
      <c r="A35" s="20"/>
      <c r="B35" s="21">
        <v>31.0</v>
      </c>
      <c r="C35" s="30" t="s">
        <v>85</v>
      </c>
      <c r="D35" s="72" t="s">
        <v>86</v>
      </c>
      <c r="E35" s="70" t="str">
        <f t="shared" si="2"/>
        <v>8번 중 7번 참여</v>
      </c>
      <c r="F35" s="71">
        <f t="shared" si="3"/>
        <v>0.875</v>
      </c>
      <c r="G35" s="26"/>
      <c r="H35" s="26" t="s">
        <v>25</v>
      </c>
      <c r="I35" s="26" t="s">
        <v>25</v>
      </c>
      <c r="J35" s="26" t="s">
        <v>25</v>
      </c>
      <c r="K35" s="26" t="s">
        <v>25</v>
      </c>
      <c r="L35" s="26" t="s">
        <v>25</v>
      </c>
      <c r="M35" s="26" t="s">
        <v>25</v>
      </c>
      <c r="N35" s="26" t="s">
        <v>25</v>
      </c>
    </row>
    <row r="36" ht="15.75" customHeight="1">
      <c r="A36" s="28"/>
      <c r="B36" s="29">
        <v>32.0</v>
      </c>
      <c r="C36" s="22" t="s">
        <v>87</v>
      </c>
      <c r="D36" s="69" t="s">
        <v>88</v>
      </c>
      <c r="E36" s="70" t="str">
        <f t="shared" si="2"/>
        <v>8번 중 4번 참여</v>
      </c>
      <c r="F36" s="71">
        <f t="shared" si="3"/>
        <v>0.5</v>
      </c>
      <c r="G36" s="26"/>
      <c r="H36" s="26"/>
      <c r="I36" s="26" t="s">
        <v>25</v>
      </c>
      <c r="J36" s="26"/>
      <c r="K36" s="26" t="s">
        <v>25</v>
      </c>
      <c r="L36" s="26" t="s">
        <v>25</v>
      </c>
      <c r="M36" s="26"/>
      <c r="N36" s="26" t="s">
        <v>25</v>
      </c>
    </row>
    <row r="37" ht="15.75" customHeight="1">
      <c r="A37" s="20"/>
      <c r="B37" s="21">
        <v>33.0</v>
      </c>
      <c r="C37" s="39" t="s">
        <v>89</v>
      </c>
      <c r="D37" s="79" t="s">
        <v>90</v>
      </c>
      <c r="E37" s="70" t="str">
        <f t="shared" si="2"/>
        <v>8번 중 4번 참여</v>
      </c>
      <c r="F37" s="71">
        <f t="shared" si="3"/>
        <v>0.5</v>
      </c>
      <c r="G37" s="26" t="s">
        <v>25</v>
      </c>
      <c r="H37" s="26"/>
      <c r="I37" s="26" t="s">
        <v>25</v>
      </c>
      <c r="J37" s="26" t="s">
        <v>25</v>
      </c>
      <c r="K37" s="26" t="s">
        <v>25</v>
      </c>
      <c r="L37" s="26"/>
      <c r="M37" s="26"/>
      <c r="N37" s="26"/>
    </row>
    <row r="38" ht="15.75" customHeight="1">
      <c r="A38" s="28"/>
      <c r="B38" s="29">
        <v>34.0</v>
      </c>
      <c r="C38" s="44" t="s">
        <v>91</v>
      </c>
      <c r="D38" s="44" t="s">
        <v>92</v>
      </c>
      <c r="E38" s="70" t="str">
        <f t="shared" si="2"/>
        <v>8번 중 7번 참여</v>
      </c>
      <c r="F38" s="71">
        <f t="shared" si="3"/>
        <v>0.875</v>
      </c>
      <c r="G38" s="26" t="s">
        <v>25</v>
      </c>
      <c r="H38" s="26" t="s">
        <v>25</v>
      </c>
      <c r="I38" s="26" t="s">
        <v>25</v>
      </c>
      <c r="J38" s="26" t="s">
        <v>25</v>
      </c>
      <c r="K38" s="26" t="s">
        <v>25</v>
      </c>
      <c r="L38" s="26" t="s">
        <v>25</v>
      </c>
      <c r="M38" s="26"/>
      <c r="N38" s="26" t="s">
        <v>25</v>
      </c>
    </row>
    <row r="39" ht="15.75" customHeight="1">
      <c r="A39" s="20"/>
      <c r="B39" s="21">
        <v>35.0</v>
      </c>
      <c r="C39" s="30" t="s">
        <v>93</v>
      </c>
      <c r="D39" s="30" t="s">
        <v>94</v>
      </c>
      <c r="E39" s="70" t="str">
        <f t="shared" si="2"/>
        <v>8번 중 6번 참여</v>
      </c>
      <c r="F39" s="71">
        <f t="shared" si="3"/>
        <v>0.75</v>
      </c>
      <c r="G39" s="26" t="s">
        <v>25</v>
      </c>
      <c r="H39" s="26" t="s">
        <v>25</v>
      </c>
      <c r="I39" s="26" t="s">
        <v>25</v>
      </c>
      <c r="J39" s="26" t="s">
        <v>25</v>
      </c>
      <c r="K39" s="26" t="s">
        <v>25</v>
      </c>
      <c r="L39" s="26"/>
      <c r="M39" s="26" t="s">
        <v>80</v>
      </c>
      <c r="N39" s="26" t="s">
        <v>25</v>
      </c>
    </row>
    <row r="40" ht="15.75" customHeight="1">
      <c r="A40" s="28"/>
      <c r="B40" s="29">
        <v>36.0</v>
      </c>
      <c r="C40" s="22" t="s">
        <v>124</v>
      </c>
      <c r="D40" s="22" t="s">
        <v>125</v>
      </c>
      <c r="E40" s="70" t="str">
        <f t="shared" si="2"/>
        <v>8번 중 8번 참여</v>
      </c>
      <c r="F40" s="71">
        <f t="shared" si="3"/>
        <v>1</v>
      </c>
      <c r="G40" s="26" t="s">
        <v>25</v>
      </c>
      <c r="H40" s="26" t="s">
        <v>25</v>
      </c>
      <c r="I40" s="26" t="s">
        <v>25</v>
      </c>
      <c r="J40" s="26" t="s">
        <v>25</v>
      </c>
      <c r="K40" s="26" t="s">
        <v>25</v>
      </c>
      <c r="L40" s="26" t="s">
        <v>25</v>
      </c>
      <c r="M40" s="26" t="s">
        <v>25</v>
      </c>
      <c r="N40" s="26" t="s">
        <v>25</v>
      </c>
    </row>
    <row r="41" ht="15.75" customHeight="1">
      <c r="A41" s="20"/>
      <c r="B41" s="21">
        <v>37.0</v>
      </c>
      <c r="C41" s="30" t="s">
        <v>128</v>
      </c>
      <c r="D41" s="30" t="s">
        <v>129</v>
      </c>
      <c r="E41" s="70" t="str">
        <f t="shared" si="2"/>
        <v>8번 중 8번 참여</v>
      </c>
      <c r="F41" s="71">
        <f t="shared" si="3"/>
        <v>1</v>
      </c>
      <c r="G41" s="26" t="s">
        <v>25</v>
      </c>
      <c r="H41" s="26" t="s">
        <v>25</v>
      </c>
      <c r="I41" s="26" t="s">
        <v>25</v>
      </c>
      <c r="J41" s="26" t="s">
        <v>25</v>
      </c>
      <c r="K41" s="26" t="s">
        <v>25</v>
      </c>
      <c r="L41" s="26" t="s">
        <v>25</v>
      </c>
      <c r="M41" s="26" t="s">
        <v>25</v>
      </c>
      <c r="N41" s="26" t="s">
        <v>25</v>
      </c>
    </row>
    <row r="42" ht="15.75" customHeight="1">
      <c r="A42" s="28"/>
      <c r="B42" s="29">
        <v>38.0</v>
      </c>
      <c r="C42" s="22" t="s">
        <v>99</v>
      </c>
      <c r="D42" s="22" t="s">
        <v>100</v>
      </c>
      <c r="E42" s="70" t="str">
        <f t="shared" si="2"/>
        <v>8번 중 8번 참여</v>
      </c>
      <c r="F42" s="71">
        <f t="shared" si="3"/>
        <v>1</v>
      </c>
      <c r="G42" s="26" t="s">
        <v>25</v>
      </c>
      <c r="H42" s="26" t="s">
        <v>25</v>
      </c>
      <c r="I42" s="26" t="s">
        <v>25</v>
      </c>
      <c r="J42" s="26" t="s">
        <v>25</v>
      </c>
      <c r="K42" s="26" t="s">
        <v>25</v>
      </c>
      <c r="L42" s="26" t="s">
        <v>25</v>
      </c>
      <c r="M42" s="26" t="s">
        <v>25</v>
      </c>
      <c r="N42" s="26" t="s">
        <v>25</v>
      </c>
    </row>
    <row r="43" ht="15.75" customHeight="1">
      <c r="A43" s="20"/>
      <c r="B43" s="21">
        <v>39.0</v>
      </c>
      <c r="C43" s="30" t="s">
        <v>349</v>
      </c>
      <c r="D43" s="30" t="s">
        <v>350</v>
      </c>
      <c r="E43" s="70" t="str">
        <f t="shared" si="2"/>
        <v>8번 중 8번 참여</v>
      </c>
      <c r="F43" s="71">
        <f t="shared" si="3"/>
        <v>1</v>
      </c>
      <c r="G43" s="26" t="s">
        <v>25</v>
      </c>
      <c r="H43" s="26" t="s">
        <v>25</v>
      </c>
      <c r="I43" s="26" t="s">
        <v>25</v>
      </c>
      <c r="J43" s="26" t="s">
        <v>25</v>
      </c>
      <c r="K43" s="26" t="s">
        <v>25</v>
      </c>
      <c r="L43" s="26" t="s">
        <v>25</v>
      </c>
      <c r="M43" s="26" t="s">
        <v>25</v>
      </c>
      <c r="N43" s="26" t="s">
        <v>25</v>
      </c>
    </row>
    <row r="44" ht="15.75" customHeight="1">
      <c r="A44" s="28"/>
      <c r="B44" s="29">
        <v>40.0</v>
      </c>
      <c r="C44" s="22" t="s">
        <v>95</v>
      </c>
      <c r="D44" s="22" t="s">
        <v>96</v>
      </c>
      <c r="E44" s="70" t="str">
        <f t="shared" si="2"/>
        <v>8번 중 8번 참여</v>
      </c>
      <c r="F44" s="71">
        <f t="shared" si="3"/>
        <v>1</v>
      </c>
      <c r="G44" s="26" t="s">
        <v>25</v>
      </c>
      <c r="H44" s="26" t="s">
        <v>25</v>
      </c>
      <c r="I44" s="26" t="s">
        <v>25</v>
      </c>
      <c r="J44" s="26" t="s">
        <v>25</v>
      </c>
      <c r="K44" s="26" t="s">
        <v>25</v>
      </c>
      <c r="L44" s="26" t="s">
        <v>25</v>
      </c>
      <c r="M44" s="26" t="s">
        <v>25</v>
      </c>
      <c r="N44" s="26" t="s">
        <v>25</v>
      </c>
    </row>
    <row r="45" ht="15.75" customHeight="1">
      <c r="A45" s="20"/>
      <c r="B45" s="21">
        <v>41.0</v>
      </c>
      <c r="C45" s="30" t="s">
        <v>97</v>
      </c>
      <c r="D45" s="30" t="s">
        <v>98</v>
      </c>
      <c r="E45" s="70" t="str">
        <f t="shared" si="2"/>
        <v>8번 중 8번 참여</v>
      </c>
      <c r="F45" s="71">
        <f t="shared" si="3"/>
        <v>1</v>
      </c>
      <c r="G45" s="26" t="s">
        <v>25</v>
      </c>
      <c r="H45" s="26" t="s">
        <v>25</v>
      </c>
      <c r="I45" s="26" t="s">
        <v>25</v>
      </c>
      <c r="J45" s="26" t="s">
        <v>25</v>
      </c>
      <c r="K45" s="26" t="s">
        <v>25</v>
      </c>
      <c r="L45" s="26" t="s">
        <v>25</v>
      </c>
      <c r="M45" s="26" t="s">
        <v>25</v>
      </c>
      <c r="N45" s="26" t="s">
        <v>25</v>
      </c>
    </row>
    <row r="46" ht="15.75" customHeight="1">
      <c r="A46" s="28"/>
      <c r="B46" s="29">
        <v>42.0</v>
      </c>
      <c r="C46" s="104"/>
      <c r="D46" s="104"/>
      <c r="E46" s="70" t="str">
        <f t="shared" si="2"/>
        <v/>
      </c>
      <c r="F46" s="71" t="str">
        <f t="shared" si="3"/>
        <v/>
      </c>
      <c r="G46" s="26"/>
      <c r="H46" s="26"/>
      <c r="I46" s="26"/>
      <c r="J46" s="26"/>
      <c r="K46" s="26"/>
      <c r="L46" s="26"/>
      <c r="M46" s="26"/>
      <c r="N46" s="26"/>
    </row>
    <row r="47" ht="15.75" customHeight="1">
      <c r="A47" s="20"/>
      <c r="B47" s="21">
        <v>43.0</v>
      </c>
      <c r="C47" s="22" t="s">
        <v>103</v>
      </c>
      <c r="D47" s="22" t="s">
        <v>104</v>
      </c>
      <c r="E47" s="70" t="str">
        <f t="shared" si="2"/>
        <v>8번 중 8번 참여</v>
      </c>
      <c r="F47" s="71">
        <f t="shared" si="3"/>
        <v>1</v>
      </c>
      <c r="G47" s="26" t="s">
        <v>25</v>
      </c>
      <c r="H47" s="26" t="s">
        <v>25</v>
      </c>
      <c r="I47" s="26" t="s">
        <v>25</v>
      </c>
      <c r="J47" s="26" t="s">
        <v>25</v>
      </c>
      <c r="K47" s="26" t="s">
        <v>25</v>
      </c>
      <c r="L47" s="26" t="s">
        <v>25</v>
      </c>
      <c r="M47" s="26" t="s">
        <v>25</v>
      </c>
      <c r="N47" s="26" t="s">
        <v>25</v>
      </c>
    </row>
    <row r="48" ht="15.75" customHeight="1">
      <c r="A48" s="28"/>
      <c r="B48" s="29">
        <v>44.0</v>
      </c>
      <c r="C48" s="105"/>
      <c r="D48" s="105"/>
      <c r="E48" s="70" t="str">
        <f t="shared" si="2"/>
        <v/>
      </c>
      <c r="F48" s="71" t="str">
        <f t="shared" si="3"/>
        <v/>
      </c>
      <c r="G48" s="26"/>
      <c r="H48" s="26"/>
      <c r="I48" s="26"/>
      <c r="J48" s="26"/>
      <c r="K48" s="26"/>
      <c r="L48" s="26"/>
      <c r="M48" s="26"/>
      <c r="N48" s="26"/>
    </row>
    <row r="49" ht="15.75" customHeight="1">
      <c r="A49" s="20"/>
      <c r="B49" s="21">
        <v>45.0</v>
      </c>
      <c r="C49" s="22" t="s">
        <v>286</v>
      </c>
      <c r="D49" s="74" t="s">
        <v>121</v>
      </c>
      <c r="E49" s="70" t="str">
        <f t="shared" si="2"/>
        <v>8번 중 8번 참여</v>
      </c>
      <c r="F49" s="71">
        <f t="shared" si="3"/>
        <v>1</v>
      </c>
      <c r="G49" s="26" t="s">
        <v>25</v>
      </c>
      <c r="H49" s="26" t="s">
        <v>25</v>
      </c>
      <c r="I49" s="26" t="s">
        <v>25</v>
      </c>
      <c r="J49" s="26" t="s">
        <v>25</v>
      </c>
      <c r="K49" s="26" t="s">
        <v>25</v>
      </c>
      <c r="L49" s="26" t="s">
        <v>25</v>
      </c>
      <c r="M49" s="26" t="s">
        <v>25</v>
      </c>
      <c r="N49" s="26" t="s">
        <v>25</v>
      </c>
    </row>
    <row r="50" ht="15.75" customHeight="1">
      <c r="A50" s="28"/>
      <c r="B50" s="29">
        <v>46.0</v>
      </c>
      <c r="C50" s="30" t="s">
        <v>101</v>
      </c>
      <c r="D50" s="72" t="s">
        <v>102</v>
      </c>
      <c r="E50" s="70" t="str">
        <f t="shared" si="2"/>
        <v>8번 중 7번 참여</v>
      </c>
      <c r="F50" s="71">
        <f t="shared" si="3"/>
        <v>0.875</v>
      </c>
      <c r="G50" s="26" t="s">
        <v>25</v>
      </c>
      <c r="H50" s="26" t="s">
        <v>25</v>
      </c>
      <c r="I50" s="26" t="s">
        <v>25</v>
      </c>
      <c r="J50" s="26" t="s">
        <v>25</v>
      </c>
      <c r="K50" s="26" t="s">
        <v>25</v>
      </c>
      <c r="L50" s="26" t="s">
        <v>25</v>
      </c>
      <c r="M50" s="26" t="s">
        <v>25</v>
      </c>
      <c r="N50" s="26"/>
    </row>
    <row r="51" ht="15.75" customHeight="1">
      <c r="A51" s="20"/>
      <c r="B51" s="21">
        <v>47.0</v>
      </c>
      <c r="C51" s="43" t="s">
        <v>283</v>
      </c>
      <c r="D51" s="98" t="s">
        <v>284</v>
      </c>
      <c r="E51" s="70" t="str">
        <f t="shared" si="2"/>
        <v>8번 중 8번 참여</v>
      </c>
      <c r="F51" s="71">
        <f t="shared" si="3"/>
        <v>1</v>
      </c>
      <c r="G51" s="26" t="s">
        <v>25</v>
      </c>
      <c r="H51" s="26" t="s">
        <v>25</v>
      </c>
      <c r="I51" s="26" t="s">
        <v>25</v>
      </c>
      <c r="J51" s="26" t="s">
        <v>25</v>
      </c>
      <c r="K51" s="26" t="s">
        <v>25</v>
      </c>
      <c r="L51" s="26" t="s">
        <v>25</v>
      </c>
      <c r="M51" s="26" t="s">
        <v>25</v>
      </c>
      <c r="N51" s="26" t="s">
        <v>25</v>
      </c>
    </row>
    <row r="52" ht="15.75" customHeight="1">
      <c r="A52" s="28"/>
      <c r="B52" s="29">
        <v>48.0</v>
      </c>
      <c r="C52" s="44" t="s">
        <v>126</v>
      </c>
      <c r="D52" s="81" t="s">
        <v>127</v>
      </c>
      <c r="E52" s="70" t="str">
        <f t="shared" si="2"/>
        <v>8번 중 8번 참여</v>
      </c>
      <c r="F52" s="71">
        <f t="shared" si="3"/>
        <v>1</v>
      </c>
      <c r="G52" s="26" t="s">
        <v>25</v>
      </c>
      <c r="H52" s="26" t="s">
        <v>25</v>
      </c>
      <c r="I52" s="26" t="s">
        <v>25</v>
      </c>
      <c r="J52" s="26" t="s">
        <v>25</v>
      </c>
      <c r="K52" s="26" t="s">
        <v>25</v>
      </c>
      <c r="L52" s="26" t="s">
        <v>25</v>
      </c>
      <c r="M52" s="26" t="s">
        <v>25</v>
      </c>
      <c r="N52" s="26" t="s">
        <v>25</v>
      </c>
    </row>
    <row r="53" ht="15.75" customHeight="1">
      <c r="A53" s="20"/>
      <c r="B53" s="21">
        <v>49.0</v>
      </c>
      <c r="C53" s="22" t="s">
        <v>109</v>
      </c>
      <c r="D53" s="22" t="s">
        <v>110</v>
      </c>
      <c r="E53" s="70" t="str">
        <f t="shared" si="2"/>
        <v>8번 중 6번 참여</v>
      </c>
      <c r="F53" s="71">
        <f t="shared" si="3"/>
        <v>0.75</v>
      </c>
      <c r="G53" s="26"/>
      <c r="H53" s="26" t="s">
        <v>25</v>
      </c>
      <c r="I53" s="26"/>
      <c r="J53" s="26" t="s">
        <v>25</v>
      </c>
      <c r="K53" s="26" t="s">
        <v>25</v>
      </c>
      <c r="L53" s="26" t="s">
        <v>25</v>
      </c>
      <c r="M53" s="26" t="s">
        <v>25</v>
      </c>
      <c r="N53" s="26" t="s">
        <v>25</v>
      </c>
    </row>
    <row r="54" ht="15.75" customHeight="1">
      <c r="A54" s="28"/>
      <c r="B54" s="29">
        <v>50.0</v>
      </c>
      <c r="C54" s="30" t="s">
        <v>111</v>
      </c>
      <c r="D54" s="30" t="s">
        <v>112</v>
      </c>
      <c r="E54" s="70" t="str">
        <f t="shared" si="2"/>
        <v>8번 중 5번 참여</v>
      </c>
      <c r="F54" s="71">
        <f t="shared" si="3"/>
        <v>0.625</v>
      </c>
      <c r="G54" s="26"/>
      <c r="H54" s="26"/>
      <c r="I54" s="26" t="s">
        <v>25</v>
      </c>
      <c r="J54" s="26" t="s">
        <v>25</v>
      </c>
      <c r="K54" s="26" t="s">
        <v>25</v>
      </c>
      <c r="L54" s="26" t="s">
        <v>25</v>
      </c>
      <c r="M54" s="26" t="s">
        <v>25</v>
      </c>
      <c r="N54" s="26"/>
    </row>
    <row r="55" ht="15.75" customHeight="1">
      <c r="A55" s="20"/>
      <c r="B55" s="21">
        <v>51.0</v>
      </c>
      <c r="C55" s="22" t="s">
        <v>113</v>
      </c>
      <c r="D55" s="22" t="s">
        <v>114</v>
      </c>
      <c r="E55" s="70" t="str">
        <f t="shared" si="2"/>
        <v>8번 중 8번 참여</v>
      </c>
      <c r="F55" s="71">
        <f t="shared" si="3"/>
        <v>1</v>
      </c>
      <c r="G55" s="26" t="s">
        <v>25</v>
      </c>
      <c r="H55" s="26" t="s">
        <v>25</v>
      </c>
      <c r="I55" s="26" t="s">
        <v>25</v>
      </c>
      <c r="J55" s="26" t="s">
        <v>25</v>
      </c>
      <c r="K55" s="26" t="s">
        <v>25</v>
      </c>
      <c r="L55" s="26" t="s">
        <v>25</v>
      </c>
      <c r="M55" s="26" t="s">
        <v>25</v>
      </c>
      <c r="N55" s="26" t="s">
        <v>25</v>
      </c>
    </row>
    <row r="56" ht="15.75" customHeight="1">
      <c r="A56" s="28"/>
      <c r="B56" s="29">
        <v>52.0</v>
      </c>
      <c r="C56" s="105"/>
      <c r="D56" s="105"/>
      <c r="E56" s="70" t="str">
        <f t="shared" si="2"/>
        <v/>
      </c>
      <c r="F56" s="71" t="str">
        <f t="shared" si="3"/>
        <v/>
      </c>
      <c r="G56" s="26"/>
      <c r="H56" s="26"/>
      <c r="I56" s="26"/>
      <c r="J56" s="26"/>
      <c r="K56" s="26"/>
      <c r="L56" s="26"/>
      <c r="M56" s="26"/>
      <c r="N56" s="26"/>
    </row>
    <row r="57" ht="15.75" customHeight="1">
      <c r="A57" s="20"/>
      <c r="B57" s="21">
        <v>53.0</v>
      </c>
      <c r="C57" s="22" t="s">
        <v>132</v>
      </c>
      <c r="D57" s="22" t="s">
        <v>133</v>
      </c>
      <c r="E57" s="70" t="str">
        <f t="shared" si="2"/>
        <v>8번 중 8번 참여</v>
      </c>
      <c r="F57" s="71">
        <f t="shared" si="3"/>
        <v>1</v>
      </c>
      <c r="G57" s="26" t="s">
        <v>25</v>
      </c>
      <c r="H57" s="26" t="s">
        <v>25</v>
      </c>
      <c r="I57" s="26" t="s">
        <v>25</v>
      </c>
      <c r="J57" s="26" t="s">
        <v>25</v>
      </c>
      <c r="K57" s="26" t="s">
        <v>25</v>
      </c>
      <c r="L57" s="26" t="s">
        <v>25</v>
      </c>
      <c r="M57" s="26" t="s">
        <v>25</v>
      </c>
      <c r="N57" s="26" t="s">
        <v>25</v>
      </c>
    </row>
    <row r="58" ht="15.75" customHeight="1">
      <c r="A58" s="28" t="s">
        <v>206</v>
      </c>
      <c r="B58" s="29">
        <v>54.0</v>
      </c>
      <c r="C58" s="30" t="s">
        <v>285</v>
      </c>
      <c r="D58" s="30" t="s">
        <v>119</v>
      </c>
      <c r="E58" s="70" t="str">
        <f t="shared" si="2"/>
        <v>8번 중 8번 참여</v>
      </c>
      <c r="F58" s="71">
        <f t="shared" si="3"/>
        <v>1</v>
      </c>
      <c r="G58" s="26" t="s">
        <v>25</v>
      </c>
      <c r="H58" s="26" t="s">
        <v>25</v>
      </c>
      <c r="I58" s="26" t="s">
        <v>25</v>
      </c>
      <c r="J58" s="26" t="s">
        <v>25</v>
      </c>
      <c r="K58" s="26" t="s">
        <v>25</v>
      </c>
      <c r="L58" s="26" t="s">
        <v>25</v>
      </c>
      <c r="M58" s="26" t="s">
        <v>25</v>
      </c>
      <c r="N58" s="26" t="s">
        <v>25</v>
      </c>
    </row>
    <row r="59" ht="15.75" customHeight="1">
      <c r="A59" s="20"/>
      <c r="B59" s="154">
        <v>55.0</v>
      </c>
      <c r="C59" s="82" t="s">
        <v>365</v>
      </c>
      <c r="D59" s="82" t="s">
        <v>366</v>
      </c>
      <c r="E59" s="70" t="str">
        <f t="shared" si="2"/>
        <v>8번 중 2번 참여</v>
      </c>
      <c r="F59" s="71">
        <f t="shared" si="3"/>
        <v>0.25</v>
      </c>
      <c r="G59" s="26"/>
      <c r="H59" s="26"/>
      <c r="I59" s="26" t="s">
        <v>25</v>
      </c>
      <c r="J59" s="26" t="s">
        <v>25</v>
      </c>
      <c r="K59" s="26"/>
      <c r="L59" s="26"/>
      <c r="M59" s="26"/>
      <c r="N59" s="26"/>
    </row>
    <row r="60" ht="15.75" customHeight="1">
      <c r="A60" s="28"/>
      <c r="B60" s="29">
        <v>56.0</v>
      </c>
      <c r="C60" s="42" t="s">
        <v>28</v>
      </c>
      <c r="D60" s="42" t="s">
        <v>70</v>
      </c>
      <c r="E60" s="70" t="str">
        <f t="shared" si="2"/>
        <v>8번 중 8번 참여</v>
      </c>
      <c r="F60" s="71">
        <f t="shared" si="3"/>
        <v>1</v>
      </c>
      <c r="G60" s="26" t="s">
        <v>25</v>
      </c>
      <c r="H60" s="26" t="s">
        <v>25</v>
      </c>
      <c r="I60" s="26" t="s">
        <v>25</v>
      </c>
      <c r="J60" s="26" t="s">
        <v>25</v>
      </c>
      <c r="K60" s="26" t="s">
        <v>25</v>
      </c>
      <c r="L60" s="26" t="s">
        <v>25</v>
      </c>
      <c r="M60" s="26" t="s">
        <v>25</v>
      </c>
      <c r="N60" s="26" t="s">
        <v>25</v>
      </c>
    </row>
    <row r="61" ht="15.75" customHeight="1">
      <c r="A61" s="20"/>
      <c r="B61" s="21">
        <v>57.0</v>
      </c>
      <c r="C61" s="30" t="s">
        <v>371</v>
      </c>
      <c r="D61" s="30" t="s">
        <v>108</v>
      </c>
      <c r="E61" s="70" t="str">
        <f t="shared" si="2"/>
        <v>8번 중 6번 참여</v>
      </c>
      <c r="F61" s="71">
        <f t="shared" si="3"/>
        <v>0.75</v>
      </c>
      <c r="G61" s="26" t="s">
        <v>25</v>
      </c>
      <c r="H61" s="26" t="s">
        <v>25</v>
      </c>
      <c r="I61" s="26" t="s">
        <v>25</v>
      </c>
      <c r="J61" s="26" t="s">
        <v>25</v>
      </c>
      <c r="K61" s="26" t="s">
        <v>25</v>
      </c>
      <c r="L61" s="26" t="s">
        <v>25</v>
      </c>
      <c r="M61" s="26"/>
      <c r="N61" s="26"/>
    </row>
    <row r="62" ht="15.75" customHeight="1">
      <c r="A62" s="28"/>
      <c r="B62" s="29">
        <v>58.0</v>
      </c>
      <c r="C62" s="22" t="s">
        <v>138</v>
      </c>
      <c r="D62" s="22" t="s">
        <v>139</v>
      </c>
      <c r="E62" s="70" t="str">
        <f t="shared" si="2"/>
        <v>8번 중 6번 참여</v>
      </c>
      <c r="F62" s="71">
        <f t="shared" si="3"/>
        <v>0.75</v>
      </c>
      <c r="G62" s="26" t="s">
        <v>25</v>
      </c>
      <c r="H62" s="26" t="s">
        <v>25</v>
      </c>
      <c r="I62" s="26" t="s">
        <v>25</v>
      </c>
      <c r="J62" s="26" t="s">
        <v>25</v>
      </c>
      <c r="K62" s="26" t="s">
        <v>25</v>
      </c>
      <c r="L62" s="26" t="s">
        <v>25</v>
      </c>
      <c r="M62" s="26"/>
      <c r="N62" s="26"/>
    </row>
    <row r="63" ht="15.75" customHeight="1">
      <c r="A63" s="20"/>
      <c r="B63" s="21">
        <v>59.0</v>
      </c>
      <c r="C63" s="30" t="s">
        <v>136</v>
      </c>
      <c r="D63" s="30" t="s">
        <v>137</v>
      </c>
      <c r="E63" s="70" t="str">
        <f t="shared" si="2"/>
        <v>8번 중 6번 참여</v>
      </c>
      <c r="F63" s="71">
        <f t="shared" si="3"/>
        <v>0.75</v>
      </c>
      <c r="G63" s="26" t="s">
        <v>25</v>
      </c>
      <c r="H63" s="26" t="s">
        <v>25</v>
      </c>
      <c r="I63" s="26" t="s">
        <v>25</v>
      </c>
      <c r="J63" s="26" t="s">
        <v>25</v>
      </c>
      <c r="K63" s="26" t="s">
        <v>25</v>
      </c>
      <c r="L63" s="26" t="s">
        <v>25</v>
      </c>
      <c r="M63" s="26"/>
      <c r="N63" s="26"/>
    </row>
    <row r="64" ht="15.75" customHeight="1">
      <c r="A64" s="28"/>
      <c r="B64" s="29">
        <v>60.0</v>
      </c>
      <c r="C64" s="22" t="s">
        <v>142</v>
      </c>
      <c r="D64" s="22" t="s">
        <v>143</v>
      </c>
      <c r="E64" s="70" t="str">
        <f t="shared" si="2"/>
        <v>8번 중 4번 참여</v>
      </c>
      <c r="F64" s="71">
        <f t="shared" si="3"/>
        <v>0.5</v>
      </c>
      <c r="G64" s="26" t="s">
        <v>25</v>
      </c>
      <c r="H64" s="26"/>
      <c r="I64" s="26" t="s">
        <v>25</v>
      </c>
      <c r="J64" s="26"/>
      <c r="K64" s="26" t="s">
        <v>25</v>
      </c>
      <c r="L64" s="26" t="s">
        <v>25</v>
      </c>
      <c r="M64" s="26"/>
      <c r="N64" s="26"/>
    </row>
    <row r="65" ht="15.75" customHeight="1">
      <c r="A65" s="20"/>
      <c r="B65" s="21">
        <v>61.0</v>
      </c>
      <c r="C65" s="30" t="s">
        <v>144</v>
      </c>
      <c r="D65" s="30" t="s">
        <v>145</v>
      </c>
      <c r="E65" s="70" t="str">
        <f t="shared" si="2"/>
        <v>8번 중 4번 참여</v>
      </c>
      <c r="F65" s="71">
        <f t="shared" si="3"/>
        <v>0.5</v>
      </c>
      <c r="G65" s="26" t="s">
        <v>25</v>
      </c>
      <c r="H65" s="26"/>
      <c r="I65" s="26" t="s">
        <v>25</v>
      </c>
      <c r="J65" s="26"/>
      <c r="K65" s="26" t="s">
        <v>25</v>
      </c>
      <c r="L65" s="26" t="s">
        <v>25</v>
      </c>
      <c r="M65" s="26"/>
      <c r="N65" s="26"/>
    </row>
    <row r="66" ht="15.75" customHeight="1">
      <c r="A66" s="28"/>
      <c r="B66" s="29">
        <v>62.0</v>
      </c>
      <c r="C66" s="22" t="s">
        <v>146</v>
      </c>
      <c r="D66" s="22" t="s">
        <v>147</v>
      </c>
      <c r="E66" s="70" t="str">
        <f t="shared" si="2"/>
        <v>8번 중 8번 참여</v>
      </c>
      <c r="F66" s="71">
        <f t="shared" si="3"/>
        <v>1</v>
      </c>
      <c r="G66" s="26" t="s">
        <v>25</v>
      </c>
      <c r="H66" s="26" t="s">
        <v>25</v>
      </c>
      <c r="I66" s="26" t="s">
        <v>25</v>
      </c>
      <c r="J66" s="26" t="s">
        <v>25</v>
      </c>
      <c r="K66" s="26" t="s">
        <v>25</v>
      </c>
      <c r="L66" s="26" t="s">
        <v>25</v>
      </c>
      <c r="M66" s="26" t="s">
        <v>25</v>
      </c>
      <c r="N66" s="26" t="s">
        <v>25</v>
      </c>
    </row>
    <row r="67" ht="15.75" customHeight="1">
      <c r="A67" s="20"/>
      <c r="B67" s="21">
        <v>63.0</v>
      </c>
      <c r="C67" s="30" t="s">
        <v>148</v>
      </c>
      <c r="D67" s="30" t="s">
        <v>149</v>
      </c>
      <c r="E67" s="70" t="str">
        <f t="shared" si="2"/>
        <v>8번 중 8번 참여</v>
      </c>
      <c r="F67" s="71">
        <f t="shared" si="3"/>
        <v>1</v>
      </c>
      <c r="G67" s="26" t="s">
        <v>25</v>
      </c>
      <c r="H67" s="26" t="s">
        <v>25</v>
      </c>
      <c r="I67" s="26" t="s">
        <v>25</v>
      </c>
      <c r="J67" s="26" t="s">
        <v>25</v>
      </c>
      <c r="K67" s="26" t="s">
        <v>25</v>
      </c>
      <c r="L67" s="26" t="s">
        <v>25</v>
      </c>
      <c r="M67" s="26" t="s">
        <v>25</v>
      </c>
      <c r="N67" s="26" t="s">
        <v>25</v>
      </c>
    </row>
    <row r="68" ht="15.75" customHeight="1">
      <c r="A68" s="28"/>
      <c r="B68" s="29">
        <v>64.0</v>
      </c>
      <c r="C68" s="104"/>
      <c r="D68" s="104"/>
      <c r="E68" s="70" t="str">
        <f t="shared" si="2"/>
        <v/>
      </c>
      <c r="F68" s="71" t="str">
        <f t="shared" si="3"/>
        <v/>
      </c>
      <c r="G68" s="26"/>
      <c r="H68" s="26"/>
      <c r="I68" s="26"/>
      <c r="J68" s="26"/>
      <c r="K68" s="26"/>
      <c r="L68" s="26"/>
      <c r="M68" s="26"/>
      <c r="N68" s="26"/>
    </row>
    <row r="69" ht="15.75" customHeight="1">
      <c r="A69" s="20"/>
      <c r="B69" s="21">
        <v>65.0</v>
      </c>
      <c r="C69" s="22" t="s">
        <v>140</v>
      </c>
      <c r="D69" s="22" t="s">
        <v>141</v>
      </c>
      <c r="E69" s="70" t="str">
        <f t="shared" si="2"/>
        <v>8번 중 7번 참여</v>
      </c>
      <c r="F69" s="71">
        <f t="shared" si="3"/>
        <v>0.875</v>
      </c>
      <c r="G69" s="26" t="s">
        <v>25</v>
      </c>
      <c r="H69" s="26" t="s">
        <v>25</v>
      </c>
      <c r="I69" s="26" t="s">
        <v>25</v>
      </c>
      <c r="J69" s="26" t="s">
        <v>25</v>
      </c>
      <c r="K69" s="26" t="s">
        <v>25</v>
      </c>
      <c r="L69" s="26" t="s">
        <v>25</v>
      </c>
      <c r="M69" s="26" t="s">
        <v>25</v>
      </c>
      <c r="N69" s="26"/>
    </row>
    <row r="70" ht="15.75" customHeight="1">
      <c r="A70" s="28"/>
      <c r="B70" s="29">
        <v>66.0</v>
      </c>
      <c r="C70" s="30" t="s">
        <v>150</v>
      </c>
      <c r="D70" s="78" t="s">
        <v>151</v>
      </c>
      <c r="E70" s="70" t="str">
        <f t="shared" si="2"/>
        <v/>
      </c>
      <c r="F70" s="71" t="str">
        <f t="shared" si="3"/>
        <v/>
      </c>
      <c r="G70" s="26" t="s">
        <v>80</v>
      </c>
      <c r="H70" s="26"/>
      <c r="I70" s="26"/>
      <c r="J70" s="26"/>
      <c r="K70" s="26"/>
      <c r="L70" s="26"/>
      <c r="M70" s="26"/>
      <c r="N70" s="26"/>
    </row>
    <row r="71" ht="15.75" customHeight="1">
      <c r="A71" s="20"/>
      <c r="B71" s="21">
        <v>67.0</v>
      </c>
      <c r="C71" s="22" t="s">
        <v>152</v>
      </c>
      <c r="D71" s="22" t="s">
        <v>153</v>
      </c>
      <c r="E71" s="70" t="str">
        <f t="shared" si="2"/>
        <v>8번 중 3번 참여</v>
      </c>
      <c r="F71" s="71">
        <f t="shared" si="3"/>
        <v>0.375</v>
      </c>
      <c r="G71" s="26" t="s">
        <v>80</v>
      </c>
      <c r="H71" s="26" t="s">
        <v>25</v>
      </c>
      <c r="I71" s="26"/>
      <c r="J71" s="26" t="s">
        <v>25</v>
      </c>
      <c r="K71" s="26"/>
      <c r="L71" s="26" t="s">
        <v>25</v>
      </c>
      <c r="M71" s="26"/>
      <c r="N71" s="26"/>
    </row>
    <row r="72" ht="15.75" customHeight="1">
      <c r="A72" s="28"/>
      <c r="B72" s="29">
        <v>68.0</v>
      </c>
      <c r="C72" s="30" t="s">
        <v>388</v>
      </c>
      <c r="D72" s="30" t="s">
        <v>389</v>
      </c>
      <c r="E72" s="70" t="str">
        <f t="shared" si="2"/>
        <v/>
      </c>
      <c r="F72" s="71" t="str">
        <f t="shared" si="3"/>
        <v/>
      </c>
      <c r="G72" s="26" t="s">
        <v>80</v>
      </c>
      <c r="H72" s="26"/>
      <c r="I72" s="26"/>
      <c r="J72" s="26"/>
      <c r="K72" s="26"/>
      <c r="L72" s="26"/>
      <c r="M72" s="26"/>
      <c r="N72" s="26"/>
    </row>
    <row r="73" ht="15.75" customHeight="1">
      <c r="A73" s="20"/>
      <c r="B73" s="21">
        <v>69.0</v>
      </c>
      <c r="C73" s="22" t="s">
        <v>156</v>
      </c>
      <c r="D73" s="22" t="s">
        <v>157</v>
      </c>
      <c r="E73" s="70" t="str">
        <f t="shared" si="2"/>
        <v>8번 중 8번 참여</v>
      </c>
      <c r="F73" s="71">
        <f t="shared" si="3"/>
        <v>1</v>
      </c>
      <c r="G73" s="26" t="s">
        <v>25</v>
      </c>
      <c r="H73" s="26" t="s">
        <v>25</v>
      </c>
      <c r="I73" s="26" t="s">
        <v>25</v>
      </c>
      <c r="J73" s="26" t="s">
        <v>25</v>
      </c>
      <c r="K73" s="26" t="s">
        <v>25</v>
      </c>
      <c r="L73" s="26" t="s">
        <v>25</v>
      </c>
      <c r="M73" s="26" t="s">
        <v>25</v>
      </c>
      <c r="N73" s="26" t="s">
        <v>25</v>
      </c>
    </row>
    <row r="74" ht="15.75" customHeight="1">
      <c r="A74" s="28"/>
      <c r="B74" s="29">
        <v>70.0</v>
      </c>
      <c r="C74" s="42" t="s">
        <v>158</v>
      </c>
      <c r="D74" s="42" t="s">
        <v>159</v>
      </c>
      <c r="E74" s="70" t="str">
        <f t="shared" si="2"/>
        <v>8번 중 8번 참여</v>
      </c>
      <c r="F74" s="71">
        <f t="shared" si="3"/>
        <v>1</v>
      </c>
      <c r="G74" s="26" t="s">
        <v>25</v>
      </c>
      <c r="H74" s="26" t="s">
        <v>25</v>
      </c>
      <c r="I74" s="26" t="s">
        <v>25</v>
      </c>
      <c r="J74" s="26" t="s">
        <v>25</v>
      </c>
      <c r="K74" s="26" t="s">
        <v>25</v>
      </c>
      <c r="L74" s="26" t="s">
        <v>25</v>
      </c>
      <c r="M74" s="26" t="s">
        <v>25</v>
      </c>
      <c r="N74" s="26" t="s">
        <v>25</v>
      </c>
    </row>
    <row r="75" ht="15.75" customHeight="1">
      <c r="A75" s="20"/>
      <c r="B75" s="21">
        <v>71.0</v>
      </c>
      <c r="C75" s="42" t="s">
        <v>160</v>
      </c>
      <c r="D75" s="42" t="s">
        <v>161</v>
      </c>
      <c r="E75" s="70" t="str">
        <f t="shared" si="2"/>
        <v>8번 중 8번 참여</v>
      </c>
      <c r="F75" s="71">
        <f t="shared" si="3"/>
        <v>1</v>
      </c>
      <c r="G75" s="26" t="s">
        <v>25</v>
      </c>
      <c r="H75" s="26" t="s">
        <v>25</v>
      </c>
      <c r="I75" s="26" t="s">
        <v>25</v>
      </c>
      <c r="J75" s="26" t="s">
        <v>25</v>
      </c>
      <c r="K75" s="26" t="s">
        <v>25</v>
      </c>
      <c r="L75" s="26" t="s">
        <v>25</v>
      </c>
      <c r="M75" s="26" t="s">
        <v>25</v>
      </c>
      <c r="N75" s="26" t="s">
        <v>25</v>
      </c>
    </row>
    <row r="76" ht="15.75" customHeight="1">
      <c r="A76" s="28"/>
      <c r="B76" s="29">
        <v>72.0</v>
      </c>
      <c r="C76" s="30" t="s">
        <v>162</v>
      </c>
      <c r="D76" s="30" t="s">
        <v>163</v>
      </c>
      <c r="E76" s="70" t="str">
        <f t="shared" si="2"/>
        <v>8번 중 8번 참여</v>
      </c>
      <c r="F76" s="71">
        <f t="shared" si="3"/>
        <v>1</v>
      </c>
      <c r="G76" s="26" t="s">
        <v>25</v>
      </c>
      <c r="H76" s="26" t="s">
        <v>25</v>
      </c>
      <c r="I76" s="26" t="s">
        <v>25</v>
      </c>
      <c r="J76" s="26" t="s">
        <v>25</v>
      </c>
      <c r="K76" s="26" t="s">
        <v>25</v>
      </c>
      <c r="L76" s="26" t="s">
        <v>25</v>
      </c>
      <c r="M76" s="26" t="s">
        <v>25</v>
      </c>
      <c r="N76" s="26" t="s">
        <v>25</v>
      </c>
    </row>
    <row r="77" ht="15.75" customHeight="1">
      <c r="A77" s="20"/>
      <c r="B77" s="21">
        <v>73.0</v>
      </c>
      <c r="C77" s="22" t="s">
        <v>164</v>
      </c>
      <c r="D77" s="22" t="s">
        <v>165</v>
      </c>
      <c r="E77" s="70" t="str">
        <f t="shared" si="2"/>
        <v>8번 중 8번 참여</v>
      </c>
      <c r="F77" s="71">
        <f t="shared" si="3"/>
        <v>1</v>
      </c>
      <c r="G77" s="26" t="s">
        <v>25</v>
      </c>
      <c r="H77" s="26" t="s">
        <v>25</v>
      </c>
      <c r="I77" s="26" t="s">
        <v>25</v>
      </c>
      <c r="J77" s="26" t="s">
        <v>25</v>
      </c>
      <c r="K77" s="26" t="s">
        <v>25</v>
      </c>
      <c r="L77" s="26" t="s">
        <v>25</v>
      </c>
      <c r="M77" s="26" t="s">
        <v>25</v>
      </c>
      <c r="N77" s="26" t="s">
        <v>25</v>
      </c>
    </row>
    <row r="78" ht="15.75" customHeight="1">
      <c r="A78" s="28"/>
      <c r="B78" s="29">
        <v>74.0</v>
      </c>
      <c r="C78" s="42" t="s">
        <v>166</v>
      </c>
      <c r="D78" s="42" t="s">
        <v>167</v>
      </c>
      <c r="E78" s="70" t="str">
        <f t="shared" si="2"/>
        <v>8번 중 7번 참여</v>
      </c>
      <c r="F78" s="71">
        <f t="shared" si="3"/>
        <v>0.875</v>
      </c>
      <c r="G78" s="26" t="s">
        <v>25</v>
      </c>
      <c r="H78" s="26" t="s">
        <v>25</v>
      </c>
      <c r="I78" s="26" t="s">
        <v>25</v>
      </c>
      <c r="J78" s="26" t="s">
        <v>25</v>
      </c>
      <c r="K78" s="26" t="s">
        <v>25</v>
      </c>
      <c r="L78" s="26" t="s">
        <v>25</v>
      </c>
      <c r="M78" s="26"/>
      <c r="N78" s="26" t="s">
        <v>25</v>
      </c>
    </row>
    <row r="79" ht="15.75" customHeight="1">
      <c r="A79" s="20"/>
      <c r="B79" s="21">
        <v>75.0</v>
      </c>
      <c r="C79" s="105"/>
      <c r="D79" s="106"/>
      <c r="E79" s="70" t="str">
        <f t="shared" si="2"/>
        <v/>
      </c>
      <c r="F79" s="71" t="str">
        <f t="shared" si="3"/>
        <v/>
      </c>
      <c r="G79" s="26"/>
      <c r="H79" s="26"/>
      <c r="I79" s="26"/>
      <c r="J79" s="26"/>
      <c r="K79" s="26"/>
      <c r="L79" s="26"/>
      <c r="M79" s="26"/>
      <c r="N79" s="26"/>
    </row>
    <row r="80" ht="15.75" customHeight="1">
      <c r="A80" s="28"/>
      <c r="B80" s="29">
        <v>76.0</v>
      </c>
      <c r="C80" s="30" t="s">
        <v>154</v>
      </c>
      <c r="D80" s="30" t="s">
        <v>155</v>
      </c>
      <c r="E80" s="70" t="str">
        <f t="shared" si="2"/>
        <v>8번 중 8번 참여</v>
      </c>
      <c r="F80" s="71">
        <f t="shared" si="3"/>
        <v>1</v>
      </c>
      <c r="G80" s="26" t="s">
        <v>25</v>
      </c>
      <c r="H80" s="26" t="s">
        <v>25</v>
      </c>
      <c r="I80" s="26" t="s">
        <v>25</v>
      </c>
      <c r="J80" s="26" t="s">
        <v>25</v>
      </c>
      <c r="K80" s="26" t="s">
        <v>25</v>
      </c>
      <c r="L80" s="26" t="s">
        <v>25</v>
      </c>
      <c r="M80" s="26" t="s">
        <v>25</v>
      </c>
      <c r="N80" s="26" t="s">
        <v>25</v>
      </c>
    </row>
    <row r="81" ht="15.75" customHeight="1">
      <c r="A81" s="20"/>
      <c r="B81" s="21">
        <v>77.0</v>
      </c>
      <c r="C81" s="105"/>
      <c r="D81" s="105"/>
      <c r="E81" s="70" t="str">
        <f t="shared" si="2"/>
        <v/>
      </c>
      <c r="F81" s="71" t="str">
        <f t="shared" si="3"/>
        <v/>
      </c>
      <c r="G81" s="26"/>
      <c r="H81" s="26"/>
      <c r="I81" s="26"/>
      <c r="J81" s="26"/>
      <c r="K81" s="26"/>
      <c r="L81" s="26"/>
      <c r="M81" s="26"/>
      <c r="N81" s="26"/>
    </row>
    <row r="82" ht="15.75" customHeight="1">
      <c r="A82" s="28"/>
      <c r="B82" s="29">
        <v>78.0</v>
      </c>
      <c r="C82" s="30" t="s">
        <v>170</v>
      </c>
      <c r="D82" s="30" t="s">
        <v>171</v>
      </c>
      <c r="E82" s="70" t="str">
        <f t="shared" si="2"/>
        <v>8번 중 8번 참여</v>
      </c>
      <c r="F82" s="71">
        <f t="shared" si="3"/>
        <v>1</v>
      </c>
      <c r="G82" s="26" t="s">
        <v>25</v>
      </c>
      <c r="H82" s="26" t="s">
        <v>25</v>
      </c>
      <c r="I82" s="26" t="s">
        <v>25</v>
      </c>
      <c r="J82" s="26" t="s">
        <v>25</v>
      </c>
      <c r="K82" s="26" t="s">
        <v>25</v>
      </c>
      <c r="L82" s="26" t="s">
        <v>25</v>
      </c>
      <c r="M82" s="26" t="s">
        <v>25</v>
      </c>
      <c r="N82" s="26" t="s">
        <v>25</v>
      </c>
    </row>
    <row r="83" ht="15.75" customHeight="1">
      <c r="A83" s="20"/>
      <c r="B83" s="21">
        <v>79.0</v>
      </c>
      <c r="C83" s="22" t="s">
        <v>172</v>
      </c>
      <c r="D83" s="74" t="s">
        <v>173</v>
      </c>
      <c r="E83" s="70" t="str">
        <f t="shared" si="2"/>
        <v>8번 중 8번 참여</v>
      </c>
      <c r="F83" s="71">
        <f t="shared" si="3"/>
        <v>1</v>
      </c>
      <c r="G83" s="26" t="s">
        <v>25</v>
      </c>
      <c r="H83" s="26" t="s">
        <v>25</v>
      </c>
      <c r="I83" s="26" t="s">
        <v>25</v>
      </c>
      <c r="J83" s="26" t="s">
        <v>25</v>
      </c>
      <c r="K83" s="26" t="s">
        <v>25</v>
      </c>
      <c r="L83" s="26" t="s">
        <v>25</v>
      </c>
      <c r="M83" s="26" t="s">
        <v>25</v>
      </c>
      <c r="N83" s="26" t="s">
        <v>25</v>
      </c>
    </row>
    <row r="84" ht="15.75" customHeight="1">
      <c r="A84" s="28"/>
      <c r="B84" s="29">
        <v>80.0</v>
      </c>
      <c r="C84" s="42" t="s">
        <v>345</v>
      </c>
      <c r="D84" s="77" t="s">
        <v>578</v>
      </c>
      <c r="E84" s="70" t="str">
        <f t="shared" si="2"/>
        <v>8번 중 8번 참여</v>
      </c>
      <c r="F84" s="71">
        <f t="shared" si="3"/>
        <v>1</v>
      </c>
      <c r="G84" s="26" t="s">
        <v>25</v>
      </c>
      <c r="H84" s="26" t="s">
        <v>25</v>
      </c>
      <c r="I84" s="26" t="s">
        <v>25</v>
      </c>
      <c r="J84" s="26" t="s">
        <v>25</v>
      </c>
      <c r="K84" s="26" t="s">
        <v>25</v>
      </c>
      <c r="L84" s="26" t="s">
        <v>25</v>
      </c>
      <c r="M84" s="26" t="s">
        <v>25</v>
      </c>
      <c r="N84" s="26" t="s">
        <v>25</v>
      </c>
    </row>
    <row r="85" ht="15.75" customHeight="1">
      <c r="A85" s="20"/>
      <c r="B85" s="21">
        <v>81.0</v>
      </c>
      <c r="C85" s="82" t="s">
        <v>115</v>
      </c>
      <c r="D85" s="108" t="s">
        <v>579</v>
      </c>
      <c r="E85" s="70" t="str">
        <f t="shared" si="2"/>
        <v/>
      </c>
      <c r="F85" s="71" t="str">
        <f t="shared" si="3"/>
        <v/>
      </c>
      <c r="G85" s="26"/>
      <c r="H85" s="26"/>
      <c r="I85" s="26"/>
      <c r="J85" s="26"/>
      <c r="K85" s="26"/>
      <c r="L85" s="26"/>
      <c r="M85" s="26"/>
      <c r="N85" s="26"/>
    </row>
    <row r="86" ht="15.75" customHeight="1">
      <c r="A86" s="28"/>
      <c r="B86" s="29">
        <v>82.0</v>
      </c>
      <c r="C86" s="30" t="s">
        <v>174</v>
      </c>
      <c r="D86" s="78" t="s">
        <v>175</v>
      </c>
      <c r="E86" s="70" t="str">
        <f t="shared" si="2"/>
        <v>8번 중 3번 참여</v>
      </c>
      <c r="F86" s="71">
        <f t="shared" si="3"/>
        <v>0.375</v>
      </c>
      <c r="G86" s="26"/>
      <c r="H86" s="26"/>
      <c r="I86" s="26"/>
      <c r="J86" s="26" t="s">
        <v>25</v>
      </c>
      <c r="K86" s="26"/>
      <c r="L86" s="26" t="s">
        <v>25</v>
      </c>
      <c r="M86" s="26" t="s">
        <v>25</v>
      </c>
      <c r="N86" s="26"/>
    </row>
    <row r="87" ht="15.75" customHeight="1">
      <c r="A87" s="20"/>
      <c r="B87" s="21">
        <v>83.0</v>
      </c>
      <c r="C87" s="22" t="s">
        <v>168</v>
      </c>
      <c r="D87" s="74" t="s">
        <v>169</v>
      </c>
      <c r="E87" s="70" t="str">
        <f t="shared" si="2"/>
        <v>8번 중 7번 참여</v>
      </c>
      <c r="F87" s="71">
        <f t="shared" si="3"/>
        <v>0.875</v>
      </c>
      <c r="G87" s="26"/>
      <c r="H87" s="26" t="s">
        <v>25</v>
      </c>
      <c r="I87" s="26" t="s">
        <v>25</v>
      </c>
      <c r="J87" s="26" t="s">
        <v>25</v>
      </c>
      <c r="K87" s="26" t="s">
        <v>25</v>
      </c>
      <c r="L87" s="26" t="s">
        <v>25</v>
      </c>
      <c r="M87" s="26" t="s">
        <v>25</v>
      </c>
      <c r="N87" s="26" t="s">
        <v>25</v>
      </c>
    </row>
    <row r="88" ht="15.75" customHeight="1">
      <c r="A88" s="28"/>
      <c r="B88" s="29">
        <v>84.0</v>
      </c>
      <c r="C88" s="30" t="s">
        <v>580</v>
      </c>
      <c r="D88" s="72" t="s">
        <v>581</v>
      </c>
      <c r="E88" s="70" t="str">
        <f t="shared" si="2"/>
        <v/>
      </c>
      <c r="F88" s="71" t="str">
        <f t="shared" si="3"/>
        <v/>
      </c>
      <c r="G88" s="26"/>
      <c r="H88" s="26"/>
      <c r="I88" s="26"/>
      <c r="J88" s="26"/>
      <c r="K88" s="26"/>
      <c r="L88" s="26"/>
      <c r="M88" s="26"/>
      <c r="N88" s="26"/>
    </row>
    <row r="89" ht="15.75" customHeight="1">
      <c r="A89" s="20"/>
      <c r="B89" s="21">
        <v>85.0</v>
      </c>
      <c r="C89" s="39" t="s">
        <v>176</v>
      </c>
      <c r="D89" s="79" t="s">
        <v>177</v>
      </c>
      <c r="E89" s="70" t="str">
        <f t="shared" si="2"/>
        <v>8번 중 8번 참여</v>
      </c>
      <c r="F89" s="71">
        <f t="shared" si="3"/>
        <v>1</v>
      </c>
      <c r="G89" s="26" t="s">
        <v>25</v>
      </c>
      <c r="H89" s="26" t="s">
        <v>25</v>
      </c>
      <c r="I89" s="26" t="s">
        <v>25</v>
      </c>
      <c r="J89" s="26" t="s">
        <v>25</v>
      </c>
      <c r="K89" s="26" t="s">
        <v>25</v>
      </c>
      <c r="L89" s="26" t="s">
        <v>25</v>
      </c>
      <c r="M89" s="26" t="s">
        <v>25</v>
      </c>
      <c r="N89" s="26" t="s">
        <v>25</v>
      </c>
    </row>
    <row r="90" ht="15.75" customHeight="1">
      <c r="A90" s="28"/>
      <c r="B90" s="29">
        <v>86.0</v>
      </c>
      <c r="C90" s="30" t="s">
        <v>178</v>
      </c>
      <c r="D90" s="72" t="s">
        <v>179</v>
      </c>
      <c r="E90" s="70" t="str">
        <f t="shared" si="2"/>
        <v>8번 중 8번 참여</v>
      </c>
      <c r="F90" s="71">
        <f t="shared" si="3"/>
        <v>1</v>
      </c>
      <c r="G90" s="26" t="s">
        <v>25</v>
      </c>
      <c r="H90" s="26" t="s">
        <v>25</v>
      </c>
      <c r="I90" s="26" t="s">
        <v>25</v>
      </c>
      <c r="J90" s="26" t="s">
        <v>25</v>
      </c>
      <c r="K90" s="26" t="s">
        <v>25</v>
      </c>
      <c r="L90" s="26" t="s">
        <v>25</v>
      </c>
      <c r="M90" s="26" t="s">
        <v>25</v>
      </c>
      <c r="N90" s="26" t="s">
        <v>25</v>
      </c>
    </row>
    <row r="91" ht="15.75" customHeight="1">
      <c r="A91" s="20"/>
      <c r="B91" s="21">
        <v>87.0</v>
      </c>
      <c r="C91" s="22" t="s">
        <v>180</v>
      </c>
      <c r="D91" s="74" t="s">
        <v>181</v>
      </c>
      <c r="E91" s="70" t="str">
        <f t="shared" si="2"/>
        <v>8번 중 8번 참여</v>
      </c>
      <c r="F91" s="71">
        <f t="shared" si="3"/>
        <v>1</v>
      </c>
      <c r="G91" s="26" t="s">
        <v>25</v>
      </c>
      <c r="H91" s="26" t="s">
        <v>25</v>
      </c>
      <c r="I91" s="26" t="s">
        <v>25</v>
      </c>
      <c r="J91" s="26" t="s">
        <v>25</v>
      </c>
      <c r="K91" s="26" t="s">
        <v>25</v>
      </c>
      <c r="L91" s="26" t="s">
        <v>25</v>
      </c>
      <c r="M91" s="26" t="s">
        <v>25</v>
      </c>
      <c r="N91" s="26" t="s">
        <v>25</v>
      </c>
    </row>
    <row r="92" ht="15.75" customHeight="1">
      <c r="A92" s="28"/>
      <c r="B92" s="29">
        <v>88.0</v>
      </c>
      <c r="C92" s="44" t="s">
        <v>462</v>
      </c>
      <c r="D92" s="81" t="s">
        <v>463</v>
      </c>
      <c r="E92" s="70" t="str">
        <f t="shared" si="2"/>
        <v/>
      </c>
      <c r="F92" s="71" t="str">
        <f t="shared" si="3"/>
        <v/>
      </c>
      <c r="G92" s="26"/>
      <c r="H92" s="26"/>
      <c r="I92" s="26"/>
      <c r="J92" s="26"/>
      <c r="K92" s="26"/>
      <c r="L92" s="26"/>
      <c r="M92" s="26"/>
      <c r="N92" s="26"/>
    </row>
    <row r="93" ht="15.75" customHeight="1">
      <c r="A93" s="20"/>
      <c r="B93" s="21">
        <v>89.0</v>
      </c>
      <c r="C93" s="43" t="s">
        <v>464</v>
      </c>
      <c r="D93" s="207" t="s">
        <v>465</v>
      </c>
      <c r="E93" s="70" t="str">
        <f t="shared" si="2"/>
        <v/>
      </c>
      <c r="F93" s="71" t="str">
        <f t="shared" si="3"/>
        <v/>
      </c>
      <c r="G93" s="26"/>
      <c r="H93" s="26"/>
      <c r="I93" s="26"/>
      <c r="J93" s="26"/>
      <c r="K93" s="26"/>
      <c r="L93" s="26"/>
      <c r="M93" s="26"/>
      <c r="N93" s="26"/>
    </row>
    <row r="94" ht="15.75" customHeight="1">
      <c r="A94" s="28"/>
      <c r="B94" s="29">
        <v>90.0</v>
      </c>
      <c r="C94" s="39" t="s">
        <v>493</v>
      </c>
      <c r="D94" s="79" t="s">
        <v>494</v>
      </c>
      <c r="E94" s="70" t="str">
        <f t="shared" si="2"/>
        <v/>
      </c>
      <c r="F94" s="71" t="str">
        <f t="shared" si="3"/>
        <v/>
      </c>
      <c r="G94" s="26"/>
      <c r="H94" s="26"/>
      <c r="I94" s="26"/>
      <c r="J94" s="26"/>
      <c r="K94" s="26"/>
      <c r="L94" s="26"/>
      <c r="M94" s="26"/>
      <c r="N94" s="26"/>
    </row>
    <row r="95" ht="15.75" customHeight="1">
      <c r="A95" s="20"/>
      <c r="B95" s="21">
        <v>91.0</v>
      </c>
      <c r="C95" s="43" t="s">
        <v>182</v>
      </c>
      <c r="D95" s="87" t="s">
        <v>183</v>
      </c>
      <c r="E95" s="70" t="str">
        <f t="shared" si="2"/>
        <v>8번 중 8번 참여</v>
      </c>
      <c r="F95" s="71">
        <f t="shared" si="3"/>
        <v>1</v>
      </c>
      <c r="G95" s="26" t="s">
        <v>25</v>
      </c>
      <c r="H95" s="26" t="s">
        <v>25</v>
      </c>
      <c r="I95" s="26" t="s">
        <v>25</v>
      </c>
      <c r="J95" s="26" t="s">
        <v>25</v>
      </c>
      <c r="K95" s="26" t="s">
        <v>25</v>
      </c>
      <c r="L95" s="26" t="s">
        <v>25</v>
      </c>
      <c r="M95" s="26" t="s">
        <v>25</v>
      </c>
      <c r="N95" s="26" t="s">
        <v>25</v>
      </c>
    </row>
    <row r="96" ht="15.75" customHeight="1">
      <c r="A96" s="28"/>
      <c r="B96" s="29">
        <v>92.0</v>
      </c>
      <c r="C96" s="44" t="s">
        <v>491</v>
      </c>
      <c r="D96" s="100" t="s">
        <v>492</v>
      </c>
      <c r="E96" s="70" t="str">
        <f t="shared" si="2"/>
        <v>8번 중 4번 참여</v>
      </c>
      <c r="F96" s="71">
        <f t="shared" si="3"/>
        <v>0.5</v>
      </c>
      <c r="G96" s="26" t="s">
        <v>25</v>
      </c>
      <c r="H96" s="26" t="s">
        <v>25</v>
      </c>
      <c r="I96" s="26" t="s">
        <v>25</v>
      </c>
      <c r="J96" s="26" t="s">
        <v>25</v>
      </c>
      <c r="K96" s="26" t="s">
        <v>80</v>
      </c>
      <c r="L96" s="26"/>
      <c r="M96" s="26"/>
      <c r="N96" s="26"/>
    </row>
    <row r="97" ht="15.75" customHeight="1">
      <c r="A97" s="20"/>
      <c r="B97" s="21">
        <v>93.0</v>
      </c>
      <c r="C97" s="43" t="s">
        <v>184</v>
      </c>
      <c r="D97" s="109" t="s">
        <v>605</v>
      </c>
      <c r="E97" s="70" t="str">
        <f t="shared" si="2"/>
        <v>8번 중 8번 참여</v>
      </c>
      <c r="F97" s="71">
        <f t="shared" si="3"/>
        <v>1</v>
      </c>
      <c r="G97" s="26" t="s">
        <v>25</v>
      </c>
      <c r="H97" s="26" t="s">
        <v>25</v>
      </c>
      <c r="I97" s="26" t="s">
        <v>25</v>
      </c>
      <c r="J97" s="26" t="s">
        <v>25</v>
      </c>
      <c r="K97" s="26" t="s">
        <v>25</v>
      </c>
      <c r="L97" s="26" t="s">
        <v>25</v>
      </c>
      <c r="M97" s="26" t="s">
        <v>25</v>
      </c>
      <c r="N97" s="26" t="s">
        <v>25</v>
      </c>
    </row>
    <row r="98" ht="15.75" customHeight="1">
      <c r="A98" s="28"/>
      <c r="B98" s="29">
        <v>94.0</v>
      </c>
      <c r="C98" s="86" t="s">
        <v>207</v>
      </c>
      <c r="D98" s="44" t="s">
        <v>208</v>
      </c>
      <c r="E98" s="70" t="str">
        <f t="shared" si="2"/>
        <v>8번 중 4번 참여</v>
      </c>
      <c r="F98" s="71">
        <f t="shared" si="3"/>
        <v>0.5</v>
      </c>
      <c r="G98" s="26" t="s">
        <v>80</v>
      </c>
      <c r="H98" s="26" t="s">
        <v>25</v>
      </c>
      <c r="I98" s="26" t="s">
        <v>25</v>
      </c>
      <c r="J98" s="26" t="s">
        <v>25</v>
      </c>
      <c r="K98" s="26"/>
      <c r="L98" s="26" t="s">
        <v>25</v>
      </c>
      <c r="M98" s="26"/>
      <c r="N98" s="26"/>
    </row>
    <row r="99" ht="15.75" customHeight="1">
      <c r="A99" s="20"/>
      <c r="B99" s="21">
        <v>95.0</v>
      </c>
      <c r="C99" s="39"/>
      <c r="D99" s="39"/>
      <c r="E99" s="70" t="str">
        <f t="shared" si="2"/>
        <v/>
      </c>
      <c r="F99" s="71" t="str">
        <f t="shared" si="3"/>
        <v/>
      </c>
      <c r="G99" s="26"/>
      <c r="H99" s="26"/>
      <c r="I99" s="26"/>
      <c r="J99" s="26"/>
      <c r="K99" s="26"/>
      <c r="L99" s="26"/>
      <c r="M99" s="26"/>
      <c r="N99" s="26"/>
    </row>
    <row r="100" ht="15.75" customHeight="1">
      <c r="A100" s="28"/>
      <c r="B100" s="29">
        <v>96.0</v>
      </c>
      <c r="C100" s="42"/>
      <c r="D100" s="42"/>
      <c r="E100" s="70" t="str">
        <f t="shared" si="2"/>
        <v/>
      </c>
      <c r="F100" s="71" t="str">
        <f t="shared" si="3"/>
        <v/>
      </c>
      <c r="G100" s="26"/>
      <c r="H100" s="26"/>
      <c r="I100" s="26"/>
      <c r="J100" s="26"/>
      <c r="K100" s="26"/>
      <c r="L100" s="26"/>
      <c r="M100" s="26"/>
      <c r="N100" s="26"/>
    </row>
    <row r="101" ht="15.75" customHeight="1">
      <c r="A101" s="20"/>
      <c r="B101" s="21">
        <v>97.0</v>
      </c>
      <c r="C101" s="39"/>
      <c r="D101" s="39"/>
      <c r="E101" s="70" t="str">
        <f t="shared" si="2"/>
        <v/>
      </c>
      <c r="F101" s="71" t="str">
        <f t="shared" si="3"/>
        <v/>
      </c>
      <c r="G101" s="26"/>
      <c r="H101" s="26"/>
      <c r="I101" s="26"/>
      <c r="J101" s="26"/>
      <c r="K101" s="26"/>
      <c r="L101" s="26"/>
      <c r="M101" s="26"/>
      <c r="N101" s="26"/>
    </row>
    <row r="102" ht="15.75" customHeight="1">
      <c r="A102" s="28"/>
      <c r="B102" s="29">
        <v>98.0</v>
      </c>
      <c r="C102" s="202"/>
      <c r="D102" s="202"/>
      <c r="E102" s="70" t="str">
        <f t="shared" si="2"/>
        <v/>
      </c>
      <c r="F102" s="71" t="str">
        <f t="shared" si="3"/>
        <v/>
      </c>
      <c r="G102" s="26"/>
      <c r="H102" s="26"/>
      <c r="I102" s="26"/>
      <c r="J102" s="26"/>
      <c r="K102" s="26"/>
      <c r="L102" s="26"/>
      <c r="M102" s="26"/>
      <c r="N102" s="26"/>
    </row>
    <row r="103" ht="15.75" customHeight="1">
      <c r="A103" s="20"/>
      <c r="B103" s="21">
        <v>99.0</v>
      </c>
      <c r="C103" s="33"/>
      <c r="D103" s="33"/>
      <c r="E103" s="70" t="str">
        <f t="shared" si="2"/>
        <v/>
      </c>
      <c r="F103" s="71" t="str">
        <f t="shared" si="3"/>
        <v/>
      </c>
      <c r="G103" s="26"/>
      <c r="H103" s="26"/>
      <c r="I103" s="26"/>
      <c r="J103" s="26"/>
      <c r="K103" s="26"/>
      <c r="L103" s="26"/>
      <c r="M103" s="26"/>
      <c r="N103" s="26"/>
    </row>
    <row r="104" ht="15.75" customHeight="1">
      <c r="A104" s="28"/>
      <c r="B104" s="29">
        <v>100.0</v>
      </c>
      <c r="C104" s="35"/>
      <c r="D104" s="35"/>
      <c r="E104" s="70" t="str">
        <f t="shared" si="2"/>
        <v/>
      </c>
      <c r="F104" s="71" t="str">
        <f t="shared" si="3"/>
        <v/>
      </c>
      <c r="G104" s="26"/>
      <c r="H104" s="26"/>
      <c r="I104" s="26"/>
      <c r="J104" s="26"/>
      <c r="K104" s="26"/>
      <c r="L104" s="26"/>
      <c r="M104" s="26"/>
      <c r="N104" s="26"/>
    </row>
    <row r="105" ht="15.75" customHeight="1">
      <c r="A105" s="20"/>
      <c r="B105" s="21">
        <v>101.0</v>
      </c>
      <c r="C105" s="33"/>
      <c r="D105" s="33"/>
      <c r="E105" s="70" t="str">
        <f t="shared" si="2"/>
        <v/>
      </c>
      <c r="F105" s="71" t="str">
        <f t="shared" si="3"/>
        <v/>
      </c>
      <c r="G105" s="26"/>
      <c r="H105" s="26"/>
      <c r="I105" s="26"/>
      <c r="J105" s="26"/>
      <c r="K105" s="26"/>
      <c r="L105" s="26"/>
      <c r="M105" s="26"/>
      <c r="N105" s="26"/>
    </row>
    <row r="106" ht="15.75" customHeight="1">
      <c r="A106" s="28"/>
      <c r="B106" s="29">
        <v>102.0</v>
      </c>
      <c r="C106" s="35"/>
      <c r="D106" s="35"/>
      <c r="E106" s="70" t="str">
        <f t="shared" si="2"/>
        <v/>
      </c>
      <c r="F106" s="71" t="str">
        <f t="shared" si="3"/>
        <v/>
      </c>
      <c r="G106" s="26"/>
      <c r="H106" s="26"/>
      <c r="I106" s="26"/>
      <c r="J106" s="26"/>
      <c r="K106" s="26"/>
      <c r="L106" s="26"/>
      <c r="M106" s="26"/>
      <c r="N106" s="26"/>
    </row>
    <row r="107" ht="15.75" customHeight="1">
      <c r="A107" s="20"/>
      <c r="B107" s="21">
        <v>103.0</v>
      </c>
      <c r="C107" s="33"/>
      <c r="D107" s="33"/>
      <c r="E107" s="70" t="str">
        <f t="shared" si="2"/>
        <v/>
      </c>
      <c r="F107" s="71" t="str">
        <f t="shared" si="3"/>
        <v/>
      </c>
      <c r="G107" s="26"/>
      <c r="H107" s="26"/>
      <c r="I107" s="26"/>
      <c r="J107" s="26"/>
      <c r="K107" s="26"/>
      <c r="L107" s="26"/>
      <c r="M107" s="26"/>
      <c r="N107" s="26"/>
    </row>
    <row r="108" ht="15.75" customHeight="1">
      <c r="A108" s="28"/>
      <c r="B108" s="29">
        <v>104.0</v>
      </c>
      <c r="C108" s="35"/>
      <c r="D108" s="35"/>
      <c r="E108" s="70" t="str">
        <f t="shared" si="2"/>
        <v/>
      </c>
      <c r="F108" s="71" t="str">
        <f t="shared" si="3"/>
        <v/>
      </c>
      <c r="G108" s="26"/>
      <c r="H108" s="26"/>
      <c r="I108" s="26"/>
      <c r="J108" s="26"/>
      <c r="K108" s="26"/>
      <c r="L108" s="26"/>
      <c r="M108" s="26"/>
      <c r="N108" s="26"/>
    </row>
    <row r="109" ht="15.75" customHeight="1">
      <c r="A109" s="20"/>
      <c r="B109" s="21">
        <v>105.0</v>
      </c>
      <c r="C109" s="33"/>
      <c r="D109" s="33"/>
      <c r="E109" s="70" t="str">
        <f t="shared" si="2"/>
        <v/>
      </c>
      <c r="F109" s="71" t="str">
        <f t="shared" si="3"/>
        <v/>
      </c>
      <c r="G109" s="26"/>
      <c r="H109" s="26"/>
      <c r="I109" s="26"/>
      <c r="J109" s="26"/>
      <c r="K109" s="26"/>
      <c r="L109" s="26"/>
      <c r="M109" s="26"/>
      <c r="N109" s="26"/>
    </row>
    <row r="110" ht="15.75" customHeight="1">
      <c r="A110" s="28"/>
      <c r="B110" s="29">
        <v>106.0</v>
      </c>
      <c r="C110" s="35"/>
      <c r="D110" s="35"/>
      <c r="E110" s="70" t="str">
        <f t="shared" si="2"/>
        <v/>
      </c>
      <c r="F110" s="71" t="str">
        <f t="shared" si="3"/>
        <v/>
      </c>
      <c r="G110" s="26"/>
      <c r="H110" s="26"/>
      <c r="I110" s="26"/>
      <c r="J110" s="26"/>
      <c r="K110" s="26"/>
      <c r="L110" s="26"/>
      <c r="M110" s="26"/>
      <c r="N110" s="26"/>
    </row>
    <row r="111" ht="15.75" customHeight="1">
      <c r="A111" s="20"/>
      <c r="B111" s="21">
        <v>107.0</v>
      </c>
      <c r="C111" s="33"/>
      <c r="D111" s="33"/>
      <c r="E111" s="70" t="str">
        <f t="shared" si="2"/>
        <v/>
      </c>
      <c r="F111" s="71" t="str">
        <f t="shared" si="3"/>
        <v/>
      </c>
      <c r="G111" s="26"/>
      <c r="H111" s="26"/>
      <c r="I111" s="26"/>
      <c r="J111" s="26"/>
      <c r="K111" s="26"/>
      <c r="L111" s="26"/>
      <c r="M111" s="26"/>
      <c r="N111" s="26"/>
    </row>
    <row r="112" ht="15.75" customHeight="1">
      <c r="A112" s="28"/>
      <c r="B112" s="29">
        <v>108.0</v>
      </c>
      <c r="C112" s="35"/>
      <c r="D112" s="35"/>
      <c r="E112" s="70" t="str">
        <f t="shared" si="2"/>
        <v/>
      </c>
      <c r="F112" s="71" t="str">
        <f t="shared" si="3"/>
        <v/>
      </c>
      <c r="G112" s="26"/>
      <c r="H112" s="26"/>
      <c r="I112" s="26"/>
      <c r="J112" s="26"/>
      <c r="K112" s="26"/>
      <c r="L112" s="26"/>
      <c r="M112" s="26"/>
      <c r="N112" s="26"/>
    </row>
    <row r="113" ht="15.75" customHeight="1">
      <c r="A113" s="20"/>
      <c r="B113" s="21">
        <v>109.0</v>
      </c>
      <c r="C113" s="33"/>
      <c r="D113" s="33"/>
      <c r="E113" s="70" t="str">
        <f t="shared" si="2"/>
        <v/>
      </c>
      <c r="F113" s="71" t="str">
        <f t="shared" si="3"/>
        <v/>
      </c>
      <c r="G113" s="26"/>
      <c r="H113" s="26"/>
      <c r="I113" s="26"/>
      <c r="J113" s="26"/>
      <c r="K113" s="26"/>
      <c r="L113" s="26"/>
      <c r="M113" s="26"/>
      <c r="N113" s="26"/>
    </row>
    <row r="114" ht="15.75" customHeight="1">
      <c r="A114" s="28"/>
      <c r="B114" s="29">
        <v>110.0</v>
      </c>
      <c r="C114" s="35"/>
      <c r="D114" s="35"/>
      <c r="E114" s="70" t="str">
        <f t="shared" si="2"/>
        <v/>
      </c>
      <c r="F114" s="71" t="str">
        <f t="shared" si="3"/>
        <v/>
      </c>
      <c r="G114" s="26"/>
      <c r="H114" s="26"/>
      <c r="I114" s="26"/>
      <c r="J114" s="26"/>
      <c r="K114" s="26"/>
      <c r="L114" s="26"/>
      <c r="M114" s="26"/>
      <c r="N114" s="26"/>
    </row>
    <row r="115" ht="15.75" customHeight="1">
      <c r="A115" s="20"/>
      <c r="B115" s="21">
        <v>111.0</v>
      </c>
      <c r="C115" s="33"/>
      <c r="D115" s="33"/>
      <c r="E115" s="70" t="str">
        <f t="shared" si="2"/>
        <v/>
      </c>
      <c r="F115" s="71" t="str">
        <f t="shared" si="3"/>
        <v/>
      </c>
      <c r="G115" s="26"/>
      <c r="H115" s="26"/>
      <c r="I115" s="26"/>
      <c r="J115" s="26"/>
      <c r="K115" s="26"/>
      <c r="L115" s="26"/>
      <c r="M115" s="26"/>
      <c r="N115" s="26"/>
    </row>
    <row r="116" ht="15.75" customHeight="1">
      <c r="A116" s="28"/>
      <c r="B116" s="29">
        <v>112.0</v>
      </c>
      <c r="C116" s="35"/>
      <c r="D116" s="35"/>
      <c r="E116" s="70" t="str">
        <f t="shared" si="2"/>
        <v/>
      </c>
      <c r="F116" s="71" t="str">
        <f t="shared" si="3"/>
        <v/>
      </c>
      <c r="G116" s="26"/>
      <c r="H116" s="26"/>
      <c r="I116" s="26"/>
      <c r="J116" s="26"/>
      <c r="K116" s="26"/>
      <c r="L116" s="26"/>
      <c r="M116" s="26"/>
      <c r="N116" s="26"/>
    </row>
    <row r="117" ht="15.75" customHeight="1">
      <c r="A117" s="20"/>
      <c r="B117" s="21">
        <v>113.0</v>
      </c>
      <c r="C117" s="33"/>
      <c r="D117" s="33"/>
      <c r="E117" s="70" t="str">
        <f t="shared" si="2"/>
        <v/>
      </c>
      <c r="F117" s="71" t="str">
        <f t="shared" si="3"/>
        <v/>
      </c>
      <c r="G117" s="26"/>
      <c r="H117" s="26"/>
      <c r="I117" s="26"/>
      <c r="J117" s="26"/>
      <c r="K117" s="26"/>
      <c r="L117" s="26"/>
      <c r="M117" s="26"/>
      <c r="N117" s="26"/>
    </row>
    <row r="118" ht="15.75" customHeight="1">
      <c r="A118" s="28"/>
      <c r="B118" s="29">
        <v>114.0</v>
      </c>
      <c r="C118" s="35"/>
      <c r="D118" s="35"/>
      <c r="E118" s="70" t="str">
        <f t="shared" si="2"/>
        <v/>
      </c>
      <c r="F118" s="71" t="str">
        <f t="shared" si="3"/>
        <v/>
      </c>
      <c r="G118" s="26"/>
      <c r="H118" s="26"/>
      <c r="I118" s="26"/>
      <c r="J118" s="26"/>
      <c r="K118" s="26"/>
      <c r="L118" s="26"/>
      <c r="M118" s="26"/>
      <c r="N118" s="26"/>
    </row>
    <row r="119" ht="15.75" customHeight="1">
      <c r="A119" s="20"/>
      <c r="B119" s="21">
        <v>115.0</v>
      </c>
      <c r="C119" s="33"/>
      <c r="D119" s="33"/>
      <c r="E119" s="70" t="str">
        <f t="shared" si="2"/>
        <v/>
      </c>
      <c r="F119" s="71" t="str">
        <f t="shared" si="3"/>
        <v/>
      </c>
      <c r="G119" s="26"/>
      <c r="H119" s="26"/>
      <c r="I119" s="26"/>
      <c r="J119" s="26"/>
      <c r="K119" s="26"/>
      <c r="L119" s="26"/>
      <c r="M119" s="26"/>
      <c r="N119" s="26"/>
    </row>
    <row r="120" ht="15.75" customHeight="1">
      <c r="A120" s="28"/>
      <c r="B120" s="29">
        <v>116.0</v>
      </c>
      <c r="C120" s="35"/>
      <c r="D120" s="35"/>
      <c r="E120" s="70" t="str">
        <f t="shared" si="2"/>
        <v/>
      </c>
      <c r="F120" s="71" t="str">
        <f t="shared" si="3"/>
        <v/>
      </c>
      <c r="G120" s="26"/>
      <c r="H120" s="26"/>
      <c r="I120" s="26"/>
      <c r="J120" s="26"/>
      <c r="K120" s="26"/>
      <c r="L120" s="26"/>
      <c r="M120" s="26"/>
      <c r="N120" s="26"/>
    </row>
    <row r="121" ht="15.75" customHeight="1">
      <c r="A121" s="20"/>
      <c r="B121" s="21">
        <v>117.0</v>
      </c>
      <c r="C121" s="33"/>
      <c r="D121" s="33"/>
      <c r="E121" s="70" t="str">
        <f t="shared" si="2"/>
        <v/>
      </c>
      <c r="F121" s="71" t="str">
        <f t="shared" si="3"/>
        <v/>
      </c>
      <c r="G121" s="26"/>
      <c r="H121" s="26"/>
      <c r="I121" s="26"/>
      <c r="J121" s="26"/>
      <c r="K121" s="26"/>
      <c r="L121" s="26"/>
      <c r="M121" s="26"/>
      <c r="N121" s="26"/>
    </row>
    <row r="122" ht="15.75" customHeight="1">
      <c r="A122" s="13"/>
      <c r="B122" s="55">
        <v>118.0</v>
      </c>
      <c r="C122" s="56"/>
      <c r="D122" s="56"/>
      <c r="E122" s="92" t="str">
        <f t="shared" si="2"/>
        <v/>
      </c>
      <c r="F122" s="93" t="str">
        <f t="shared" si="3"/>
        <v/>
      </c>
      <c r="G122" s="17"/>
      <c r="H122" s="17"/>
      <c r="I122" s="17"/>
      <c r="J122" s="17"/>
      <c r="K122" s="17"/>
      <c r="L122" s="17"/>
      <c r="M122" s="17"/>
      <c r="N122" s="17"/>
    </row>
    <row r="123" ht="15.75" customHeight="1">
      <c r="A123" s="13"/>
      <c r="B123" s="55">
        <v>119.0</v>
      </c>
      <c r="C123" s="56"/>
      <c r="D123" s="56"/>
      <c r="E123" s="92" t="str">
        <f t="shared" si="2"/>
        <v/>
      </c>
      <c r="F123" s="93" t="str">
        <f t="shared" si="3"/>
        <v/>
      </c>
      <c r="G123" s="17"/>
      <c r="H123" s="17"/>
      <c r="I123" s="17"/>
      <c r="J123" s="17"/>
      <c r="K123" s="17"/>
      <c r="L123" s="17"/>
      <c r="M123" s="17"/>
      <c r="N123" s="17"/>
    </row>
    <row r="124" ht="15.75" customHeight="1">
      <c r="A124" s="13"/>
      <c r="B124" s="55">
        <v>120.0</v>
      </c>
      <c r="C124" s="56"/>
      <c r="D124" s="56"/>
      <c r="E124" s="92" t="str">
        <f t="shared" si="2"/>
        <v/>
      </c>
      <c r="F124" s="93" t="str">
        <f t="shared" si="3"/>
        <v/>
      </c>
      <c r="G124" s="17"/>
      <c r="H124" s="17"/>
      <c r="I124" s="17"/>
      <c r="J124" s="17"/>
      <c r="K124" s="17"/>
      <c r="L124" s="17"/>
      <c r="M124" s="17"/>
      <c r="N124" s="17"/>
    </row>
    <row r="125" ht="15.75" customHeight="1">
      <c r="A125" s="13"/>
      <c r="B125" s="13"/>
      <c r="C125" s="13"/>
      <c r="D125" s="13"/>
      <c r="E125" s="13"/>
      <c r="F125" s="13"/>
      <c r="G125" s="13"/>
      <c r="H125" s="13"/>
      <c r="I125" s="13"/>
      <c r="J125" s="13"/>
      <c r="K125" s="13"/>
      <c r="L125" s="13"/>
      <c r="M125" s="13"/>
      <c r="N125" s="13"/>
    </row>
    <row r="126" ht="15.75" customHeight="1">
      <c r="A126" s="13"/>
      <c r="B126" s="13"/>
      <c r="C126" s="13"/>
      <c r="D126" s="13"/>
      <c r="E126" s="13"/>
      <c r="F126" s="13"/>
      <c r="G126" s="13"/>
      <c r="H126" s="13"/>
      <c r="I126" s="13"/>
      <c r="J126" s="13"/>
      <c r="K126" s="13"/>
      <c r="L126" s="13"/>
      <c r="M126" s="13"/>
      <c r="N126" s="13"/>
    </row>
    <row r="127" ht="15.75" customHeight="1">
      <c r="A127" s="13"/>
      <c r="B127" s="13"/>
      <c r="C127" s="13"/>
      <c r="D127" s="13"/>
      <c r="E127" s="13"/>
      <c r="F127" s="13"/>
      <c r="G127" s="13"/>
      <c r="H127" s="13"/>
      <c r="I127" s="13"/>
      <c r="J127" s="13"/>
      <c r="K127" s="13"/>
      <c r="L127" s="13"/>
      <c r="M127" s="13"/>
      <c r="N127" s="13"/>
    </row>
    <row r="128" ht="15.75" customHeight="1">
      <c r="A128" s="13"/>
      <c r="B128" s="13"/>
      <c r="C128" s="13"/>
      <c r="D128" s="13"/>
      <c r="E128" s="13"/>
      <c r="F128" s="13"/>
      <c r="G128" s="13"/>
      <c r="H128" s="13"/>
      <c r="I128" s="13"/>
      <c r="J128" s="13"/>
      <c r="K128" s="13"/>
      <c r="L128" s="13"/>
      <c r="M128" s="13"/>
      <c r="N128" s="13"/>
    </row>
    <row r="129" ht="15.75" customHeight="1">
      <c r="A129" s="13"/>
      <c r="B129" s="13"/>
      <c r="C129" s="13"/>
      <c r="D129" s="13"/>
      <c r="E129" s="13"/>
      <c r="F129" s="13"/>
      <c r="G129" s="13"/>
      <c r="H129" s="13"/>
      <c r="I129" s="13"/>
      <c r="J129" s="13"/>
      <c r="K129" s="13"/>
      <c r="L129" s="13"/>
      <c r="M129" s="13"/>
      <c r="N129" s="13"/>
    </row>
    <row r="130" ht="15.75" customHeight="1">
      <c r="A130" s="13"/>
      <c r="B130" s="13"/>
      <c r="C130" s="13"/>
      <c r="D130" s="13"/>
      <c r="E130" s="13"/>
      <c r="F130" s="13"/>
      <c r="G130" s="13"/>
      <c r="H130" s="13"/>
      <c r="I130" s="13"/>
      <c r="J130" s="13"/>
      <c r="K130" s="13"/>
      <c r="L130" s="13"/>
      <c r="M130" s="13"/>
      <c r="N130" s="13"/>
    </row>
    <row r="131" ht="15.75" customHeight="1">
      <c r="A131" s="13"/>
      <c r="B131" s="13"/>
      <c r="C131" s="13"/>
      <c r="D131" s="13"/>
      <c r="E131" s="13"/>
      <c r="F131" s="13"/>
      <c r="G131" s="13"/>
      <c r="H131" s="13"/>
      <c r="I131" s="13"/>
      <c r="J131" s="13"/>
      <c r="K131" s="13"/>
      <c r="L131" s="13"/>
      <c r="M131" s="13"/>
      <c r="N131" s="13"/>
    </row>
    <row r="132" ht="15.75" customHeight="1">
      <c r="A132" s="13"/>
      <c r="B132" s="13"/>
      <c r="C132" s="13"/>
      <c r="D132" s="13"/>
      <c r="E132" s="13"/>
      <c r="F132" s="13"/>
      <c r="G132" s="13"/>
      <c r="H132" s="13"/>
      <c r="I132" s="13"/>
      <c r="J132" s="13"/>
      <c r="K132" s="13"/>
      <c r="L132" s="13"/>
      <c r="M132" s="13"/>
      <c r="N132" s="13"/>
    </row>
    <row r="133" ht="15.75" customHeight="1">
      <c r="A133" s="13"/>
      <c r="B133" s="13"/>
      <c r="C133" s="13"/>
      <c r="D133" s="13"/>
      <c r="E133" s="13"/>
      <c r="F133" s="13"/>
      <c r="G133" s="13"/>
      <c r="H133" s="13"/>
      <c r="I133" s="13"/>
      <c r="J133" s="13"/>
      <c r="K133" s="13"/>
      <c r="L133" s="13"/>
      <c r="M133" s="13"/>
      <c r="N133" s="13"/>
    </row>
    <row r="134" ht="15.75" customHeight="1">
      <c r="A134" s="13"/>
      <c r="B134" s="13"/>
      <c r="C134" s="13"/>
      <c r="D134" s="13"/>
      <c r="E134" s="13"/>
      <c r="F134" s="13"/>
      <c r="G134" s="13"/>
      <c r="H134" s="13"/>
      <c r="I134" s="13"/>
      <c r="J134" s="13"/>
      <c r="K134" s="13"/>
      <c r="L134" s="13"/>
      <c r="M134" s="13"/>
      <c r="N134" s="13"/>
    </row>
    <row r="135" ht="15.75" customHeight="1">
      <c r="A135" s="13"/>
      <c r="B135" s="13"/>
      <c r="C135" s="13"/>
      <c r="D135" s="13"/>
      <c r="E135" s="13"/>
      <c r="F135" s="13"/>
      <c r="G135" s="13"/>
      <c r="H135" s="13"/>
      <c r="I135" s="13"/>
      <c r="J135" s="13"/>
      <c r="K135" s="13"/>
      <c r="L135" s="13"/>
      <c r="M135" s="13"/>
      <c r="N135" s="13"/>
    </row>
    <row r="136" ht="15.75" customHeight="1">
      <c r="A136" s="13"/>
      <c r="B136" s="13"/>
      <c r="C136" s="13"/>
      <c r="D136" s="13"/>
      <c r="E136" s="13"/>
      <c r="F136" s="13"/>
      <c r="G136" s="13"/>
      <c r="H136" s="13"/>
      <c r="I136" s="13"/>
      <c r="J136" s="13"/>
      <c r="K136" s="13"/>
      <c r="L136" s="13"/>
      <c r="M136" s="13"/>
      <c r="N136" s="13"/>
    </row>
    <row r="137" ht="15.75" customHeight="1">
      <c r="A137" s="13"/>
      <c r="B137" s="13"/>
      <c r="C137" s="13"/>
      <c r="D137" s="13"/>
      <c r="E137" s="13"/>
      <c r="F137" s="13"/>
      <c r="G137" s="13"/>
      <c r="H137" s="13"/>
      <c r="I137" s="13"/>
      <c r="J137" s="13"/>
      <c r="K137" s="13"/>
      <c r="L137" s="13"/>
      <c r="M137" s="13"/>
      <c r="N137" s="13"/>
    </row>
    <row r="138" ht="15.75" customHeight="1">
      <c r="A138" s="13"/>
      <c r="B138" s="13"/>
      <c r="C138" s="13"/>
      <c r="D138" s="13"/>
      <c r="E138" s="13"/>
      <c r="F138" s="13"/>
      <c r="G138" s="13"/>
      <c r="H138" s="13"/>
      <c r="I138" s="13"/>
      <c r="J138" s="13"/>
      <c r="K138" s="13"/>
      <c r="L138" s="13"/>
      <c r="M138" s="13"/>
      <c r="N138" s="13"/>
    </row>
    <row r="139" ht="15.75" customHeight="1">
      <c r="A139" s="13"/>
      <c r="B139" s="13"/>
      <c r="C139" s="13"/>
      <c r="D139" s="13"/>
      <c r="E139" s="13"/>
      <c r="F139" s="13"/>
      <c r="G139" s="13"/>
      <c r="H139" s="13"/>
      <c r="I139" s="13"/>
      <c r="J139" s="13"/>
      <c r="K139" s="13"/>
      <c r="L139" s="13"/>
      <c r="M139" s="13"/>
      <c r="N139" s="13"/>
    </row>
    <row r="140" ht="15.75" customHeight="1">
      <c r="A140" s="13"/>
      <c r="B140" s="13"/>
      <c r="C140" s="13"/>
      <c r="D140" s="13"/>
      <c r="E140" s="13"/>
      <c r="F140" s="13"/>
      <c r="G140" s="13"/>
      <c r="H140" s="13"/>
      <c r="I140" s="13"/>
      <c r="J140" s="13"/>
      <c r="K140" s="13"/>
      <c r="L140" s="13"/>
      <c r="M140" s="13"/>
      <c r="N140" s="13"/>
    </row>
    <row r="141" ht="15.75" customHeight="1">
      <c r="A141" s="13"/>
      <c r="B141" s="13"/>
      <c r="C141" s="13"/>
      <c r="D141" s="13"/>
      <c r="E141" s="13"/>
      <c r="F141" s="13"/>
      <c r="G141" s="13"/>
      <c r="H141" s="13"/>
      <c r="I141" s="13"/>
      <c r="J141" s="13"/>
      <c r="K141" s="13"/>
      <c r="L141" s="13"/>
      <c r="M141" s="13"/>
      <c r="N141" s="13"/>
    </row>
    <row r="142" ht="15.75" customHeight="1">
      <c r="A142" s="13"/>
      <c r="B142" s="13"/>
      <c r="C142" s="13"/>
      <c r="D142" s="13"/>
      <c r="E142" s="13"/>
      <c r="F142" s="13"/>
      <c r="G142" s="13"/>
      <c r="H142" s="13"/>
      <c r="I142" s="13"/>
      <c r="J142" s="13"/>
      <c r="K142" s="13"/>
      <c r="L142" s="13"/>
      <c r="M142" s="13"/>
      <c r="N142" s="13"/>
    </row>
    <row r="143" ht="15.75" customHeight="1">
      <c r="A143" s="13"/>
      <c r="B143" s="13"/>
      <c r="C143" s="13"/>
      <c r="D143" s="13"/>
      <c r="E143" s="13"/>
      <c r="F143" s="13"/>
      <c r="G143" s="13"/>
      <c r="H143" s="13"/>
      <c r="I143" s="13"/>
      <c r="J143" s="13"/>
      <c r="K143" s="13"/>
      <c r="L143" s="13"/>
      <c r="M143" s="13"/>
      <c r="N143" s="13"/>
    </row>
    <row r="144" ht="15.75" customHeight="1">
      <c r="A144" s="13"/>
      <c r="B144" s="13"/>
      <c r="C144" s="13"/>
      <c r="D144" s="13"/>
      <c r="E144" s="13"/>
      <c r="F144" s="13"/>
      <c r="G144" s="13"/>
      <c r="H144" s="13"/>
      <c r="I144" s="13"/>
      <c r="J144" s="13"/>
      <c r="K144" s="13"/>
      <c r="L144" s="13"/>
      <c r="M144" s="13"/>
      <c r="N144" s="13"/>
    </row>
    <row r="145" ht="15.75" customHeight="1">
      <c r="A145" s="13"/>
      <c r="B145" s="13"/>
      <c r="C145" s="13"/>
      <c r="D145" s="13"/>
      <c r="E145" s="13"/>
      <c r="F145" s="13"/>
      <c r="G145" s="13"/>
      <c r="H145" s="13"/>
      <c r="I145" s="13"/>
      <c r="J145" s="13"/>
      <c r="K145" s="13"/>
      <c r="L145" s="13"/>
      <c r="M145" s="13"/>
      <c r="N145" s="13"/>
    </row>
    <row r="146" ht="15.75" customHeight="1">
      <c r="A146" s="13"/>
      <c r="B146" s="13"/>
      <c r="C146" s="13"/>
      <c r="D146" s="13"/>
      <c r="E146" s="13"/>
      <c r="F146" s="13"/>
      <c r="G146" s="13"/>
      <c r="H146" s="13"/>
      <c r="I146" s="13"/>
      <c r="J146" s="13"/>
      <c r="K146" s="13"/>
      <c r="L146" s="13"/>
      <c r="M146" s="13"/>
      <c r="N146" s="13"/>
    </row>
    <row r="147" ht="15.75" customHeight="1">
      <c r="A147" s="13"/>
      <c r="B147" s="13"/>
      <c r="C147" s="13"/>
      <c r="D147" s="13"/>
      <c r="E147" s="13"/>
      <c r="F147" s="13"/>
      <c r="G147" s="13"/>
      <c r="H147" s="13"/>
      <c r="I147" s="13"/>
      <c r="J147" s="13"/>
      <c r="K147" s="13"/>
      <c r="L147" s="13"/>
      <c r="M147" s="13"/>
      <c r="N147" s="13"/>
    </row>
    <row r="148" ht="15.75" customHeight="1">
      <c r="A148" s="13"/>
      <c r="B148" s="13"/>
      <c r="C148" s="13"/>
      <c r="D148" s="13"/>
      <c r="E148" s="13"/>
      <c r="F148" s="13"/>
      <c r="G148" s="13"/>
      <c r="H148" s="13"/>
      <c r="I148" s="13"/>
      <c r="J148" s="13"/>
      <c r="K148" s="13"/>
      <c r="L148" s="13"/>
      <c r="M148" s="13"/>
      <c r="N148" s="13"/>
    </row>
    <row r="149" ht="15.75" customHeight="1">
      <c r="A149" s="13"/>
      <c r="B149" s="13"/>
      <c r="C149" s="13"/>
      <c r="D149" s="13"/>
      <c r="E149" s="13"/>
      <c r="F149" s="13"/>
      <c r="G149" s="13"/>
      <c r="H149" s="13"/>
      <c r="I149" s="13"/>
      <c r="J149" s="13"/>
      <c r="K149" s="13"/>
      <c r="L149" s="13"/>
      <c r="M149" s="13"/>
      <c r="N149" s="13"/>
    </row>
    <row r="150" ht="15.75" customHeight="1">
      <c r="A150" s="13"/>
      <c r="B150" s="13"/>
      <c r="C150" s="13"/>
      <c r="D150" s="13"/>
      <c r="E150" s="13"/>
      <c r="F150" s="13"/>
      <c r="G150" s="13"/>
      <c r="H150" s="13"/>
      <c r="I150" s="13"/>
      <c r="J150" s="13"/>
      <c r="K150" s="13"/>
      <c r="L150" s="13"/>
      <c r="M150" s="13"/>
      <c r="N150" s="13"/>
    </row>
    <row r="151" ht="15.75" customHeight="1">
      <c r="A151" s="13"/>
      <c r="B151" s="13"/>
      <c r="C151" s="13"/>
      <c r="D151" s="13"/>
      <c r="E151" s="13"/>
      <c r="F151" s="13"/>
      <c r="G151" s="13"/>
      <c r="H151" s="13"/>
      <c r="I151" s="13"/>
      <c r="J151" s="13"/>
      <c r="K151" s="13"/>
      <c r="L151" s="13"/>
      <c r="M151" s="13"/>
      <c r="N151" s="13"/>
    </row>
    <row r="152" ht="15.75" customHeight="1">
      <c r="A152" s="13"/>
      <c r="B152" s="13"/>
      <c r="C152" s="13"/>
      <c r="D152" s="13"/>
      <c r="E152" s="13"/>
      <c r="F152" s="13"/>
      <c r="G152" s="13"/>
      <c r="H152" s="13"/>
      <c r="I152" s="13"/>
      <c r="J152" s="13"/>
      <c r="K152" s="13"/>
      <c r="L152" s="13"/>
      <c r="M152" s="13"/>
      <c r="N152" s="13"/>
    </row>
    <row r="153" ht="15.75" customHeight="1">
      <c r="A153" s="13"/>
      <c r="B153" s="13"/>
      <c r="C153" s="13"/>
      <c r="D153" s="13"/>
      <c r="E153" s="13"/>
      <c r="F153" s="13"/>
      <c r="G153" s="13"/>
      <c r="H153" s="13"/>
      <c r="I153" s="13"/>
      <c r="J153" s="13"/>
      <c r="K153" s="13"/>
      <c r="L153" s="13"/>
      <c r="M153" s="13"/>
      <c r="N153" s="13"/>
    </row>
    <row r="154" ht="15.75" customHeight="1">
      <c r="A154" s="13"/>
      <c r="B154" s="13"/>
      <c r="C154" s="13"/>
      <c r="D154" s="13"/>
      <c r="E154" s="13"/>
      <c r="F154" s="13"/>
      <c r="G154" s="13"/>
      <c r="H154" s="13"/>
      <c r="I154" s="13"/>
      <c r="J154" s="13"/>
      <c r="K154" s="13"/>
      <c r="L154" s="13"/>
      <c r="M154" s="13"/>
      <c r="N154" s="13"/>
    </row>
    <row r="155" ht="15.75" customHeight="1">
      <c r="A155" s="13"/>
      <c r="B155" s="13"/>
      <c r="C155" s="13"/>
      <c r="D155" s="13"/>
      <c r="E155" s="13"/>
      <c r="F155" s="13"/>
      <c r="G155" s="13"/>
      <c r="H155" s="13"/>
      <c r="I155" s="13"/>
      <c r="J155" s="13"/>
      <c r="K155" s="13"/>
      <c r="L155" s="13"/>
      <c r="M155" s="13"/>
      <c r="N155" s="13"/>
    </row>
    <row r="156" ht="15.75" customHeight="1">
      <c r="A156" s="13"/>
      <c r="B156" s="13"/>
      <c r="C156" s="13"/>
      <c r="D156" s="13"/>
      <c r="E156" s="13"/>
      <c r="F156" s="13"/>
      <c r="G156" s="13"/>
      <c r="H156" s="13"/>
      <c r="I156" s="13"/>
      <c r="J156" s="13"/>
      <c r="K156" s="13"/>
      <c r="L156" s="13"/>
      <c r="M156" s="13"/>
      <c r="N156" s="13"/>
    </row>
    <row r="157" ht="15.75" customHeight="1">
      <c r="A157" s="13"/>
      <c r="B157" s="13"/>
      <c r="C157" s="13"/>
      <c r="D157" s="13"/>
      <c r="E157" s="13"/>
      <c r="F157" s="13"/>
      <c r="G157" s="13"/>
      <c r="H157" s="13"/>
      <c r="I157" s="13"/>
      <c r="J157" s="13"/>
      <c r="K157" s="13"/>
      <c r="L157" s="13"/>
      <c r="M157" s="13"/>
      <c r="N157" s="13"/>
    </row>
    <row r="158" ht="15.75" customHeight="1">
      <c r="A158" s="13"/>
      <c r="B158" s="13"/>
      <c r="C158" s="13"/>
      <c r="D158" s="13"/>
      <c r="E158" s="13"/>
      <c r="F158" s="13"/>
      <c r="G158" s="13"/>
      <c r="H158" s="13"/>
      <c r="I158" s="13"/>
      <c r="J158" s="13"/>
      <c r="K158" s="13"/>
      <c r="L158" s="13"/>
      <c r="M158" s="13"/>
      <c r="N158" s="13"/>
    </row>
    <row r="159" ht="15.75" customHeight="1">
      <c r="A159" s="13"/>
      <c r="B159" s="13"/>
      <c r="C159" s="13"/>
      <c r="D159" s="13"/>
      <c r="E159" s="13"/>
      <c r="F159" s="13"/>
      <c r="G159" s="13"/>
      <c r="H159" s="13"/>
      <c r="I159" s="13"/>
      <c r="J159" s="13"/>
      <c r="K159" s="13"/>
      <c r="L159" s="13"/>
      <c r="M159" s="13"/>
      <c r="N159" s="13"/>
    </row>
    <row r="160" ht="15.75" customHeight="1">
      <c r="A160" s="13"/>
      <c r="B160" s="13"/>
      <c r="C160" s="13"/>
      <c r="D160" s="13"/>
      <c r="E160" s="13"/>
      <c r="F160" s="13"/>
      <c r="G160" s="13"/>
      <c r="H160" s="13"/>
      <c r="I160" s="13"/>
      <c r="J160" s="13"/>
      <c r="K160" s="13"/>
      <c r="L160" s="13"/>
      <c r="M160" s="13"/>
      <c r="N160" s="13"/>
    </row>
    <row r="161" ht="15.75" customHeight="1">
      <c r="A161" s="13"/>
      <c r="B161" s="13"/>
      <c r="C161" s="13"/>
      <c r="D161" s="13"/>
      <c r="E161" s="13"/>
      <c r="F161" s="13"/>
      <c r="G161" s="13"/>
      <c r="H161" s="13"/>
      <c r="I161" s="13"/>
      <c r="J161" s="13"/>
      <c r="K161" s="13"/>
      <c r="L161" s="13"/>
      <c r="M161" s="13"/>
      <c r="N161" s="13"/>
    </row>
    <row r="162" ht="15.75" customHeight="1">
      <c r="A162" s="13"/>
      <c r="B162" s="13"/>
      <c r="C162" s="13"/>
      <c r="D162" s="13"/>
      <c r="E162" s="13"/>
      <c r="F162" s="13"/>
      <c r="G162" s="13"/>
      <c r="H162" s="13"/>
      <c r="I162" s="13"/>
      <c r="J162" s="13"/>
      <c r="K162" s="13"/>
      <c r="L162" s="13"/>
      <c r="M162" s="13"/>
      <c r="N162" s="13"/>
    </row>
    <row r="163" ht="15.75" customHeight="1">
      <c r="A163" s="13"/>
      <c r="B163" s="13"/>
      <c r="C163" s="13"/>
      <c r="D163" s="13"/>
      <c r="E163" s="13"/>
      <c r="F163" s="13"/>
      <c r="G163" s="13"/>
      <c r="H163" s="13"/>
      <c r="I163" s="13"/>
      <c r="J163" s="13"/>
      <c r="K163" s="13"/>
      <c r="L163" s="13"/>
      <c r="M163" s="13"/>
      <c r="N163" s="13"/>
    </row>
    <row r="164" ht="15.75" customHeight="1">
      <c r="A164" s="13"/>
      <c r="B164" s="13"/>
      <c r="C164" s="13"/>
      <c r="D164" s="13"/>
      <c r="E164" s="13"/>
      <c r="F164" s="13"/>
      <c r="G164" s="13"/>
      <c r="H164" s="13"/>
      <c r="I164" s="13"/>
      <c r="J164" s="13"/>
      <c r="K164" s="13"/>
      <c r="L164" s="13"/>
      <c r="M164" s="13"/>
      <c r="N164" s="13"/>
    </row>
    <row r="165" ht="15.75" customHeight="1">
      <c r="A165" s="13"/>
      <c r="B165" s="13"/>
      <c r="C165" s="13"/>
      <c r="D165" s="13"/>
      <c r="E165" s="13"/>
      <c r="F165" s="13"/>
      <c r="G165" s="13"/>
      <c r="H165" s="13"/>
      <c r="I165" s="13"/>
      <c r="J165" s="13"/>
      <c r="K165" s="13"/>
      <c r="L165" s="13"/>
      <c r="M165" s="13"/>
      <c r="N165" s="13"/>
    </row>
    <row r="166" ht="15.75" customHeight="1">
      <c r="A166" s="13"/>
      <c r="B166" s="13"/>
      <c r="C166" s="13"/>
      <c r="D166" s="13"/>
      <c r="E166" s="13"/>
      <c r="F166" s="13"/>
      <c r="G166" s="13"/>
      <c r="H166" s="13"/>
      <c r="I166" s="13"/>
      <c r="J166" s="13"/>
      <c r="K166" s="13"/>
      <c r="L166" s="13"/>
      <c r="M166" s="13"/>
      <c r="N166" s="13"/>
    </row>
    <row r="167" ht="15.75" customHeight="1">
      <c r="A167" s="13"/>
      <c r="B167" s="13"/>
      <c r="C167" s="13"/>
      <c r="D167" s="13"/>
      <c r="E167" s="13"/>
      <c r="F167" s="13"/>
      <c r="G167" s="13"/>
      <c r="H167" s="13"/>
      <c r="I167" s="13"/>
      <c r="J167" s="13"/>
      <c r="K167" s="13"/>
      <c r="L167" s="13"/>
      <c r="M167" s="13"/>
      <c r="N167" s="13"/>
    </row>
    <row r="168" ht="15.75" customHeight="1">
      <c r="A168" s="13"/>
      <c r="B168" s="13"/>
      <c r="C168" s="13"/>
      <c r="D168" s="13"/>
      <c r="E168" s="13"/>
      <c r="F168" s="13"/>
      <c r="G168" s="13"/>
      <c r="H168" s="13"/>
      <c r="I168" s="13"/>
      <c r="J168" s="13"/>
      <c r="K168" s="13"/>
      <c r="L168" s="13"/>
      <c r="M168" s="13"/>
      <c r="N168" s="13"/>
    </row>
    <row r="169" ht="15.75" customHeight="1">
      <c r="A169" s="13"/>
      <c r="B169" s="13"/>
      <c r="C169" s="13"/>
      <c r="D169" s="13"/>
      <c r="E169" s="13"/>
      <c r="F169" s="13"/>
      <c r="G169" s="13"/>
      <c r="H169" s="13"/>
      <c r="I169" s="13"/>
      <c r="J169" s="13"/>
      <c r="K169" s="13"/>
      <c r="L169" s="13"/>
      <c r="M169" s="13"/>
      <c r="N169" s="13"/>
    </row>
    <row r="170" ht="15.75" customHeight="1">
      <c r="A170" s="13"/>
      <c r="B170" s="13"/>
      <c r="C170" s="13"/>
      <c r="D170" s="13"/>
      <c r="E170" s="13"/>
      <c r="F170" s="13"/>
      <c r="G170" s="13"/>
      <c r="H170" s="13"/>
      <c r="I170" s="13"/>
      <c r="J170" s="13"/>
      <c r="K170" s="13"/>
      <c r="L170" s="13"/>
      <c r="M170" s="13"/>
      <c r="N170" s="13"/>
    </row>
    <row r="171" ht="15.75" customHeight="1">
      <c r="A171" s="13"/>
      <c r="B171" s="13"/>
      <c r="C171" s="13"/>
      <c r="D171" s="13"/>
      <c r="E171" s="13"/>
      <c r="F171" s="13"/>
      <c r="G171" s="13"/>
      <c r="H171" s="13"/>
      <c r="I171" s="13"/>
      <c r="J171" s="13"/>
      <c r="K171" s="13"/>
      <c r="L171" s="13"/>
      <c r="M171" s="13"/>
      <c r="N171" s="13"/>
    </row>
    <row r="172" ht="15.75" customHeight="1">
      <c r="A172" s="13"/>
      <c r="B172" s="13"/>
      <c r="C172" s="13"/>
      <c r="D172" s="13"/>
      <c r="E172" s="13"/>
      <c r="F172" s="13"/>
      <c r="G172" s="13"/>
      <c r="H172" s="13"/>
      <c r="I172" s="13"/>
      <c r="J172" s="13"/>
      <c r="K172" s="13"/>
      <c r="L172" s="13"/>
      <c r="M172" s="13"/>
      <c r="N172" s="13"/>
    </row>
    <row r="173" ht="15.75" customHeight="1">
      <c r="A173" s="13"/>
      <c r="B173" s="13"/>
      <c r="C173" s="13"/>
      <c r="D173" s="13"/>
      <c r="E173" s="13"/>
      <c r="F173" s="13"/>
      <c r="G173" s="13"/>
      <c r="H173" s="13"/>
      <c r="I173" s="13"/>
      <c r="J173" s="13"/>
      <c r="K173" s="13"/>
      <c r="L173" s="13"/>
      <c r="M173" s="13"/>
      <c r="N173" s="13"/>
    </row>
    <row r="174" ht="15.75" customHeight="1">
      <c r="A174" s="13"/>
      <c r="B174" s="13"/>
      <c r="C174" s="13"/>
      <c r="D174" s="13"/>
      <c r="E174" s="13"/>
      <c r="F174" s="13"/>
      <c r="G174" s="13"/>
      <c r="H174" s="13"/>
      <c r="I174" s="13"/>
      <c r="J174" s="13"/>
      <c r="K174" s="13"/>
      <c r="L174" s="13"/>
      <c r="M174" s="13"/>
      <c r="N174" s="13"/>
    </row>
    <row r="175" ht="15.75" customHeight="1">
      <c r="A175" s="13"/>
      <c r="B175" s="13"/>
      <c r="C175" s="13"/>
      <c r="D175" s="13"/>
      <c r="E175" s="13"/>
      <c r="F175" s="13"/>
      <c r="G175" s="13"/>
      <c r="H175" s="13"/>
      <c r="I175" s="13"/>
      <c r="J175" s="13"/>
      <c r="K175" s="13"/>
      <c r="L175" s="13"/>
      <c r="M175" s="13"/>
      <c r="N175" s="13"/>
    </row>
    <row r="176" ht="15.75" customHeight="1">
      <c r="A176" s="13"/>
      <c r="B176" s="13"/>
      <c r="C176" s="13"/>
      <c r="D176" s="13"/>
      <c r="E176" s="13"/>
      <c r="F176" s="13"/>
      <c r="G176" s="13"/>
      <c r="H176" s="13"/>
      <c r="I176" s="13"/>
      <c r="J176" s="13"/>
      <c r="K176" s="13"/>
      <c r="L176" s="13"/>
      <c r="M176" s="13"/>
      <c r="N176" s="13"/>
    </row>
    <row r="177" ht="15.75" customHeight="1">
      <c r="A177" s="13"/>
      <c r="B177" s="13"/>
      <c r="C177" s="13"/>
      <c r="D177" s="13"/>
      <c r="E177" s="13"/>
      <c r="F177" s="13"/>
      <c r="G177" s="13"/>
      <c r="H177" s="13"/>
      <c r="I177" s="13"/>
      <c r="J177" s="13"/>
      <c r="K177" s="13"/>
      <c r="L177" s="13"/>
      <c r="M177" s="13"/>
      <c r="N177" s="13"/>
    </row>
    <row r="178" ht="15.75" customHeight="1">
      <c r="A178" s="13"/>
      <c r="B178" s="13"/>
      <c r="C178" s="13"/>
      <c r="D178" s="13"/>
      <c r="E178" s="13"/>
      <c r="F178" s="13"/>
      <c r="G178" s="13"/>
      <c r="H178" s="13"/>
      <c r="I178" s="13"/>
      <c r="J178" s="13"/>
      <c r="K178" s="13"/>
      <c r="L178" s="13"/>
      <c r="M178" s="13"/>
      <c r="N178" s="13"/>
    </row>
    <row r="179" ht="15.75" customHeight="1">
      <c r="A179" s="13"/>
      <c r="B179" s="13"/>
      <c r="C179" s="13"/>
      <c r="D179" s="13"/>
      <c r="E179" s="13"/>
      <c r="F179" s="13"/>
      <c r="G179" s="13"/>
      <c r="H179" s="13"/>
      <c r="I179" s="13"/>
      <c r="J179" s="13"/>
      <c r="K179" s="13"/>
      <c r="L179" s="13"/>
      <c r="M179" s="13"/>
      <c r="N179" s="13"/>
    </row>
    <row r="180" ht="15.75" customHeight="1">
      <c r="A180" s="13"/>
      <c r="B180" s="13"/>
      <c r="C180" s="13"/>
      <c r="D180" s="13"/>
      <c r="E180" s="13"/>
      <c r="F180" s="13"/>
      <c r="G180" s="13"/>
      <c r="H180" s="13"/>
      <c r="I180" s="13"/>
      <c r="J180" s="13"/>
      <c r="K180" s="13"/>
      <c r="L180" s="13"/>
      <c r="M180" s="13"/>
      <c r="N180" s="13"/>
    </row>
    <row r="181" ht="15.75" customHeight="1">
      <c r="A181" s="13"/>
      <c r="B181" s="13"/>
      <c r="C181" s="13"/>
      <c r="D181" s="13"/>
      <c r="E181" s="13"/>
      <c r="F181" s="13"/>
      <c r="G181" s="13"/>
      <c r="H181" s="13"/>
      <c r="I181" s="13"/>
      <c r="J181" s="13"/>
      <c r="K181" s="13"/>
      <c r="L181" s="13"/>
      <c r="M181" s="13"/>
      <c r="N181" s="13"/>
    </row>
    <row r="182" ht="15.75" customHeight="1">
      <c r="A182" s="13"/>
      <c r="B182" s="13"/>
      <c r="C182" s="13"/>
      <c r="D182" s="13"/>
      <c r="E182" s="13"/>
      <c r="F182" s="13"/>
      <c r="G182" s="13"/>
      <c r="H182" s="13"/>
      <c r="I182" s="13"/>
      <c r="J182" s="13"/>
      <c r="K182" s="13"/>
      <c r="L182" s="13"/>
      <c r="M182" s="13"/>
      <c r="N182" s="13"/>
    </row>
    <row r="183" ht="15.75" customHeight="1">
      <c r="A183" s="13"/>
      <c r="B183" s="13"/>
      <c r="C183" s="13"/>
      <c r="D183" s="13"/>
      <c r="E183" s="13"/>
      <c r="F183" s="13"/>
      <c r="G183" s="13"/>
      <c r="H183" s="13"/>
      <c r="I183" s="13"/>
      <c r="J183" s="13"/>
      <c r="K183" s="13"/>
      <c r="L183" s="13"/>
      <c r="M183" s="13"/>
      <c r="N183" s="13"/>
    </row>
    <row r="184" ht="15.75" customHeight="1">
      <c r="A184" s="13"/>
      <c r="B184" s="13"/>
      <c r="C184" s="13"/>
      <c r="D184" s="13"/>
      <c r="E184" s="13"/>
      <c r="F184" s="13"/>
      <c r="G184" s="13"/>
      <c r="H184" s="13"/>
      <c r="I184" s="13"/>
      <c r="J184" s="13"/>
      <c r="K184" s="13"/>
      <c r="L184" s="13"/>
      <c r="M184" s="13"/>
      <c r="N184" s="13"/>
    </row>
    <row r="185" ht="15.75" customHeight="1">
      <c r="A185" s="13"/>
      <c r="B185" s="13"/>
      <c r="C185" s="13"/>
      <c r="D185" s="13"/>
      <c r="E185" s="13"/>
      <c r="F185" s="13"/>
      <c r="G185" s="13"/>
      <c r="H185" s="13"/>
      <c r="I185" s="13"/>
      <c r="J185" s="13"/>
      <c r="K185" s="13"/>
      <c r="L185" s="13"/>
      <c r="M185" s="13"/>
      <c r="N185" s="13"/>
    </row>
    <row r="186" ht="15.75" customHeight="1">
      <c r="A186" s="13"/>
      <c r="B186" s="13"/>
      <c r="C186" s="13"/>
      <c r="D186" s="13"/>
      <c r="E186" s="13"/>
      <c r="F186" s="13"/>
      <c r="G186" s="13"/>
      <c r="H186" s="13"/>
      <c r="I186" s="13"/>
      <c r="J186" s="13"/>
      <c r="K186" s="13"/>
      <c r="L186" s="13"/>
      <c r="M186" s="13"/>
      <c r="N186" s="13"/>
    </row>
    <row r="187" ht="15.75" customHeight="1">
      <c r="A187" s="13"/>
      <c r="B187" s="13"/>
      <c r="C187" s="13"/>
      <c r="D187" s="13"/>
      <c r="E187" s="13"/>
      <c r="F187" s="13"/>
      <c r="G187" s="13"/>
      <c r="H187" s="13"/>
      <c r="I187" s="13"/>
      <c r="J187" s="13"/>
      <c r="K187" s="13"/>
      <c r="L187" s="13"/>
      <c r="M187" s="13"/>
      <c r="N187" s="13"/>
    </row>
    <row r="188" ht="15.75" customHeight="1">
      <c r="A188" s="13"/>
      <c r="B188" s="13"/>
      <c r="C188" s="13"/>
      <c r="D188" s="13"/>
      <c r="E188" s="13"/>
      <c r="F188" s="13"/>
      <c r="G188" s="13"/>
      <c r="H188" s="13"/>
      <c r="I188" s="13"/>
      <c r="J188" s="13"/>
      <c r="K188" s="13"/>
      <c r="L188" s="13"/>
      <c r="M188" s="13"/>
      <c r="N188" s="13"/>
    </row>
    <row r="189" ht="15.75" customHeight="1">
      <c r="A189" s="13"/>
      <c r="B189" s="13"/>
      <c r="C189" s="13"/>
      <c r="D189" s="13"/>
      <c r="E189" s="13"/>
      <c r="F189" s="13"/>
      <c r="G189" s="13"/>
      <c r="H189" s="13"/>
      <c r="I189" s="13"/>
      <c r="J189" s="13"/>
      <c r="K189" s="13"/>
      <c r="L189" s="13"/>
      <c r="M189" s="13"/>
      <c r="N189" s="13"/>
    </row>
    <row r="190" ht="15.75" customHeight="1">
      <c r="A190" s="13"/>
      <c r="B190" s="13"/>
      <c r="C190" s="13"/>
      <c r="D190" s="13"/>
      <c r="E190" s="13"/>
      <c r="F190" s="13"/>
      <c r="G190" s="13"/>
      <c r="H190" s="13"/>
      <c r="I190" s="13"/>
      <c r="J190" s="13"/>
      <c r="K190" s="13"/>
      <c r="L190" s="13"/>
      <c r="M190" s="13"/>
      <c r="N190" s="13"/>
    </row>
    <row r="191" ht="15.75" customHeight="1">
      <c r="A191" s="13"/>
      <c r="B191" s="13"/>
      <c r="C191" s="13"/>
      <c r="D191" s="13"/>
      <c r="E191" s="13"/>
      <c r="F191" s="13"/>
      <c r="G191" s="13"/>
      <c r="H191" s="13"/>
      <c r="I191" s="13"/>
      <c r="J191" s="13"/>
      <c r="K191" s="13"/>
      <c r="L191" s="13"/>
      <c r="M191" s="13"/>
      <c r="N191" s="13"/>
    </row>
    <row r="192" ht="15.75" customHeight="1">
      <c r="A192" s="13"/>
      <c r="B192" s="13"/>
      <c r="C192" s="13"/>
      <c r="D192" s="13"/>
      <c r="E192" s="13"/>
      <c r="F192" s="13"/>
      <c r="G192" s="13"/>
      <c r="H192" s="13"/>
      <c r="I192" s="13"/>
      <c r="J192" s="13"/>
      <c r="K192" s="13"/>
      <c r="L192" s="13"/>
      <c r="M192" s="13"/>
      <c r="N192" s="13"/>
    </row>
    <row r="193" ht="15.75" customHeight="1">
      <c r="A193" s="13"/>
      <c r="B193" s="13"/>
      <c r="C193" s="13"/>
      <c r="D193" s="13"/>
      <c r="E193" s="13"/>
      <c r="F193" s="13"/>
      <c r="G193" s="13"/>
      <c r="H193" s="13"/>
      <c r="I193" s="13"/>
      <c r="J193" s="13"/>
      <c r="K193" s="13"/>
      <c r="L193" s="13"/>
      <c r="M193" s="13"/>
      <c r="N193" s="13"/>
    </row>
    <row r="194" ht="15.75" customHeight="1">
      <c r="A194" s="13"/>
      <c r="B194" s="13"/>
      <c r="C194" s="13"/>
      <c r="D194" s="13"/>
      <c r="E194" s="13"/>
      <c r="F194" s="13"/>
      <c r="G194" s="13"/>
      <c r="H194" s="13"/>
      <c r="I194" s="13"/>
      <c r="J194" s="13"/>
      <c r="K194" s="13"/>
      <c r="L194" s="13"/>
      <c r="M194" s="13"/>
      <c r="N194" s="13"/>
    </row>
    <row r="195" ht="15.75" customHeight="1">
      <c r="A195" s="13"/>
      <c r="B195" s="13"/>
      <c r="C195" s="13"/>
      <c r="D195" s="13"/>
      <c r="E195" s="13"/>
      <c r="F195" s="13"/>
      <c r="G195" s="13"/>
      <c r="H195" s="13"/>
      <c r="I195" s="13"/>
      <c r="J195" s="13"/>
      <c r="K195" s="13"/>
      <c r="L195" s="13"/>
      <c r="M195" s="13"/>
      <c r="N195" s="13"/>
    </row>
    <row r="196" ht="15.75" customHeight="1">
      <c r="A196" s="13"/>
      <c r="B196" s="13"/>
      <c r="C196" s="13"/>
      <c r="D196" s="13"/>
      <c r="E196" s="13"/>
      <c r="F196" s="13"/>
      <c r="G196" s="13"/>
      <c r="H196" s="13"/>
      <c r="I196" s="13"/>
      <c r="J196" s="13"/>
      <c r="K196" s="13"/>
      <c r="L196" s="13"/>
      <c r="M196" s="13"/>
      <c r="N196" s="13"/>
    </row>
    <row r="197" ht="15.75" customHeight="1">
      <c r="A197" s="13"/>
      <c r="B197" s="13"/>
      <c r="C197" s="13"/>
      <c r="D197" s="13"/>
      <c r="E197" s="13"/>
      <c r="F197" s="13"/>
      <c r="G197" s="13"/>
      <c r="H197" s="13"/>
      <c r="I197" s="13"/>
      <c r="J197" s="13"/>
      <c r="K197" s="13"/>
      <c r="L197" s="13"/>
      <c r="M197" s="13"/>
      <c r="N197" s="13"/>
    </row>
    <row r="198" ht="15.75" customHeight="1">
      <c r="A198" s="13"/>
      <c r="B198" s="13"/>
      <c r="C198" s="13"/>
      <c r="D198" s="13"/>
      <c r="E198" s="13"/>
      <c r="F198" s="13"/>
      <c r="G198" s="13"/>
      <c r="H198" s="13"/>
      <c r="I198" s="13"/>
      <c r="J198" s="13"/>
      <c r="K198" s="13"/>
      <c r="L198" s="13"/>
      <c r="M198" s="13"/>
      <c r="N198" s="13"/>
    </row>
    <row r="199" ht="15.75" customHeight="1">
      <c r="A199" s="13"/>
      <c r="B199" s="13"/>
      <c r="C199" s="13"/>
      <c r="D199" s="13"/>
      <c r="E199" s="13"/>
      <c r="F199" s="13"/>
      <c r="G199" s="13"/>
      <c r="H199" s="13"/>
      <c r="I199" s="13"/>
      <c r="J199" s="13"/>
      <c r="K199" s="13"/>
      <c r="L199" s="13"/>
      <c r="M199" s="13"/>
      <c r="N199" s="13"/>
    </row>
    <row r="200" ht="15.75" customHeight="1">
      <c r="A200" s="13"/>
      <c r="B200" s="13"/>
      <c r="C200" s="13"/>
      <c r="D200" s="13"/>
      <c r="E200" s="13"/>
      <c r="F200" s="13"/>
      <c r="G200" s="13"/>
      <c r="H200" s="13"/>
      <c r="I200" s="13"/>
      <c r="J200" s="13"/>
      <c r="K200" s="13"/>
      <c r="L200" s="13"/>
      <c r="M200" s="13"/>
      <c r="N200" s="13"/>
    </row>
    <row r="201" ht="15.75" customHeight="1">
      <c r="A201" s="13"/>
      <c r="B201" s="13"/>
      <c r="C201" s="13"/>
      <c r="D201" s="13"/>
      <c r="E201" s="13"/>
      <c r="F201" s="13"/>
      <c r="G201" s="13"/>
      <c r="H201" s="13"/>
      <c r="I201" s="13"/>
      <c r="J201" s="13"/>
      <c r="K201" s="13"/>
      <c r="L201" s="13"/>
      <c r="M201" s="13"/>
      <c r="N201" s="13"/>
    </row>
    <row r="202" ht="15.75" customHeight="1">
      <c r="A202" s="13"/>
      <c r="B202" s="13"/>
      <c r="C202" s="13"/>
      <c r="D202" s="13"/>
      <c r="E202" s="13"/>
      <c r="F202" s="13"/>
      <c r="G202" s="13"/>
      <c r="H202" s="13"/>
      <c r="I202" s="13"/>
      <c r="J202" s="13"/>
      <c r="K202" s="13"/>
      <c r="L202" s="13"/>
      <c r="M202" s="13"/>
      <c r="N202" s="13"/>
    </row>
    <row r="203" ht="15.75" customHeight="1">
      <c r="A203" s="13"/>
      <c r="B203" s="13"/>
      <c r="C203" s="13"/>
      <c r="D203" s="13"/>
      <c r="E203" s="13"/>
      <c r="F203" s="13"/>
      <c r="G203" s="13"/>
      <c r="H203" s="13"/>
      <c r="I203" s="13"/>
      <c r="J203" s="13"/>
      <c r="K203" s="13"/>
      <c r="L203" s="13"/>
      <c r="M203" s="13"/>
      <c r="N203" s="13"/>
    </row>
    <row r="204" ht="15.75" customHeight="1">
      <c r="A204" s="13"/>
      <c r="B204" s="13"/>
      <c r="C204" s="13"/>
      <c r="D204" s="13"/>
      <c r="E204" s="13"/>
      <c r="F204" s="13"/>
      <c r="G204" s="13"/>
      <c r="H204" s="13"/>
      <c r="I204" s="13"/>
      <c r="J204" s="13"/>
      <c r="K204" s="13"/>
      <c r="L204" s="13"/>
      <c r="M204" s="13"/>
      <c r="N204" s="13"/>
    </row>
    <row r="205" ht="15.75" customHeight="1">
      <c r="A205" s="13"/>
      <c r="B205" s="13"/>
      <c r="C205" s="13"/>
      <c r="D205" s="13"/>
      <c r="E205" s="13"/>
      <c r="F205" s="13"/>
      <c r="G205" s="13"/>
      <c r="H205" s="13"/>
      <c r="I205" s="13"/>
      <c r="J205" s="13"/>
      <c r="K205" s="13"/>
      <c r="L205" s="13"/>
      <c r="M205" s="13"/>
      <c r="N205" s="13"/>
    </row>
    <row r="206" ht="15.75" customHeight="1">
      <c r="A206" s="13"/>
      <c r="B206" s="13"/>
      <c r="C206" s="13"/>
      <c r="D206" s="13"/>
      <c r="E206" s="13"/>
      <c r="F206" s="13"/>
      <c r="G206" s="13"/>
      <c r="H206" s="13"/>
      <c r="I206" s="13"/>
      <c r="J206" s="13"/>
      <c r="K206" s="13"/>
      <c r="L206" s="13"/>
      <c r="M206" s="13"/>
      <c r="N206" s="13"/>
    </row>
    <row r="207" ht="15.75" customHeight="1">
      <c r="A207" s="13"/>
      <c r="B207" s="13"/>
      <c r="C207" s="13"/>
      <c r="D207" s="13"/>
      <c r="E207" s="13"/>
      <c r="F207" s="13"/>
      <c r="G207" s="13"/>
      <c r="H207" s="13"/>
      <c r="I207" s="13"/>
      <c r="J207" s="13"/>
      <c r="K207" s="13"/>
      <c r="L207" s="13"/>
      <c r="M207" s="13"/>
      <c r="N207" s="13"/>
    </row>
    <row r="208" ht="15.75" customHeight="1">
      <c r="A208" s="13"/>
      <c r="B208" s="13"/>
      <c r="C208" s="13"/>
      <c r="D208" s="13"/>
      <c r="E208" s="13"/>
      <c r="F208" s="13"/>
      <c r="G208" s="13"/>
      <c r="H208" s="13"/>
      <c r="I208" s="13"/>
      <c r="J208" s="13"/>
      <c r="K208" s="13"/>
      <c r="L208" s="13"/>
      <c r="M208" s="13"/>
      <c r="N208" s="13"/>
    </row>
    <row r="209" ht="15.75" customHeight="1">
      <c r="A209" s="13"/>
      <c r="B209" s="13"/>
      <c r="C209" s="13"/>
      <c r="D209" s="13"/>
      <c r="E209" s="13"/>
      <c r="F209" s="13"/>
      <c r="G209" s="13"/>
      <c r="H209" s="13"/>
      <c r="I209" s="13"/>
      <c r="J209" s="13"/>
      <c r="K209" s="13"/>
      <c r="L209" s="13"/>
      <c r="M209" s="13"/>
      <c r="N209" s="13"/>
    </row>
    <row r="210" ht="15.75" customHeight="1">
      <c r="A210" s="13"/>
      <c r="B210" s="13"/>
      <c r="C210" s="13"/>
      <c r="D210" s="13"/>
      <c r="E210" s="13"/>
      <c r="F210" s="13"/>
      <c r="G210" s="13"/>
      <c r="H210" s="13"/>
      <c r="I210" s="13"/>
      <c r="J210" s="13"/>
      <c r="K210" s="13"/>
      <c r="L210" s="13"/>
      <c r="M210" s="13"/>
      <c r="N210" s="13"/>
    </row>
    <row r="211" ht="15.75" customHeight="1">
      <c r="A211" s="13"/>
      <c r="B211" s="13"/>
      <c r="C211" s="13"/>
      <c r="D211" s="13"/>
      <c r="E211" s="13"/>
      <c r="F211" s="13"/>
      <c r="G211" s="13"/>
      <c r="H211" s="13"/>
      <c r="I211" s="13"/>
      <c r="J211" s="13"/>
      <c r="K211" s="13"/>
      <c r="L211" s="13"/>
      <c r="M211" s="13"/>
      <c r="N211" s="13"/>
    </row>
    <row r="212" ht="15.75" customHeight="1">
      <c r="A212" s="13"/>
      <c r="B212" s="13"/>
      <c r="C212" s="13"/>
      <c r="D212" s="13"/>
      <c r="E212" s="13"/>
      <c r="F212" s="13"/>
      <c r="G212" s="13"/>
      <c r="H212" s="13"/>
      <c r="I212" s="13"/>
      <c r="J212" s="13"/>
      <c r="K212" s="13"/>
      <c r="L212" s="13"/>
      <c r="M212" s="13"/>
      <c r="N212" s="13"/>
    </row>
    <row r="213" ht="15.75" customHeight="1">
      <c r="A213" s="13"/>
      <c r="B213" s="13"/>
      <c r="C213" s="13"/>
      <c r="D213" s="13"/>
      <c r="E213" s="13"/>
      <c r="F213" s="13"/>
      <c r="G213" s="13"/>
      <c r="H213" s="13"/>
      <c r="I213" s="13"/>
      <c r="J213" s="13"/>
      <c r="K213" s="13"/>
      <c r="L213" s="13"/>
      <c r="M213" s="13"/>
      <c r="N213" s="13"/>
    </row>
    <row r="214" ht="15.75" customHeight="1">
      <c r="A214" s="13"/>
      <c r="B214" s="13"/>
      <c r="C214" s="13"/>
      <c r="D214" s="13"/>
      <c r="E214" s="13"/>
      <c r="F214" s="13"/>
      <c r="G214" s="13"/>
      <c r="H214" s="13"/>
      <c r="I214" s="13"/>
      <c r="J214" s="13"/>
      <c r="K214" s="13"/>
      <c r="L214" s="13"/>
      <c r="M214" s="13"/>
      <c r="N214" s="13"/>
    </row>
    <row r="215" ht="15.75" customHeight="1">
      <c r="A215" s="13"/>
      <c r="B215" s="13"/>
      <c r="C215" s="13"/>
      <c r="D215" s="13"/>
      <c r="E215" s="13"/>
      <c r="F215" s="13"/>
      <c r="G215" s="13"/>
      <c r="H215" s="13"/>
      <c r="I215" s="13"/>
      <c r="J215" s="13"/>
      <c r="K215" s="13"/>
      <c r="L215" s="13"/>
      <c r="M215" s="13"/>
      <c r="N215" s="13"/>
    </row>
    <row r="216" ht="15.75" customHeight="1">
      <c r="A216" s="13"/>
      <c r="B216" s="13"/>
      <c r="C216" s="13"/>
      <c r="D216" s="13"/>
      <c r="E216" s="13"/>
      <c r="F216" s="13"/>
      <c r="G216" s="13"/>
      <c r="H216" s="13"/>
      <c r="I216" s="13"/>
      <c r="J216" s="13"/>
      <c r="K216" s="13"/>
      <c r="L216" s="13"/>
      <c r="M216" s="13"/>
      <c r="N216" s="13"/>
    </row>
    <row r="217" ht="15.75" customHeight="1">
      <c r="A217" s="13"/>
      <c r="B217" s="13"/>
      <c r="C217" s="13"/>
      <c r="D217" s="13"/>
      <c r="E217" s="13"/>
      <c r="F217" s="13"/>
      <c r="G217" s="13"/>
      <c r="H217" s="13"/>
      <c r="I217" s="13"/>
      <c r="J217" s="13"/>
      <c r="K217" s="13"/>
      <c r="L217" s="13"/>
      <c r="M217" s="13"/>
      <c r="N217" s="13"/>
    </row>
    <row r="218" ht="15.75" customHeight="1">
      <c r="A218" s="13"/>
      <c r="B218" s="13"/>
      <c r="C218" s="13"/>
      <c r="D218" s="13"/>
      <c r="E218" s="13"/>
      <c r="F218" s="13"/>
      <c r="G218" s="13"/>
      <c r="H218" s="13"/>
      <c r="I218" s="13"/>
      <c r="J218" s="13"/>
      <c r="K218" s="13"/>
      <c r="L218" s="13"/>
      <c r="M218" s="13"/>
      <c r="N218" s="13"/>
    </row>
    <row r="219" ht="15.75" customHeight="1">
      <c r="A219" s="13"/>
      <c r="B219" s="13"/>
      <c r="C219" s="13"/>
      <c r="D219" s="13"/>
      <c r="E219" s="13"/>
      <c r="F219" s="13"/>
      <c r="G219" s="13"/>
      <c r="H219" s="13"/>
      <c r="I219" s="13"/>
      <c r="J219" s="13"/>
      <c r="K219" s="13"/>
      <c r="L219" s="13"/>
      <c r="M219" s="13"/>
      <c r="N219" s="13"/>
    </row>
    <row r="220" ht="15.75" customHeight="1">
      <c r="A220" s="13"/>
      <c r="B220" s="13"/>
      <c r="C220" s="13"/>
      <c r="D220" s="13"/>
      <c r="E220" s="13"/>
      <c r="F220" s="13"/>
      <c r="G220" s="13"/>
      <c r="H220" s="13"/>
      <c r="I220" s="13"/>
      <c r="J220" s="13"/>
      <c r="K220" s="13"/>
      <c r="L220" s="13"/>
      <c r="M220" s="13"/>
      <c r="N220" s="13"/>
    </row>
    <row r="221" ht="15.75" customHeight="1">
      <c r="A221" s="13"/>
      <c r="B221" s="13"/>
      <c r="C221" s="13"/>
      <c r="D221" s="13"/>
      <c r="E221" s="13"/>
      <c r="F221" s="13"/>
      <c r="G221" s="13"/>
      <c r="H221" s="13"/>
      <c r="I221" s="13"/>
      <c r="J221" s="13"/>
      <c r="K221" s="13"/>
      <c r="L221" s="13"/>
      <c r="M221" s="13"/>
      <c r="N221" s="13"/>
    </row>
    <row r="222" ht="15.75" customHeight="1">
      <c r="A222" s="13"/>
      <c r="B222" s="13"/>
      <c r="C222" s="13"/>
      <c r="D222" s="13"/>
      <c r="E222" s="13"/>
      <c r="F222" s="13"/>
      <c r="G222" s="13"/>
      <c r="H222" s="13"/>
      <c r="I222" s="13"/>
      <c r="J222" s="13"/>
      <c r="K222" s="13"/>
      <c r="L222" s="13"/>
      <c r="M222" s="13"/>
      <c r="N222" s="13"/>
    </row>
    <row r="223" ht="15.75" customHeight="1">
      <c r="A223" s="13"/>
      <c r="B223" s="13"/>
      <c r="C223" s="13"/>
      <c r="D223" s="13"/>
      <c r="E223" s="13"/>
      <c r="F223" s="13"/>
      <c r="G223" s="13"/>
      <c r="H223" s="13"/>
      <c r="I223" s="13"/>
      <c r="J223" s="13"/>
      <c r="K223" s="13"/>
      <c r="L223" s="13"/>
      <c r="M223" s="13"/>
      <c r="N223" s="13"/>
    </row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B1:D2"/>
    <mergeCell ref="E1:F2"/>
  </mergeCells>
  <dataValidations>
    <dataValidation type="list" allowBlank="1" showErrorMessage="1" sqref="G4:N124">
      <formula1>"선택,완료"</formula1>
    </dataValidation>
  </dataValidations>
  <hyperlinks>
    <hyperlink r:id="rId1" ref="D5"/>
    <hyperlink r:id="rId2" ref="D24"/>
    <hyperlink r:id="rId3" ref="D25"/>
    <hyperlink r:id="rId4" ref="D30"/>
    <hyperlink r:id="rId5" ref="D31"/>
    <hyperlink r:id="rId6" ref="D36"/>
    <hyperlink r:id="rId7" ref="D51"/>
    <hyperlink r:id="rId8" ref="D70"/>
    <hyperlink r:id="rId9" ref="D86"/>
    <hyperlink r:id="rId10" ref="D93"/>
    <hyperlink r:id="rId11" ref="D96"/>
    <hyperlink r:id="rId12" ref="D97"/>
  </hyperlinks>
  <drawing r:id="rId13"/>
  <tableParts count="1">
    <tablePart r:id="rId15"/>
  </tableParts>
</worksheet>
</file>